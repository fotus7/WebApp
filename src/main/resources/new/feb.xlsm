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Java\WebApp\src\main\resources\new\"/>
    </mc:Choice>
  </mc:AlternateContent>
  <xr:revisionPtr revIDLastSave="0" documentId="13_ncr:1_{2A96FFC1-7097-4D0F-805D-21DAA50E6D35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отгрузка" sheetId="10" r:id="rId1"/>
    <sheet name="склад" sheetId="11" r:id="rId2"/>
  </sheets>
  <definedNames>
    <definedName name="_xlnm._FilterDatabase" localSheetId="0" hidden="1">отгрузка!$A$1:$RP$78</definedName>
    <definedName name="_xlnm._FilterDatabase" localSheetId="1" hidden="1">склад!$A$1:$FN$405</definedName>
    <definedName name="_xlnm.Print_Area" localSheetId="0">отгрузка!$A$1:$RP$76</definedName>
    <definedName name="_xlnm.Print_Area" localSheetId="1">склад!$A$1:$FN$422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G34" i="10" l="1"/>
  <c r="RJ34" i="10"/>
  <c r="RL34" i="10" s="1"/>
  <c r="RP34" i="10"/>
  <c r="RG35" i="10"/>
  <c r="RJ35" i="10"/>
  <c r="RL35" i="10" s="1"/>
  <c r="RP35" i="10"/>
  <c r="RG36" i="10"/>
  <c r="RJ36" i="10"/>
  <c r="RL36" i="10" s="1"/>
  <c r="RP36" i="10"/>
  <c r="RG37" i="10"/>
  <c r="RJ37" i="10"/>
  <c r="RL37" i="10" s="1"/>
  <c r="RP37" i="10"/>
  <c r="RG38" i="10"/>
  <c r="RJ38" i="10"/>
  <c r="RL38" i="10" s="1"/>
  <c r="RP38" i="10"/>
  <c r="RG39" i="10"/>
  <c r="RN39" i="10"/>
  <c r="RJ39" i="10" s="1"/>
  <c r="RL39" i="10" s="1"/>
  <c r="RP39" i="10"/>
  <c r="RG40" i="10"/>
  <c r="RN40" i="10"/>
  <c r="RJ40" i="10" s="1"/>
  <c r="RL40" i="10" s="1"/>
  <c r="RP40" i="10"/>
  <c r="RG41" i="10"/>
  <c r="RJ41" i="10"/>
  <c r="RL41" i="10" s="1"/>
  <c r="RP41" i="10"/>
  <c r="RG42" i="10"/>
  <c r="RJ42" i="10"/>
  <c r="RL42" i="10" s="1"/>
  <c r="RP42" i="10"/>
  <c r="RG43" i="10"/>
  <c r="RJ43" i="10"/>
  <c r="RL43" i="10" s="1"/>
  <c r="RP43" i="10"/>
  <c r="RG44" i="10"/>
  <c r="RJ44" i="10"/>
  <c r="RL44" i="10" s="1"/>
  <c r="RP44" i="10"/>
  <c r="RG45" i="10"/>
  <c r="RJ45" i="10"/>
  <c r="RL45" i="10" s="1"/>
  <c r="RP45" i="10"/>
  <c r="RG46" i="10"/>
  <c r="RJ46" i="10"/>
  <c r="RL46" i="10" s="1"/>
  <c r="RP46" i="10"/>
  <c r="RG47" i="10"/>
  <c r="RJ47" i="10"/>
  <c r="RL47" i="10" s="1"/>
  <c r="RP47" i="10"/>
  <c r="RG48" i="10"/>
  <c r="RJ48" i="10"/>
  <c r="RL48" i="10" s="1"/>
  <c r="RP48" i="10"/>
  <c r="RG49" i="10"/>
  <c r="RJ49" i="10"/>
  <c r="RL49" i="10" s="1"/>
  <c r="RP49" i="10"/>
  <c r="RG50" i="10"/>
  <c r="RJ50" i="10"/>
  <c r="RL50" i="10" s="1"/>
  <c r="RP50" i="10"/>
  <c r="RG51" i="10"/>
  <c r="RJ51" i="10"/>
  <c r="RL51" i="10" s="1"/>
  <c r="RP51" i="10"/>
  <c r="RG52" i="10"/>
  <c r="RJ52" i="10"/>
  <c r="RL52" i="10" s="1"/>
  <c r="RP52" i="10"/>
  <c r="RG53" i="10"/>
  <c r="RJ53" i="10"/>
  <c r="RL53" i="10" s="1"/>
  <c r="RP53" i="10"/>
  <c r="RG54" i="10"/>
  <c r="RJ54" i="10"/>
  <c r="RL54" i="10" s="1"/>
  <c r="RP54" i="10"/>
  <c r="RG55" i="10"/>
  <c r="RJ55" i="10"/>
  <c r="RL55" i="10" s="1"/>
  <c r="RP55" i="10"/>
  <c r="RG56" i="10"/>
  <c r="RJ56" i="10"/>
  <c r="RL56" i="10" s="1"/>
  <c r="RP56" i="10"/>
  <c r="RG57" i="10"/>
  <c r="RJ57" i="10"/>
  <c r="RL57" i="10" s="1"/>
  <c r="RP57" i="10"/>
  <c r="RG58" i="10"/>
  <c r="RN58" i="10"/>
  <c r="RO58" i="10"/>
  <c r="RP58" i="10"/>
  <c r="RG59" i="10"/>
  <c r="RJ59" i="10"/>
  <c r="RL59" i="10" s="1"/>
  <c r="RP59" i="10"/>
  <c r="RG60" i="10"/>
  <c r="RJ60" i="10"/>
  <c r="RL60" i="10" s="1"/>
  <c r="RP60" i="10"/>
  <c r="RG61" i="10"/>
  <c r="RJ61" i="10"/>
  <c r="RL61" i="10" s="1"/>
  <c r="RP61" i="10"/>
  <c r="RG62" i="10"/>
  <c r="RJ62" i="10"/>
  <c r="RL62" i="10" s="1"/>
  <c r="RP62" i="10"/>
  <c r="RG63" i="10"/>
  <c r="RJ63" i="10"/>
  <c r="RL63" i="10" s="1"/>
  <c r="RP63" i="10"/>
  <c r="RG64" i="10"/>
  <c r="RJ64" i="10"/>
  <c r="RL64" i="10" s="1"/>
  <c r="RP64" i="10"/>
  <c r="RG65" i="10"/>
  <c r="RJ65" i="10"/>
  <c r="RL65" i="10" s="1"/>
  <c r="RP65" i="10"/>
  <c r="RG66" i="10"/>
  <c r="RJ66" i="10"/>
  <c r="RL66" i="10" s="1"/>
  <c r="RP66" i="10"/>
  <c r="RG67" i="10"/>
  <c r="RJ67" i="10"/>
  <c r="RL67" i="10" s="1"/>
  <c r="RP67" i="10"/>
  <c r="RG68" i="10"/>
  <c r="RJ68" i="10"/>
  <c r="RL68" i="10" s="1"/>
  <c r="RP68" i="10"/>
  <c r="RG69" i="10"/>
  <c r="RJ69" i="10"/>
  <c r="RL69" i="10" s="1"/>
  <c r="RP69" i="10"/>
  <c r="RG70" i="10"/>
  <c r="RJ70" i="10"/>
  <c r="RL70" i="10" s="1"/>
  <c r="RP70" i="10"/>
  <c r="RG71" i="10"/>
  <c r="RJ71" i="10"/>
  <c r="RL71" i="10" s="1"/>
  <c r="RP71" i="10"/>
  <c r="RG72" i="10"/>
  <c r="RJ72" i="10"/>
  <c r="RL72" i="10" s="1"/>
  <c r="RP72" i="10"/>
  <c r="RG73" i="10"/>
  <c r="RJ73" i="10"/>
  <c r="RL73" i="10" s="1"/>
  <c r="RK73" i="10"/>
  <c r="RP73" i="10" s="1"/>
  <c r="RG74" i="10"/>
  <c r="RJ74" i="10"/>
  <c r="RL74" i="10" s="1"/>
  <c r="RP74" i="10"/>
  <c r="RG75" i="10"/>
  <c r="RJ75" i="10"/>
  <c r="RL75" i="10" s="1"/>
  <c r="RP75" i="10"/>
  <c r="FL405" i="11"/>
  <c r="V405" i="11"/>
  <c r="W405" i="11"/>
  <c r="X405" i="11"/>
  <c r="Y405" i="11"/>
  <c r="Z405" i="11"/>
  <c r="AA405" i="11"/>
  <c r="AB405" i="11"/>
  <c r="AC405" i="11"/>
  <c r="AD405" i="11"/>
  <c r="AE405" i="11"/>
  <c r="AF405" i="11"/>
  <c r="AG405" i="11"/>
  <c r="AH405" i="11"/>
  <c r="RJ58" i="10" l="1"/>
  <c r="RL58" i="10" s="1"/>
  <c r="RC76" i="10"/>
  <c r="RD76" i="10"/>
  <c r="RE76" i="10"/>
  <c r="FK425" i="11"/>
  <c r="FN425" i="11" s="1"/>
  <c r="FK424" i="11"/>
  <c r="B84" i="11"/>
  <c r="F84" i="11" s="1"/>
  <c r="B41" i="11"/>
  <c r="F41" i="11" s="1"/>
  <c r="B134" i="11"/>
  <c r="F134" i="11" s="1"/>
  <c r="FN84" i="11" l="1"/>
  <c r="FN41" i="11"/>
  <c r="FN134" i="11"/>
  <c r="RO76" i="10" l="1"/>
  <c r="ES405" i="11"/>
  <c r="ET405" i="11"/>
  <c r="EU405" i="11"/>
  <c r="EV405" i="11"/>
  <c r="EW405" i="11"/>
  <c r="EX405" i="11"/>
  <c r="EY405" i="11"/>
  <c r="EZ405" i="11"/>
  <c r="FA405" i="11"/>
  <c r="FB405" i="11"/>
  <c r="FC405" i="11"/>
  <c r="FD405" i="11"/>
  <c r="FE405" i="11"/>
  <c r="FF405" i="11"/>
  <c r="FG405" i="11"/>
  <c r="FH405" i="11"/>
  <c r="FI405" i="11"/>
  <c r="FJ405" i="11"/>
  <c r="FK405" i="11"/>
  <c r="FN424" i="11"/>
  <c r="FK426" i="11"/>
  <c r="FN419" i="11"/>
  <c r="FN420" i="11"/>
  <c r="EX420" i="11"/>
  <c r="CX405" i="11"/>
  <c r="CY405" i="11"/>
  <c r="CZ405" i="11"/>
  <c r="DA405" i="11"/>
  <c r="DB405" i="11"/>
  <c r="DC405" i="11"/>
  <c r="DD405" i="11"/>
  <c r="DE405" i="11"/>
  <c r="DF405" i="11"/>
  <c r="DG405" i="11"/>
  <c r="DH405" i="11"/>
  <c r="DI405" i="11"/>
  <c r="DJ405" i="11"/>
  <c r="DK405" i="11"/>
  <c r="DL405" i="11"/>
  <c r="DM405" i="11"/>
  <c r="DN405" i="11"/>
  <c r="DO405" i="11"/>
  <c r="DP405" i="11"/>
  <c r="DQ405" i="11"/>
  <c r="DR405" i="11"/>
  <c r="DS405" i="11"/>
  <c r="DT405" i="11"/>
  <c r="DU405" i="11"/>
  <c r="DV405" i="11"/>
  <c r="DW405" i="11"/>
  <c r="DX405" i="11"/>
  <c r="DY405" i="11"/>
  <c r="DZ405" i="11"/>
  <c r="EA405" i="11"/>
  <c r="EB405" i="11"/>
  <c r="EC405" i="11"/>
  <c r="ED405" i="11"/>
  <c r="EE405" i="11"/>
  <c r="EF405" i="11"/>
  <c r="EG405" i="11"/>
  <c r="EH405" i="11"/>
  <c r="EI405" i="11"/>
  <c r="EJ405" i="11"/>
  <c r="EK405" i="11"/>
  <c r="EL405" i="11"/>
  <c r="EM405" i="11"/>
  <c r="EN405" i="11"/>
  <c r="EO405" i="11"/>
  <c r="EP405" i="11"/>
  <c r="EQ405" i="11"/>
  <c r="ER405" i="11"/>
  <c r="FN421" i="11" l="1"/>
  <c r="RJ7" i="10" l="1"/>
  <c r="RL7" i="10" s="1"/>
  <c r="RJ6" i="10"/>
  <c r="RL6" i="10" s="1"/>
  <c r="RJ9" i="10"/>
  <c r="RL9" i="10" s="1"/>
  <c r="RJ13" i="10"/>
  <c r="RJ11" i="10"/>
  <c r="RL11" i="10" s="1"/>
  <c r="RJ25" i="10"/>
  <c r="RL25" i="10" s="1"/>
  <c r="RJ24" i="10"/>
  <c r="RL24" i="10" s="1"/>
  <c r="RJ20" i="10"/>
  <c r="RL20" i="10" s="1"/>
  <c r="RJ18" i="10"/>
  <c r="RL18" i="10" s="1"/>
  <c r="RJ22" i="10"/>
  <c r="RL22" i="10" s="1"/>
  <c r="RJ32" i="10"/>
  <c r="RL32" i="10" s="1"/>
  <c r="RJ31" i="10"/>
  <c r="RL31" i="10" s="1"/>
  <c r="RJ30" i="10"/>
  <c r="RL30" i="10" s="1"/>
  <c r="RJ29" i="10"/>
  <c r="RL29" i="10" s="1"/>
  <c r="RJ33" i="10"/>
  <c r="RL33" i="10" s="1"/>
  <c r="BM405" i="11"/>
  <c r="RN12" i="10"/>
  <c r="RI3" i="10" l="1"/>
  <c r="AN405" i="11" l="1"/>
  <c r="AO405" i="11"/>
  <c r="AP405" i="11"/>
  <c r="AJ405" i="11" l="1"/>
  <c r="AK405" i="11"/>
  <c r="AL405" i="11"/>
  <c r="AM405" i="11"/>
  <c r="AQ405" i="11"/>
  <c r="AR405" i="11"/>
  <c r="AS405" i="11"/>
  <c r="AT405" i="11"/>
  <c r="AU405" i="11"/>
  <c r="AV405" i="11"/>
  <c r="AW405" i="11"/>
  <c r="AX405" i="11"/>
  <c r="AY405" i="11"/>
  <c r="AZ405" i="11"/>
  <c r="BA405" i="11"/>
  <c r="BB405" i="11"/>
  <c r="BC405" i="11"/>
  <c r="BD405" i="11"/>
  <c r="BE405" i="11"/>
  <c r="BF405" i="11"/>
  <c r="BG405" i="11"/>
  <c r="BH405" i="11"/>
  <c r="BI405" i="11"/>
  <c r="BJ405" i="11"/>
  <c r="BK405" i="11"/>
  <c r="BL405" i="11"/>
  <c r="BN405" i="11"/>
  <c r="BO405" i="11"/>
  <c r="BP405" i="11"/>
  <c r="BQ405" i="11"/>
  <c r="BR405" i="11"/>
  <c r="BS405" i="11"/>
  <c r="BT405" i="11"/>
  <c r="BU405" i="11"/>
  <c r="BV405" i="11"/>
  <c r="BW405" i="11"/>
  <c r="BX405" i="11"/>
  <c r="BY405" i="11"/>
  <c r="BZ405" i="11"/>
  <c r="CA405" i="11"/>
  <c r="CB405" i="11"/>
  <c r="CC405" i="11"/>
  <c r="CD405" i="11"/>
  <c r="CE405" i="11"/>
  <c r="CF405" i="11"/>
  <c r="CG405" i="11"/>
  <c r="CH405" i="11"/>
  <c r="CI405" i="11"/>
  <c r="CJ405" i="11"/>
  <c r="CK405" i="11"/>
  <c r="CL405" i="11"/>
  <c r="CM405" i="11"/>
  <c r="CN405" i="11"/>
  <c r="CO405" i="11"/>
  <c r="CP405" i="11"/>
  <c r="CQ405" i="11"/>
  <c r="CR405" i="11"/>
  <c r="CS405" i="11"/>
  <c r="CT405" i="11"/>
  <c r="CU405" i="11"/>
  <c r="CV405" i="11"/>
  <c r="CW405" i="11"/>
  <c r="QZ76" i="10" l="1"/>
  <c r="RA76" i="10"/>
  <c r="RB76" i="10"/>
  <c r="FN426" i="11"/>
  <c r="EZ426" i="11"/>
  <c r="B77" i="11"/>
  <c r="FN77" i="11" s="1"/>
  <c r="B133" i="11"/>
  <c r="FN133" i="11" s="1"/>
  <c r="F77" i="11" l="1"/>
  <c r="F133" i="11"/>
  <c r="FN410" i="11" l="1"/>
  <c r="FN409" i="11"/>
  <c r="EW411" i="11"/>
  <c r="B253" i="11"/>
  <c r="F253" i="11" s="1"/>
  <c r="B154" i="11"/>
  <c r="F154" i="11" s="1"/>
  <c r="B118" i="11"/>
  <c r="F118" i="11" s="1"/>
  <c r="B45" i="11"/>
  <c r="F45" i="11" s="1"/>
  <c r="B380" i="11"/>
  <c r="F380" i="11" s="1"/>
  <c r="EX421" i="11"/>
  <c r="FN253" i="11" l="1"/>
  <c r="FN154" i="11"/>
  <c r="FN118" i="11"/>
  <c r="FN45" i="11"/>
  <c r="FN380" i="11"/>
  <c r="AI405" i="11"/>
  <c r="RN26" i="10" l="1"/>
  <c r="I405" i="11" l="1"/>
  <c r="J405" i="11"/>
  <c r="K405" i="11"/>
  <c r="L405" i="11"/>
  <c r="M405" i="11"/>
  <c r="N405" i="11"/>
  <c r="O405" i="11"/>
  <c r="P405" i="11"/>
  <c r="Q405" i="11"/>
  <c r="R405" i="11"/>
  <c r="S405" i="11"/>
  <c r="T405" i="11"/>
  <c r="QY76" i="10" l="1"/>
  <c r="FM405" i="11" l="1"/>
  <c r="RP32" i="10" l="1"/>
  <c r="RG32" i="10"/>
  <c r="RP31" i="10"/>
  <c r="RG31" i="10"/>
  <c r="RP30" i="10"/>
  <c r="RG30" i="10"/>
  <c r="RG33" i="10"/>
  <c r="RP29" i="10"/>
  <c r="RG29" i="10"/>
  <c r="B242" i="11"/>
  <c r="F242" i="11" s="1"/>
  <c r="B202" i="11"/>
  <c r="F202" i="11" s="1"/>
  <c r="B87" i="11"/>
  <c r="F87" i="11" s="1"/>
  <c r="B75" i="11"/>
  <c r="F75" i="11" s="1"/>
  <c r="B25" i="11"/>
  <c r="F25" i="11" s="1"/>
  <c r="RJ28" i="10"/>
  <c r="RL28" i="10" s="1"/>
  <c r="RP28" i="10"/>
  <c r="RG28" i="10"/>
  <c r="U405" i="11"/>
  <c r="EF411" i="11"/>
  <c r="FN25" i="11" l="1"/>
  <c r="FN202" i="11"/>
  <c r="FN242" i="11"/>
  <c r="FN87" i="11"/>
  <c r="FN75" i="11"/>
  <c r="RJ27" i="10" l="1"/>
  <c r="RL27" i="10" s="1"/>
  <c r="RP27" i="10"/>
  <c r="RG27" i="10"/>
  <c r="RJ26" i="10"/>
  <c r="RL26" i="10" s="1"/>
  <c r="RP26" i="10"/>
  <c r="RG26" i="10"/>
  <c r="RN76" i="10" l="1"/>
  <c r="RI76" i="10" l="1"/>
  <c r="RP22" i="10" l="1"/>
  <c r="RG22" i="10"/>
  <c r="RJ21" i="10"/>
  <c r="RL21" i="10" s="1"/>
  <c r="RP21" i="10"/>
  <c r="RG21" i="10"/>
  <c r="RJ23" i="10"/>
  <c r="RL23" i="10" s="1"/>
  <c r="RP23" i="10"/>
  <c r="RG23" i="10"/>
  <c r="RP25" i="10" l="1"/>
  <c r="RG25" i="10"/>
  <c r="RP24" i="10"/>
  <c r="RG24" i="10"/>
  <c r="RP20" i="10"/>
  <c r="RG20" i="10"/>
  <c r="RJ19" i="10" l="1"/>
  <c r="RL19" i="10" s="1"/>
  <c r="RP18" i="10"/>
  <c r="RG18" i="10"/>
  <c r="RJ15" i="10"/>
  <c r="RL15" i="10" s="1"/>
  <c r="RP15" i="10"/>
  <c r="RG15" i="10"/>
  <c r="RP19" i="10"/>
  <c r="RG19" i="10"/>
  <c r="RJ17" i="10"/>
  <c r="RL17" i="10" s="1"/>
  <c r="RP17" i="10"/>
  <c r="RG17" i="10"/>
  <c r="RJ16" i="10"/>
  <c r="RL16" i="10" s="1"/>
  <c r="RP16" i="10"/>
  <c r="RG16" i="10"/>
  <c r="RJ14" i="10"/>
  <c r="RL14" i="10" s="1"/>
  <c r="RP14" i="10"/>
  <c r="RG14" i="10"/>
  <c r="QX76" i="10"/>
  <c r="RL13" i="10" l="1"/>
  <c r="RP13" i="10"/>
  <c r="RG13" i="10"/>
  <c r="B357" i="11" l="1"/>
  <c r="F357" i="11" s="1"/>
  <c r="DY421" i="11"/>
  <c r="FN357" i="11" l="1"/>
  <c r="RP11" i="10" l="1"/>
  <c r="RG11" i="10"/>
  <c r="RJ12" i="10" l="1"/>
  <c r="RL12" i="10" s="1"/>
  <c r="RP12" i="10"/>
  <c r="RG12" i="10"/>
  <c r="RP9" i="10" l="1"/>
  <c r="RG9" i="10"/>
  <c r="RJ10" i="10"/>
  <c r="RL10" i="10" s="1"/>
  <c r="RP10" i="10"/>
  <c r="RG10" i="10"/>
  <c r="RP6" i="10"/>
  <c r="RG6" i="10"/>
  <c r="RJ3" i="10"/>
  <c r="RJ2" i="10"/>
  <c r="RJ8" i="10"/>
  <c r="RL8" i="10" s="1"/>
  <c r="RP8" i="10"/>
  <c r="RG8" i="10"/>
  <c r="RP7" i="10"/>
  <c r="RG7" i="10"/>
  <c r="RL3" i="10" l="1"/>
  <c r="RK3" i="10"/>
  <c r="RP3" i="10" s="1"/>
  <c r="RG3" i="10"/>
  <c r="RJ5" i="10"/>
  <c r="RL5" i="10" s="1"/>
  <c r="RP5" i="10"/>
  <c r="RG5" i="10"/>
  <c r="RL2" i="10" l="1"/>
  <c r="RP2" i="10"/>
  <c r="RG2" i="10"/>
  <c r="RJ4" i="10" l="1"/>
  <c r="RL4" i="10" s="1"/>
  <c r="RP4" i="10"/>
  <c r="RG4" i="10"/>
  <c r="B296" i="11" l="1"/>
  <c r="F296" i="11" s="1"/>
  <c r="B292" i="11"/>
  <c r="F292" i="11" s="1"/>
  <c r="B199" i="11"/>
  <c r="F199" i="11" s="1"/>
  <c r="B145" i="11"/>
  <c r="F145" i="11" s="1"/>
  <c r="B122" i="11"/>
  <c r="FN122" i="11" s="1"/>
  <c r="B112" i="11"/>
  <c r="F112" i="11" s="1"/>
  <c r="B64" i="11"/>
  <c r="F64" i="11" s="1"/>
  <c r="B65" i="11"/>
  <c r="F65" i="11" s="1"/>
  <c r="B55" i="11"/>
  <c r="F55" i="11" s="1"/>
  <c r="B34" i="11"/>
  <c r="F34" i="11" s="1"/>
  <c r="B28" i="11"/>
  <c r="F28" i="11" s="1"/>
  <c r="B23" i="11"/>
  <c r="F23" i="11" s="1"/>
  <c r="FN296" i="11" l="1"/>
  <c r="FN292" i="11"/>
  <c r="FN199" i="11"/>
  <c r="FN145" i="11"/>
  <c r="F122" i="11"/>
  <c r="FN112" i="11"/>
  <c r="FN65" i="11"/>
  <c r="FN64" i="11"/>
  <c r="FN55" i="11"/>
  <c r="FN34" i="11"/>
  <c r="FN28" i="11"/>
  <c r="FN23" i="11"/>
  <c r="DQ411" i="11" l="1"/>
  <c r="QW76" i="10" l="1"/>
  <c r="QV76" i="10"/>
  <c r="RF76" i="10"/>
  <c r="B206" i="11" l="1"/>
  <c r="F206" i="11" s="1"/>
  <c r="B58" i="11"/>
  <c r="F58" i="11" s="1"/>
  <c r="B310" i="11"/>
  <c r="F310" i="11" s="1"/>
  <c r="B300" i="11"/>
  <c r="F300" i="11" s="1"/>
  <c r="B284" i="11"/>
  <c r="F284" i="11" s="1"/>
  <c r="B151" i="11"/>
  <c r="F151" i="11" s="1"/>
  <c r="B129" i="11"/>
  <c r="B86" i="11"/>
  <c r="F86" i="11" s="1"/>
  <c r="B8" i="11"/>
  <c r="F8" i="11" s="1"/>
  <c r="B96" i="11"/>
  <c r="F96" i="11" s="1"/>
  <c r="FN8" i="11" l="1"/>
  <c r="FN206" i="11"/>
  <c r="FN310" i="11"/>
  <c r="FN151" i="11"/>
  <c r="FN300" i="11"/>
  <c r="FN58" i="11"/>
  <c r="FN96" i="11"/>
  <c r="FN86" i="11"/>
  <c r="FN284" i="11"/>
  <c r="B401" i="11" l="1"/>
  <c r="FN401" i="11" s="1"/>
  <c r="DH411" i="11"/>
  <c r="FN415" i="11"/>
  <c r="FN414" i="11"/>
  <c r="DI416" i="11"/>
  <c r="FN416" i="11" l="1"/>
  <c r="FN411" i="11"/>
  <c r="F401" i="11"/>
  <c r="RM76" i="10" l="1"/>
  <c r="B396" i="11" l="1"/>
  <c r="B397" i="11"/>
  <c r="B398" i="11"/>
  <c r="B399" i="11"/>
  <c r="B402" i="11"/>
  <c r="B395" i="11"/>
  <c r="B392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1" i="11"/>
  <c r="B382" i="11"/>
  <c r="B383" i="11"/>
  <c r="B384" i="11"/>
  <c r="B385" i="11"/>
  <c r="B386" i="11"/>
  <c r="B387" i="11"/>
  <c r="B388" i="11"/>
  <c r="B389" i="11"/>
  <c r="B390" i="11"/>
  <c r="B391" i="11"/>
  <c r="B315" i="11"/>
  <c r="B5" i="11"/>
  <c r="B6" i="11"/>
  <c r="B7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4" i="11"/>
  <c r="B26" i="11"/>
  <c r="B27" i="11"/>
  <c r="B29" i="11"/>
  <c r="B30" i="11"/>
  <c r="B31" i="11"/>
  <c r="B32" i="11"/>
  <c r="B33" i="11"/>
  <c r="B35" i="11"/>
  <c r="B36" i="11"/>
  <c r="B37" i="11"/>
  <c r="B38" i="11"/>
  <c r="B39" i="11"/>
  <c r="B40" i="11"/>
  <c r="B42" i="11"/>
  <c r="B43" i="11"/>
  <c r="B44" i="11"/>
  <c r="B46" i="11"/>
  <c r="B47" i="11"/>
  <c r="B48" i="11"/>
  <c r="B49" i="11"/>
  <c r="B50" i="11"/>
  <c r="B51" i="11"/>
  <c r="B52" i="11"/>
  <c r="B53" i="11"/>
  <c r="B54" i="11"/>
  <c r="B56" i="11"/>
  <c r="B57" i="11"/>
  <c r="FN57" i="11" s="1"/>
  <c r="B59" i="11"/>
  <c r="B60" i="11"/>
  <c r="B61" i="11"/>
  <c r="B62" i="11"/>
  <c r="B63" i="11"/>
  <c r="B66" i="11"/>
  <c r="B67" i="11"/>
  <c r="B68" i="11"/>
  <c r="B69" i="11"/>
  <c r="B70" i="11"/>
  <c r="B71" i="11"/>
  <c r="B72" i="11"/>
  <c r="B73" i="11"/>
  <c r="B74" i="11"/>
  <c r="B76" i="11"/>
  <c r="B78" i="11"/>
  <c r="B79" i="11"/>
  <c r="B80" i="11"/>
  <c r="B81" i="11"/>
  <c r="B82" i="11"/>
  <c r="B83" i="11"/>
  <c r="B85" i="11"/>
  <c r="B88" i="11"/>
  <c r="B89" i="11"/>
  <c r="B90" i="11"/>
  <c r="B91" i="11"/>
  <c r="B92" i="11"/>
  <c r="B93" i="11"/>
  <c r="B94" i="11"/>
  <c r="B95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3" i="11"/>
  <c r="B114" i="11"/>
  <c r="B115" i="11"/>
  <c r="B116" i="11"/>
  <c r="B117" i="11"/>
  <c r="B119" i="11"/>
  <c r="B120" i="11"/>
  <c r="B121" i="11"/>
  <c r="B123" i="11"/>
  <c r="B124" i="11"/>
  <c r="B125" i="11"/>
  <c r="B126" i="11"/>
  <c r="B127" i="11"/>
  <c r="B128" i="11"/>
  <c r="B130" i="11"/>
  <c r="B131" i="11"/>
  <c r="B132" i="11"/>
  <c r="B135" i="11"/>
  <c r="B136" i="11"/>
  <c r="B137" i="11"/>
  <c r="B138" i="11"/>
  <c r="B139" i="11"/>
  <c r="B140" i="11"/>
  <c r="B141" i="11"/>
  <c r="B142" i="11"/>
  <c r="B143" i="11"/>
  <c r="B144" i="11"/>
  <c r="B146" i="11"/>
  <c r="B147" i="11"/>
  <c r="B148" i="11"/>
  <c r="B149" i="11"/>
  <c r="B150" i="11"/>
  <c r="B152" i="11"/>
  <c r="B153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200" i="11"/>
  <c r="B201" i="11"/>
  <c r="B203" i="11"/>
  <c r="B204" i="11"/>
  <c r="B205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3" i="11"/>
  <c r="FN243" i="11" s="1"/>
  <c r="B244" i="11"/>
  <c r="B245" i="11"/>
  <c r="B246" i="11"/>
  <c r="B247" i="11"/>
  <c r="B248" i="11"/>
  <c r="B249" i="11"/>
  <c r="B250" i="11"/>
  <c r="B251" i="11"/>
  <c r="B252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5" i="11"/>
  <c r="B286" i="11"/>
  <c r="B287" i="11"/>
  <c r="B288" i="11"/>
  <c r="B289" i="11"/>
  <c r="B290" i="11"/>
  <c r="B291" i="11"/>
  <c r="B293" i="11"/>
  <c r="B294" i="11"/>
  <c r="B295" i="11"/>
  <c r="B297" i="11"/>
  <c r="B298" i="11"/>
  <c r="B299" i="11"/>
  <c r="B301" i="11"/>
  <c r="B302" i="11"/>
  <c r="B303" i="11"/>
  <c r="B304" i="11"/>
  <c r="B305" i="11"/>
  <c r="B306" i="11"/>
  <c r="B307" i="11"/>
  <c r="B308" i="11"/>
  <c r="B309" i="11"/>
  <c r="B311" i="11"/>
  <c r="B312" i="11"/>
  <c r="F312" i="11" s="1"/>
  <c r="B313" i="11"/>
  <c r="B4" i="11"/>
  <c r="F227" i="11" l="1"/>
  <c r="F236" i="11"/>
  <c r="FN227" i="11" l="1"/>
  <c r="FN236" i="11"/>
  <c r="G394" i="11" l="1"/>
  <c r="G314" i="11"/>
  <c r="F286" i="11" l="1"/>
  <c r="F80" i="11"/>
  <c r="QT76" i="10"/>
  <c r="QU76" i="10"/>
  <c r="F46" i="11"/>
  <c r="F132" i="11"/>
  <c r="FN286" i="11" l="1"/>
  <c r="FN80" i="11"/>
  <c r="FN46" i="11"/>
  <c r="FN132" i="11"/>
  <c r="QQ76" i="10" l="1"/>
  <c r="QR76" i="10"/>
  <c r="QS76" i="10"/>
  <c r="F285" i="11" l="1"/>
  <c r="F260" i="11"/>
  <c r="F160" i="11"/>
  <c r="FN26" i="11"/>
  <c r="F322" i="11"/>
  <c r="F392" i="11"/>
  <c r="F337" i="11"/>
  <c r="F363" i="11"/>
  <c r="F318" i="11"/>
  <c r="FN285" i="11" l="1"/>
  <c r="FN260" i="11"/>
  <c r="FN160" i="11"/>
  <c r="F26" i="11"/>
  <c r="FN322" i="11"/>
  <c r="FN392" i="11"/>
  <c r="FN337" i="11"/>
  <c r="FN363" i="11"/>
  <c r="FN318" i="11"/>
  <c r="F299" i="11" l="1"/>
  <c r="F38" i="11"/>
  <c r="QN76" i="10"/>
  <c r="QO76" i="10"/>
  <c r="F321" i="11"/>
  <c r="F390" i="11"/>
  <c r="FN299" i="11" l="1"/>
  <c r="FN38" i="11"/>
  <c r="FN321" i="11"/>
  <c r="FN390" i="11"/>
  <c r="QP76" i="10" l="1"/>
  <c r="F389" i="11"/>
  <c r="F385" i="11"/>
  <c r="FN389" i="11" l="1"/>
  <c r="FN385" i="11"/>
  <c r="QM76" i="10" l="1"/>
  <c r="F238" i="11"/>
  <c r="F281" i="11"/>
  <c r="F185" i="11"/>
  <c r="FN125" i="11"/>
  <c r="F79" i="11"/>
  <c r="FN238" i="11" l="1"/>
  <c r="FN281" i="11"/>
  <c r="FN185" i="11"/>
  <c r="F125" i="11"/>
  <c r="FN79" i="11"/>
  <c r="FN373" i="11"/>
  <c r="F373" i="11" l="1"/>
  <c r="D76" i="10" l="1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U76" i="10"/>
  <c r="AV76" i="10"/>
  <c r="AW76" i="10"/>
  <c r="AX76" i="10"/>
  <c r="AY76" i="10"/>
  <c r="AZ76" i="10"/>
  <c r="BA76" i="10"/>
  <c r="BB76" i="10"/>
  <c r="BC76" i="10"/>
  <c r="BD76" i="10"/>
  <c r="BE76" i="10"/>
  <c r="BF76" i="10"/>
  <c r="BG76" i="10"/>
  <c r="BH76" i="10"/>
  <c r="BI76" i="10"/>
  <c r="BJ76" i="10"/>
  <c r="BK76" i="10"/>
  <c r="BL76" i="10"/>
  <c r="BM76" i="10"/>
  <c r="BN76" i="10"/>
  <c r="BO76" i="10"/>
  <c r="BP76" i="10"/>
  <c r="BQ76" i="10"/>
  <c r="BR76" i="10"/>
  <c r="BS76" i="10"/>
  <c r="BT76" i="10"/>
  <c r="BU76" i="10"/>
  <c r="BV76" i="10"/>
  <c r="BW76" i="10"/>
  <c r="BX76" i="10"/>
  <c r="BY76" i="10"/>
  <c r="BZ76" i="10"/>
  <c r="CA76" i="10"/>
  <c r="CB76" i="10"/>
  <c r="CC76" i="10"/>
  <c r="CD76" i="10"/>
  <c r="CE76" i="10"/>
  <c r="CF76" i="10"/>
  <c r="CG76" i="10"/>
  <c r="CH76" i="10"/>
  <c r="CI76" i="10"/>
  <c r="CJ76" i="10"/>
  <c r="CK76" i="10"/>
  <c r="CL76" i="10"/>
  <c r="CM76" i="10"/>
  <c r="CN76" i="10"/>
  <c r="CO76" i="10"/>
  <c r="CP76" i="10"/>
  <c r="CQ76" i="10"/>
  <c r="CR76" i="10"/>
  <c r="CS76" i="10"/>
  <c r="CT76" i="10"/>
  <c r="CU76" i="10"/>
  <c r="CV76" i="10"/>
  <c r="CW76" i="10"/>
  <c r="CX76" i="10"/>
  <c r="CY76" i="10"/>
  <c r="CZ76" i="10"/>
  <c r="DA76" i="10"/>
  <c r="DB76" i="10"/>
  <c r="DC76" i="10"/>
  <c r="DD76" i="10"/>
  <c r="DE76" i="10"/>
  <c r="DF76" i="10"/>
  <c r="DG76" i="10"/>
  <c r="DH76" i="10"/>
  <c r="DI76" i="10"/>
  <c r="DJ76" i="10"/>
  <c r="DK76" i="10"/>
  <c r="DL76" i="10"/>
  <c r="DM76" i="10"/>
  <c r="DN76" i="10"/>
  <c r="DO76" i="10"/>
  <c r="DP76" i="10"/>
  <c r="DQ76" i="10"/>
  <c r="DR76" i="10"/>
  <c r="DS76" i="10"/>
  <c r="DT76" i="10"/>
  <c r="DU76" i="10"/>
  <c r="DV76" i="10"/>
  <c r="DW76" i="10"/>
  <c r="DX76" i="10"/>
  <c r="DY76" i="10"/>
  <c r="DZ76" i="10"/>
  <c r="EA76" i="10"/>
  <c r="EB76" i="10"/>
  <c r="EC76" i="10"/>
  <c r="ED76" i="10"/>
  <c r="EE76" i="10"/>
  <c r="EF76" i="10"/>
  <c r="EG76" i="10"/>
  <c r="EH76" i="10"/>
  <c r="EI76" i="10"/>
  <c r="EJ76" i="10"/>
  <c r="EK76" i="10"/>
  <c r="EL76" i="10"/>
  <c r="EM76" i="10"/>
  <c r="EN76" i="10"/>
  <c r="EO76" i="10"/>
  <c r="EP76" i="10"/>
  <c r="EQ76" i="10"/>
  <c r="ER76" i="10"/>
  <c r="ES76" i="10"/>
  <c r="ET76" i="10"/>
  <c r="EU76" i="10"/>
  <c r="EV76" i="10"/>
  <c r="EW76" i="10"/>
  <c r="EX76" i="10"/>
  <c r="EY76" i="10"/>
  <c r="EZ76" i="10"/>
  <c r="FA76" i="10"/>
  <c r="FB76" i="10"/>
  <c r="FC76" i="10"/>
  <c r="FD76" i="10"/>
  <c r="FE76" i="10"/>
  <c r="FF76" i="10"/>
  <c r="FG76" i="10"/>
  <c r="FH76" i="10"/>
  <c r="FI76" i="10"/>
  <c r="FJ76" i="10"/>
  <c r="FK76" i="10"/>
  <c r="FL76" i="10"/>
  <c r="FM76" i="10"/>
  <c r="FN76" i="10"/>
  <c r="FO76" i="10"/>
  <c r="FP76" i="10"/>
  <c r="FQ76" i="10"/>
  <c r="FR76" i="10"/>
  <c r="FS76" i="10"/>
  <c r="FT76" i="10"/>
  <c r="FU76" i="10"/>
  <c r="FV76" i="10"/>
  <c r="FW76" i="10"/>
  <c r="FX76" i="10"/>
  <c r="FY76" i="10"/>
  <c r="FZ76" i="10"/>
  <c r="GA76" i="10"/>
  <c r="GB76" i="10"/>
  <c r="GC76" i="10"/>
  <c r="GD76" i="10"/>
  <c r="GE76" i="10"/>
  <c r="GF76" i="10"/>
  <c r="GG76" i="10"/>
  <c r="GH76" i="10"/>
  <c r="GI76" i="10"/>
  <c r="GJ76" i="10"/>
  <c r="GK76" i="10"/>
  <c r="GL76" i="10"/>
  <c r="GM76" i="10"/>
  <c r="GN76" i="10"/>
  <c r="GO76" i="10"/>
  <c r="GP76" i="10"/>
  <c r="GQ76" i="10"/>
  <c r="GR76" i="10"/>
  <c r="GS76" i="10"/>
  <c r="GT76" i="10"/>
  <c r="GU76" i="10"/>
  <c r="GV76" i="10"/>
  <c r="GW76" i="10"/>
  <c r="GX76" i="10"/>
  <c r="GY76" i="10"/>
  <c r="GZ76" i="10"/>
  <c r="HA76" i="10"/>
  <c r="HB76" i="10"/>
  <c r="HC76" i="10"/>
  <c r="HD76" i="10"/>
  <c r="HE76" i="10"/>
  <c r="HF76" i="10"/>
  <c r="HG76" i="10"/>
  <c r="HH76" i="10"/>
  <c r="HI76" i="10"/>
  <c r="HJ76" i="10"/>
  <c r="HK76" i="10"/>
  <c r="HL76" i="10"/>
  <c r="HM76" i="10"/>
  <c r="HN76" i="10"/>
  <c r="HO76" i="10"/>
  <c r="HP76" i="10"/>
  <c r="HQ76" i="10"/>
  <c r="HR76" i="10"/>
  <c r="HS76" i="10"/>
  <c r="HT76" i="10"/>
  <c r="HU76" i="10"/>
  <c r="HV76" i="10"/>
  <c r="HW76" i="10"/>
  <c r="HX76" i="10"/>
  <c r="HY76" i="10"/>
  <c r="HZ76" i="10"/>
  <c r="IA76" i="10"/>
  <c r="IB76" i="10"/>
  <c r="IC76" i="10"/>
  <c r="ID76" i="10"/>
  <c r="IE76" i="10"/>
  <c r="IF76" i="10"/>
  <c r="IG76" i="10"/>
  <c r="IH76" i="10"/>
  <c r="II76" i="10"/>
  <c r="IJ76" i="10"/>
  <c r="IK76" i="10"/>
  <c r="IL76" i="10"/>
  <c r="IM76" i="10"/>
  <c r="IN76" i="10"/>
  <c r="IO76" i="10"/>
  <c r="IP76" i="10"/>
  <c r="IQ76" i="10"/>
  <c r="IR76" i="10"/>
  <c r="IS76" i="10"/>
  <c r="IT76" i="10"/>
  <c r="IU76" i="10"/>
  <c r="IV76" i="10"/>
  <c r="IW76" i="10"/>
  <c r="IX76" i="10"/>
  <c r="IY76" i="10"/>
  <c r="IZ76" i="10"/>
  <c r="JA76" i="10"/>
  <c r="JB76" i="10"/>
  <c r="JC76" i="10"/>
  <c r="JD76" i="10"/>
  <c r="JE76" i="10"/>
  <c r="JF76" i="10"/>
  <c r="JG76" i="10"/>
  <c r="JH76" i="10"/>
  <c r="JI76" i="10"/>
  <c r="JJ76" i="10"/>
  <c r="JK76" i="10"/>
  <c r="JL76" i="10"/>
  <c r="JM76" i="10"/>
  <c r="JN76" i="10"/>
  <c r="JO76" i="10"/>
  <c r="JP76" i="10"/>
  <c r="JQ76" i="10"/>
  <c r="JR76" i="10"/>
  <c r="JS76" i="10"/>
  <c r="JT76" i="10"/>
  <c r="JU76" i="10"/>
  <c r="JV76" i="10"/>
  <c r="JW76" i="10"/>
  <c r="JX76" i="10"/>
  <c r="JY76" i="10"/>
  <c r="JZ76" i="10"/>
  <c r="KA76" i="10"/>
  <c r="KB76" i="10"/>
  <c r="KC76" i="10"/>
  <c r="KD76" i="10"/>
  <c r="KE76" i="10"/>
  <c r="KF76" i="10"/>
  <c r="KG76" i="10"/>
  <c r="KH76" i="10"/>
  <c r="KI76" i="10"/>
  <c r="KJ76" i="10"/>
  <c r="KK76" i="10"/>
  <c r="KL76" i="10"/>
  <c r="KM76" i="10"/>
  <c r="KN76" i="10"/>
  <c r="KO76" i="10"/>
  <c r="KP76" i="10"/>
  <c r="KQ76" i="10"/>
  <c r="KR76" i="10"/>
  <c r="KS76" i="10"/>
  <c r="KT76" i="10"/>
  <c r="KU76" i="10"/>
  <c r="KV76" i="10"/>
  <c r="KW76" i="10"/>
  <c r="KX76" i="10"/>
  <c r="KY76" i="10"/>
  <c r="KZ76" i="10"/>
  <c r="LA76" i="10"/>
  <c r="LB76" i="10"/>
  <c r="LC76" i="10"/>
  <c r="LD76" i="10"/>
  <c r="LE76" i="10"/>
  <c r="LF76" i="10"/>
  <c r="LG76" i="10"/>
  <c r="LH76" i="10"/>
  <c r="LI76" i="10"/>
  <c r="LJ76" i="10"/>
  <c r="LK76" i="10"/>
  <c r="LL76" i="10"/>
  <c r="LM76" i="10"/>
  <c r="LN76" i="10"/>
  <c r="LO76" i="10"/>
  <c r="LP76" i="10"/>
  <c r="LQ76" i="10"/>
  <c r="LR76" i="10"/>
  <c r="LS76" i="10"/>
  <c r="LT76" i="10"/>
  <c r="LU76" i="10"/>
  <c r="LV76" i="10"/>
  <c r="LW76" i="10"/>
  <c r="LX76" i="10"/>
  <c r="LY76" i="10"/>
  <c r="LZ76" i="10"/>
  <c r="MA76" i="10"/>
  <c r="MB76" i="10"/>
  <c r="MC76" i="10"/>
  <c r="MD76" i="10"/>
  <c r="ME76" i="10"/>
  <c r="MF76" i="10"/>
  <c r="MG76" i="10"/>
  <c r="MH76" i="10"/>
  <c r="MI76" i="10"/>
  <c r="MJ76" i="10"/>
  <c r="MK76" i="10"/>
  <c r="ML76" i="10"/>
  <c r="MM76" i="10"/>
  <c r="MN76" i="10"/>
  <c r="MO76" i="10"/>
  <c r="MP76" i="10"/>
  <c r="MQ76" i="10"/>
  <c r="MR76" i="10"/>
  <c r="MS76" i="10"/>
  <c r="MT76" i="10"/>
  <c r="MU76" i="10"/>
  <c r="MV76" i="10"/>
  <c r="MW76" i="10"/>
  <c r="MX76" i="10"/>
  <c r="MY76" i="10"/>
  <c r="MZ76" i="10"/>
  <c r="NA76" i="10"/>
  <c r="NB76" i="10"/>
  <c r="NC76" i="10"/>
  <c r="ND76" i="10"/>
  <c r="NE76" i="10"/>
  <c r="NF76" i="10"/>
  <c r="NG76" i="10"/>
  <c r="NH76" i="10"/>
  <c r="NI76" i="10"/>
  <c r="NJ76" i="10"/>
  <c r="NK76" i="10"/>
  <c r="NL76" i="10"/>
  <c r="NM76" i="10"/>
  <c r="NN76" i="10"/>
  <c r="NO76" i="10"/>
  <c r="NP76" i="10"/>
  <c r="NQ76" i="10"/>
  <c r="NR76" i="10"/>
  <c r="NS76" i="10"/>
  <c r="NT76" i="10"/>
  <c r="NU76" i="10"/>
  <c r="NV76" i="10"/>
  <c r="NW76" i="10"/>
  <c r="NX76" i="10"/>
  <c r="NY76" i="10"/>
  <c r="NZ76" i="10"/>
  <c r="OA76" i="10"/>
  <c r="OB76" i="10"/>
  <c r="OC76" i="10"/>
  <c r="OD76" i="10"/>
  <c r="OE76" i="10"/>
  <c r="OF76" i="10"/>
  <c r="OG76" i="10"/>
  <c r="OH76" i="10"/>
  <c r="OI76" i="10"/>
  <c r="OJ76" i="10"/>
  <c r="OK76" i="10"/>
  <c r="OL76" i="10"/>
  <c r="OM76" i="10"/>
  <c r="ON76" i="10"/>
  <c r="OO76" i="10"/>
  <c r="OP76" i="10"/>
  <c r="OQ76" i="10"/>
  <c r="OR76" i="10"/>
  <c r="OS76" i="10"/>
  <c r="OT76" i="10"/>
  <c r="OU76" i="10"/>
  <c r="OV76" i="10"/>
  <c r="OW76" i="10"/>
  <c r="OX76" i="10"/>
  <c r="OY76" i="10"/>
  <c r="OZ76" i="10"/>
  <c r="PA76" i="10"/>
  <c r="PB76" i="10"/>
  <c r="PC76" i="10"/>
  <c r="PD76" i="10"/>
  <c r="PE76" i="10"/>
  <c r="PF76" i="10"/>
  <c r="PG76" i="10"/>
  <c r="PH76" i="10"/>
  <c r="PI76" i="10"/>
  <c r="PJ76" i="10"/>
  <c r="PK76" i="10"/>
  <c r="PL76" i="10"/>
  <c r="PM76" i="10"/>
  <c r="PN76" i="10"/>
  <c r="PO76" i="10"/>
  <c r="PP76" i="10"/>
  <c r="PQ76" i="10"/>
  <c r="PR76" i="10"/>
  <c r="PS76" i="10"/>
  <c r="PT76" i="10"/>
  <c r="PU76" i="10"/>
  <c r="PV76" i="10"/>
  <c r="PW76" i="10"/>
  <c r="PX76" i="10"/>
  <c r="PY76" i="10"/>
  <c r="PZ76" i="10"/>
  <c r="QA76" i="10"/>
  <c r="QB76" i="10"/>
  <c r="QC76" i="10"/>
  <c r="QD76" i="10"/>
  <c r="QE76" i="10"/>
  <c r="QF76" i="10"/>
  <c r="QG76" i="10"/>
  <c r="QH76" i="10"/>
  <c r="QI76" i="10"/>
  <c r="QJ76" i="10"/>
  <c r="QK76" i="10"/>
  <c r="QL76" i="10"/>
  <c r="C76" i="10"/>
  <c r="F191" i="11" l="1"/>
  <c r="F10" i="11"/>
  <c r="FN191" i="11" l="1"/>
  <c r="FN10" i="11"/>
  <c r="F291" i="11" l="1"/>
  <c r="F198" i="11"/>
  <c r="F186" i="11"/>
  <c r="F120" i="11"/>
  <c r="FN291" i="11" l="1"/>
  <c r="FN198" i="11"/>
  <c r="FN186" i="11"/>
  <c r="FN120" i="11"/>
  <c r="F228" i="11" l="1"/>
  <c r="F137" i="11"/>
  <c r="FN228" i="11" l="1"/>
  <c r="FN137" i="11"/>
  <c r="F183" i="11" l="1"/>
  <c r="F384" i="11"/>
  <c r="FN183" i="11" l="1"/>
  <c r="FN384" i="11"/>
  <c r="F304" i="11" l="1"/>
  <c r="F306" i="11"/>
  <c r="F93" i="11"/>
  <c r="F35" i="11"/>
  <c r="F94" i="11"/>
  <c r="FN304" i="11" l="1"/>
  <c r="FN306" i="11"/>
  <c r="FN93" i="11"/>
  <c r="FN35" i="11"/>
  <c r="FN94" i="11"/>
  <c r="RL76" i="10" l="1"/>
  <c r="F282" i="11" l="1"/>
  <c r="F44" i="11"/>
  <c r="FN282" i="11" l="1"/>
  <c r="FN44" i="11"/>
  <c r="F208" i="11" l="1"/>
  <c r="F348" i="11"/>
  <c r="F388" i="11"/>
  <c r="FN208" i="11" l="1"/>
  <c r="FN348" i="11"/>
  <c r="FN388" i="11"/>
  <c r="FN379" i="11" l="1"/>
  <c r="F379" i="11"/>
  <c r="F39" i="11" l="1"/>
  <c r="F15" i="11"/>
  <c r="F298" i="11"/>
  <c r="F295" i="11"/>
  <c r="F278" i="11"/>
  <c r="F217" i="11"/>
  <c r="F139" i="11"/>
  <c r="FN39" i="11" l="1"/>
  <c r="FN15" i="11"/>
  <c r="FN298" i="11"/>
  <c r="FN295" i="11"/>
  <c r="FN278" i="11"/>
  <c r="FN217" i="11"/>
  <c r="FN139" i="11"/>
  <c r="F241" i="11" l="1"/>
  <c r="F95" i="11"/>
  <c r="F70" i="11"/>
  <c r="F90" i="11"/>
  <c r="FN241" i="11" l="1"/>
  <c r="FN95" i="11"/>
  <c r="FN70" i="11"/>
  <c r="FN90" i="11"/>
  <c r="F261" i="11" l="1"/>
  <c r="F213" i="11"/>
  <c r="F63" i="11"/>
  <c r="FN261" i="11" l="1"/>
  <c r="FN213" i="11"/>
  <c r="FN63" i="11"/>
  <c r="F293" i="11" l="1"/>
  <c r="FN293" i="11" l="1"/>
  <c r="F98" i="11" l="1"/>
  <c r="F30" i="11"/>
  <c r="F203" i="11"/>
  <c r="F192" i="11"/>
  <c r="F166" i="11"/>
  <c r="F163" i="11"/>
  <c r="FN107" i="11"/>
  <c r="F82" i="11"/>
  <c r="F105" i="11"/>
  <c r="F320" i="11"/>
  <c r="F334" i="11"/>
  <c r="F341" i="11"/>
  <c r="FN98" i="11" l="1"/>
  <c r="FN30" i="11"/>
  <c r="FN203" i="11"/>
  <c r="FN192" i="11"/>
  <c r="FN163" i="11"/>
  <c r="FN166" i="11"/>
  <c r="F107" i="11"/>
  <c r="FN82" i="11"/>
  <c r="FN105" i="11"/>
  <c r="FN320" i="11"/>
  <c r="FN334" i="11"/>
  <c r="FN341" i="11"/>
  <c r="F245" i="11" l="1"/>
  <c r="F83" i="11"/>
  <c r="B393" i="11"/>
  <c r="F393" i="11" s="1"/>
  <c r="FN245" i="11" l="1"/>
  <c r="FN83" i="11"/>
  <c r="FN393" i="11"/>
  <c r="F279" i="11" l="1"/>
  <c r="F142" i="11"/>
  <c r="F43" i="11"/>
  <c r="F14" i="11"/>
  <c r="F78" i="11"/>
  <c r="FN279" i="11" l="1"/>
  <c r="FN142" i="11"/>
  <c r="FN43" i="11"/>
  <c r="FN14" i="11"/>
  <c r="FN78" i="11"/>
  <c r="F158" i="11" l="1"/>
  <c r="F100" i="11"/>
  <c r="F66" i="11"/>
  <c r="F368" i="11"/>
  <c r="F319" i="11"/>
  <c r="FN158" i="11" l="1"/>
  <c r="FN100" i="11"/>
  <c r="FN66" i="11"/>
  <c r="FN368" i="11"/>
  <c r="FN319" i="11"/>
  <c r="F317" i="11" l="1"/>
  <c r="FN317" i="11" l="1"/>
  <c r="F308" i="11" l="1"/>
  <c r="F172" i="11"/>
  <c r="F136" i="11"/>
  <c r="F263" i="11"/>
  <c r="F188" i="11"/>
  <c r="F149" i="11"/>
  <c r="F50" i="11"/>
  <c r="F182" i="11"/>
  <c r="FN4" i="11" l="1"/>
  <c r="F4" i="11"/>
  <c r="FN308" i="11"/>
  <c r="FN172" i="11"/>
  <c r="FN136" i="11"/>
  <c r="FN263" i="11"/>
  <c r="FN188" i="11"/>
  <c r="FN149" i="11"/>
  <c r="FN50" i="11"/>
  <c r="FN182" i="11"/>
  <c r="F265" i="11" l="1"/>
  <c r="F57" i="11"/>
  <c r="F237" i="11"/>
  <c r="F287" i="11"/>
  <c r="FN74" i="11"/>
  <c r="FN265" i="11" l="1"/>
  <c r="FN237" i="11"/>
  <c r="FN287" i="11"/>
  <c r="F74" i="11"/>
  <c r="F157" i="11" l="1"/>
  <c r="F230" i="11"/>
  <c r="F168" i="11"/>
  <c r="F239" i="11"/>
  <c r="F193" i="11"/>
  <c r="F152" i="11"/>
  <c r="F144" i="11"/>
  <c r="F344" i="11"/>
  <c r="F367" i="11"/>
  <c r="F350" i="11"/>
  <c r="F347" i="11"/>
  <c r="F346" i="11"/>
  <c r="F381" i="11"/>
  <c r="F361" i="11"/>
  <c r="FN157" i="11" l="1"/>
  <c r="FN230" i="11"/>
  <c r="FN168" i="11"/>
  <c r="FN239" i="11"/>
  <c r="FN193" i="11"/>
  <c r="FN152" i="11"/>
  <c r="FN144" i="11"/>
  <c r="FN344" i="11"/>
  <c r="FN367" i="11"/>
  <c r="FN350" i="11"/>
  <c r="FN347" i="11"/>
  <c r="FN346" i="11"/>
  <c r="FN381" i="11"/>
  <c r="FN361" i="11"/>
  <c r="FN102" i="11" l="1"/>
  <c r="F176" i="11"/>
  <c r="F275" i="11"/>
  <c r="FN91" i="11"/>
  <c r="FN200" i="11"/>
  <c r="FN123" i="11"/>
  <c r="F5" i="11"/>
  <c r="F91" i="11" l="1"/>
  <c r="F102" i="11"/>
  <c r="FN176" i="11"/>
  <c r="FN275" i="11"/>
  <c r="F200" i="11"/>
  <c r="F123" i="11"/>
  <c r="FN5" i="11"/>
  <c r="F76" i="11" l="1"/>
  <c r="F224" i="11"/>
  <c r="FN274" i="11"/>
  <c r="FN240" i="11"/>
  <c r="FN276" i="11"/>
  <c r="FN76" i="11" l="1"/>
  <c r="FN224" i="11"/>
  <c r="F274" i="11"/>
  <c r="F240" i="11"/>
  <c r="F276" i="11"/>
  <c r="F68" i="11" l="1"/>
  <c r="FN68" i="11"/>
  <c r="F205" i="11"/>
  <c r="FN205" i="11"/>
  <c r="F349" i="11" l="1"/>
  <c r="FN349" i="11"/>
  <c r="F345" i="11" l="1"/>
  <c r="FN345" i="11"/>
  <c r="F398" i="11" l="1"/>
  <c r="FN398" i="11"/>
  <c r="F247" i="11" l="1"/>
  <c r="FN138" i="11"/>
  <c r="F48" i="11"/>
  <c r="FN229" i="11"/>
  <c r="F214" i="11"/>
  <c r="F171" i="11"/>
  <c r="F131" i="11"/>
  <c r="F294" i="11" l="1"/>
  <c r="FN294" i="11"/>
  <c r="FN48" i="11"/>
  <c r="FN247" i="11"/>
  <c r="F138" i="11"/>
  <c r="FN171" i="11"/>
  <c r="FN131" i="11"/>
  <c r="FN214" i="11"/>
  <c r="F229" i="11"/>
  <c r="FN119" i="11" l="1"/>
  <c r="F36" i="11"/>
  <c r="F130" i="11"/>
  <c r="F119" i="11" l="1"/>
  <c r="FN36" i="11"/>
  <c r="FN130" i="11"/>
  <c r="F71" i="11" l="1"/>
  <c r="F302" i="11"/>
  <c r="F280" i="11"/>
  <c r="F195" i="11"/>
  <c r="F329" i="11"/>
  <c r="FN302" i="11" l="1"/>
  <c r="FN71" i="11"/>
  <c r="FN280" i="11"/>
  <c r="FN195" i="11"/>
  <c r="FN329" i="11"/>
  <c r="F395" i="11" l="1"/>
  <c r="FN395" i="11"/>
  <c r="F277" i="11" l="1"/>
  <c r="F223" i="11"/>
  <c r="F104" i="11"/>
  <c r="F351" i="11"/>
  <c r="F342" i="11"/>
  <c r="F383" i="11"/>
  <c r="FN277" i="11" l="1"/>
  <c r="FN223" i="11"/>
  <c r="FN104" i="11"/>
  <c r="FN351" i="11"/>
  <c r="FN342" i="11"/>
  <c r="FN383" i="11"/>
  <c r="F150" i="11" l="1"/>
  <c r="F32" i="11"/>
  <c r="FN150" i="11" l="1"/>
  <c r="FN32" i="11"/>
  <c r="F256" i="11" l="1"/>
  <c r="F365" i="11"/>
  <c r="F387" i="11"/>
  <c r="F89" i="11" l="1"/>
  <c r="FN89" i="11"/>
  <c r="FN256" i="11"/>
  <c r="FN387" i="11"/>
  <c r="FN365" i="11"/>
  <c r="F397" i="11" l="1"/>
  <c r="F399" i="11"/>
  <c r="F402" i="11"/>
  <c r="F376" i="11"/>
  <c r="F377" i="11"/>
  <c r="F378" i="11"/>
  <c r="F382" i="11"/>
  <c r="F358" i="11"/>
  <c r="F359" i="11"/>
  <c r="F362" i="11"/>
  <c r="F366" i="11"/>
  <c r="F371" i="11"/>
  <c r="F372" i="11"/>
  <c r="F333" i="11"/>
  <c r="F336" i="11"/>
  <c r="F338" i="11"/>
  <c r="F340" i="11"/>
  <c r="F343" i="11"/>
  <c r="F352" i="11"/>
  <c r="F353" i="11"/>
  <c r="F354" i="11"/>
  <c r="F323" i="11"/>
  <c r="F328" i="11"/>
  <c r="F316" i="11"/>
  <c r="F330" i="11"/>
  <c r="F332" i="11"/>
  <c r="F288" i="11"/>
  <c r="F289" i="11"/>
  <c r="F290" i="11"/>
  <c r="F301" i="11"/>
  <c r="F303" i="11"/>
  <c r="F305" i="11"/>
  <c r="F307" i="11"/>
  <c r="F309" i="11"/>
  <c r="F311" i="11"/>
  <c r="F313" i="11"/>
  <c r="FN266" i="11"/>
  <c r="F267" i="11"/>
  <c r="FN268" i="11"/>
  <c r="F269" i="11"/>
  <c r="FN270" i="11"/>
  <c r="F271" i="11"/>
  <c r="F272" i="11"/>
  <c r="F273" i="11"/>
  <c r="F250" i="11"/>
  <c r="F251" i="11"/>
  <c r="F252" i="11"/>
  <c r="F254" i="11"/>
  <c r="F255" i="11"/>
  <c r="F257" i="11"/>
  <c r="F258" i="11"/>
  <c r="F259" i="11"/>
  <c r="F262" i="11"/>
  <c r="F264" i="11"/>
  <c r="FN235" i="11"/>
  <c r="F243" i="11"/>
  <c r="FN244" i="11"/>
  <c r="F246" i="11"/>
  <c r="FN248" i="11"/>
  <c r="F249" i="11"/>
  <c r="FN215" i="11"/>
  <c r="FN216" i="11"/>
  <c r="F218" i="11"/>
  <c r="FN219" i="11"/>
  <c r="FN220" i="11"/>
  <c r="F221" i="11"/>
  <c r="FN222" i="11"/>
  <c r="F225" i="11"/>
  <c r="FN226" i="11"/>
  <c r="FN231" i="11"/>
  <c r="FN232" i="11"/>
  <c r="F233" i="11"/>
  <c r="FN234" i="11"/>
  <c r="FN190" i="11"/>
  <c r="F194" i="11"/>
  <c r="F196" i="11"/>
  <c r="F197" i="11"/>
  <c r="F201" i="11"/>
  <c r="F204" i="11"/>
  <c r="FN207" i="11"/>
  <c r="F209" i="11"/>
  <c r="FN210" i="11"/>
  <c r="F211" i="11"/>
  <c r="F212" i="11"/>
  <c r="F174" i="11"/>
  <c r="FN175" i="11"/>
  <c r="FN177" i="11"/>
  <c r="FN178" i="11"/>
  <c r="FN179" i="11"/>
  <c r="F180" i="11"/>
  <c r="F181" i="11"/>
  <c r="F184" i="11"/>
  <c r="F187" i="11"/>
  <c r="F189" i="11"/>
  <c r="FN161" i="11"/>
  <c r="FN162" i="11"/>
  <c r="F164" i="11"/>
  <c r="F165" i="11"/>
  <c r="F167" i="11"/>
  <c r="F169" i="11"/>
  <c r="F170" i="11"/>
  <c r="F173" i="11"/>
  <c r="F140" i="11"/>
  <c r="F141" i="11"/>
  <c r="F143" i="11"/>
  <c r="FN146" i="11"/>
  <c r="F147" i="11"/>
  <c r="FN153" i="11"/>
  <c r="F155" i="11"/>
  <c r="FN156" i="11"/>
  <c r="F159" i="11"/>
  <c r="FN111" i="11"/>
  <c r="F113" i="11"/>
  <c r="F114" i="11"/>
  <c r="FN115" i="11"/>
  <c r="FN116" i="11"/>
  <c r="FN117" i="11"/>
  <c r="F121" i="11"/>
  <c r="F124" i="11"/>
  <c r="F126" i="11"/>
  <c r="FN127" i="11"/>
  <c r="F128" i="11"/>
  <c r="FN129" i="11"/>
  <c r="F135" i="11"/>
  <c r="FN92" i="11"/>
  <c r="F97" i="11"/>
  <c r="F106" i="11"/>
  <c r="F108" i="11"/>
  <c r="F109" i="11"/>
  <c r="F110" i="11"/>
  <c r="FN59" i="11"/>
  <c r="F60" i="11"/>
  <c r="F61" i="11"/>
  <c r="FN62" i="11"/>
  <c r="F72" i="11"/>
  <c r="F73" i="11"/>
  <c r="F81" i="11"/>
  <c r="FN85" i="11"/>
  <c r="F42" i="11"/>
  <c r="FN47" i="11"/>
  <c r="F49" i="11"/>
  <c r="FN51" i="11"/>
  <c r="F52" i="11"/>
  <c r="F53" i="11"/>
  <c r="F54" i="11"/>
  <c r="FN56" i="11"/>
  <c r="FN21" i="11"/>
  <c r="F22" i="11"/>
  <c r="FN24" i="11"/>
  <c r="F29" i="11"/>
  <c r="F31" i="11"/>
  <c r="F33" i="11"/>
  <c r="F40" i="11"/>
  <c r="F6" i="11"/>
  <c r="FN7" i="11"/>
  <c r="FN9" i="11"/>
  <c r="F11" i="11"/>
  <c r="FN12" i="11"/>
  <c r="F13" i="11"/>
  <c r="F16" i="11"/>
  <c r="F17" i="11"/>
  <c r="F18" i="11"/>
  <c r="F19" i="11"/>
  <c r="F20" i="11"/>
  <c r="RP33" i="10" l="1"/>
  <c r="F88" i="11"/>
  <c r="FN88" i="11"/>
  <c r="FN99" i="11"/>
  <c r="F99" i="11"/>
  <c r="F92" i="11"/>
  <c r="F315" i="11"/>
  <c r="F103" i="11"/>
  <c r="FN103" i="11"/>
  <c r="F232" i="11"/>
  <c r="F216" i="11"/>
  <c r="FN311" i="11"/>
  <c r="F268" i="11"/>
  <c r="FN382" i="11"/>
  <c r="FN194" i="11"/>
  <c r="FN402" i="11"/>
  <c r="F148" i="11"/>
  <c r="FN148" i="11"/>
  <c r="FN221" i="11"/>
  <c r="F215" i="11"/>
  <c r="F162" i="11"/>
  <c r="FN264" i="11"/>
  <c r="FN211" i="11"/>
  <c r="FN159" i="11"/>
  <c r="F207" i="11"/>
  <c r="FN225" i="11"/>
  <c r="FN128" i="11"/>
  <c r="FN386" i="11"/>
  <c r="F386" i="11"/>
  <c r="FN297" i="11"/>
  <c r="F297" i="11"/>
  <c r="FN375" i="11"/>
  <c r="F375" i="11"/>
  <c r="FN370" i="11"/>
  <c r="F370" i="11"/>
  <c r="FN360" i="11"/>
  <c r="F360" i="11"/>
  <c r="FN326" i="11"/>
  <c r="F326" i="11"/>
  <c r="FN355" i="11"/>
  <c r="F355" i="11"/>
  <c r="FN339" i="11"/>
  <c r="F339" i="11"/>
  <c r="FN325" i="11"/>
  <c r="F325" i="11"/>
  <c r="FN374" i="11"/>
  <c r="F374" i="11"/>
  <c r="FN369" i="11"/>
  <c r="F369" i="11"/>
  <c r="FN364" i="11"/>
  <c r="F364" i="11"/>
  <c r="FN391" i="11"/>
  <c r="F391" i="11"/>
  <c r="FN335" i="11"/>
  <c r="F335" i="11"/>
  <c r="FN331" i="11"/>
  <c r="F331" i="11"/>
  <c r="FN327" i="11"/>
  <c r="F327" i="11"/>
  <c r="FN324" i="11"/>
  <c r="F324" i="11"/>
  <c r="FN356" i="11"/>
  <c r="F356" i="11"/>
  <c r="FN61" i="11"/>
  <c r="F248" i="11"/>
  <c r="F222" i="11"/>
  <c r="FN212" i="11"/>
  <c r="FN173" i="11"/>
  <c r="FN114" i="11"/>
  <c r="FN271" i="11"/>
  <c r="FN366" i="11"/>
  <c r="FN397" i="11"/>
  <c r="F266" i="11"/>
  <c r="F219" i="11"/>
  <c r="F178" i="11"/>
  <c r="FN343" i="11"/>
  <c r="FN126" i="11"/>
  <c r="FN338" i="11"/>
  <c r="FN305" i="11"/>
  <c r="FN378" i="11"/>
  <c r="FN371" i="11"/>
  <c r="FN354" i="11"/>
  <c r="FN323" i="11"/>
  <c r="FN246" i="11"/>
  <c r="F62" i="11"/>
  <c r="FN109" i="11"/>
  <c r="FN257" i="11"/>
  <c r="FN189" i="11"/>
  <c r="FN121" i="11"/>
  <c r="FN22" i="11"/>
  <c r="F115" i="11"/>
  <c r="FN49" i="11"/>
  <c r="FN167" i="11"/>
  <c r="FN362" i="11"/>
  <c r="FN332" i="11"/>
  <c r="F127" i="11"/>
  <c r="FN54" i="11"/>
  <c r="FN19" i="11"/>
  <c r="FN33" i="11"/>
  <c r="FN330" i="11"/>
  <c r="FN233" i="11"/>
  <c r="F270" i="11"/>
  <c r="FN313" i="11"/>
  <c r="FN180" i="11"/>
  <c r="FN113" i="11"/>
  <c r="F210" i="11"/>
  <c r="F161" i="11"/>
  <c r="FN273" i="11"/>
  <c r="FN255" i="11"/>
  <c r="FN187" i="11"/>
  <c r="FN316" i="11"/>
  <c r="FN372" i="11"/>
  <c r="FN259" i="11"/>
  <c r="FN170" i="11"/>
  <c r="FN328" i="11"/>
  <c r="F235" i="11"/>
  <c r="F177" i="11"/>
  <c r="F117" i="11"/>
  <c r="FN309" i="11"/>
  <c r="FN262" i="11"/>
  <c r="FN252" i="11"/>
  <c r="FN218" i="11"/>
  <c r="FN315" i="11"/>
  <c r="F231" i="11"/>
  <c r="F220" i="11"/>
  <c r="FN124" i="11"/>
  <c r="FN359" i="11"/>
  <c r="FN169" i="11"/>
  <c r="FN81" i="11"/>
  <c r="FN72" i="11"/>
  <c r="F179" i="11"/>
  <c r="FN135" i="11"/>
  <c r="FN106" i="11"/>
  <c r="F21" i="11"/>
  <c r="F47" i="11"/>
  <c r="FN289" i="11"/>
  <c r="FN197" i="11"/>
  <c r="FN288" i="11"/>
  <c r="FN303" i="11"/>
  <c r="FN184" i="11"/>
  <c r="F9" i="11"/>
  <c r="F7" i="11"/>
  <c r="FN249" i="11"/>
  <c r="F190" i="11"/>
  <c r="FN358" i="11"/>
  <c r="FN376" i="11"/>
  <c r="FN333" i="11"/>
  <c r="FN312" i="11"/>
  <c r="FN181" i="11"/>
  <c r="FN164" i="11"/>
  <c r="FN174" i="11"/>
  <c r="F12" i="11"/>
  <c r="F56" i="11"/>
  <c r="FN52" i="11"/>
  <c r="F85" i="11"/>
  <c r="FN17" i="11"/>
  <c r="FN250" i="11"/>
  <c r="FN143" i="11"/>
  <c r="FN108" i="11"/>
  <c r="FN73" i="11"/>
  <c r="FN53" i="11"/>
  <c r="FN165" i="11"/>
  <c r="FN97" i="11"/>
  <c r="FN31" i="11"/>
  <c r="FN13" i="11"/>
  <c r="FN40" i="11"/>
  <c r="FN18" i="11"/>
  <c r="FN110" i="11"/>
  <c r="FN29" i="11"/>
  <c r="FN352" i="11"/>
  <c r="FN340" i="11"/>
  <c r="FN336" i="11"/>
  <c r="F51" i="11"/>
  <c r="F234" i="11"/>
  <c r="F116" i="11"/>
  <c r="F111" i="11"/>
  <c r="FN60" i="11"/>
  <c r="FN42" i="11"/>
  <c r="FN196" i="11"/>
  <c r="FN20" i="11"/>
  <c r="FN16" i="11"/>
  <c r="FN6" i="11"/>
  <c r="F226" i="11"/>
  <c r="F175" i="11"/>
  <c r="F59" i="11"/>
  <c r="F24" i="11"/>
  <c r="FN272" i="11"/>
  <c r="FN269" i="11"/>
  <c r="FN267" i="11"/>
  <c r="FN209" i="11"/>
  <c r="FN204" i="11"/>
  <c r="FN377" i="11"/>
  <c r="F244" i="11"/>
  <c r="FN258" i="11"/>
  <c r="FN254" i="11"/>
  <c r="FN251" i="11"/>
  <c r="F156" i="11"/>
  <c r="F146" i="11"/>
  <c r="F129" i="11"/>
  <c r="FN307" i="11"/>
  <c r="FN301" i="11"/>
  <c r="FN290" i="11"/>
  <c r="FN399" i="11"/>
  <c r="FN201" i="11"/>
  <c r="FN140" i="11"/>
  <c r="FN353" i="11"/>
  <c r="FN155" i="11"/>
  <c r="FN147" i="11"/>
  <c r="FN141" i="11"/>
  <c r="F153" i="11"/>
  <c r="FN396" i="11" l="1"/>
  <c r="F396" i="11"/>
  <c r="B394" i="11" l="1"/>
  <c r="F394" i="11" l="1"/>
  <c r="FN394" i="11" l="1"/>
  <c r="F27" i="11" l="1"/>
  <c r="FN27" i="11" l="1"/>
  <c r="FN69" i="11" l="1"/>
  <c r="F69" i="11" l="1"/>
  <c r="FN283" i="11" l="1"/>
  <c r="F283" i="11" l="1"/>
  <c r="FN67" i="11" l="1"/>
  <c r="F67" i="11"/>
  <c r="F101" i="11" l="1"/>
  <c r="FN101" i="11"/>
  <c r="B314" i="11" l="1"/>
  <c r="FN37" i="11"/>
  <c r="F37" i="11"/>
  <c r="F314" i="11" l="1"/>
  <c r="FN314" i="11"/>
  <c r="FN11" i="11" l="1"/>
  <c r="H405" i="11" l="1"/>
  <c r="G403" i="11"/>
  <c r="G404" i="11" s="1"/>
  <c r="B400" i="11"/>
  <c r="F400" i="11" s="1"/>
  <c r="G405" i="11" l="1"/>
  <c r="B403" i="11"/>
  <c r="FN400" i="11"/>
  <c r="F403" i="11" l="1"/>
  <c r="FN403" i="11"/>
  <c r="B404" i="11"/>
  <c r="FN404" i="11" l="1"/>
  <c r="F40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Lesli2005</author>
    <author>Office-pc</author>
  </authors>
  <commentList>
    <comment ref="RM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2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22/02</t>
        </r>
      </text>
    </comment>
    <comment ref="RN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27/02</t>
        </r>
      </text>
    </comment>
    <comment ref="RM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M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L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1584 $ курс 2,678</t>
        </r>
      </text>
    </comment>
    <comment ref="RN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M10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10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</t>
        </r>
      </text>
    </comment>
    <comment ref="RN12" authorId="0" shapeId="0" xr:uid="{00000000-0006-0000-0000-00000A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
24/02
27/02</t>
        </r>
      </text>
    </comment>
    <comment ref="RN13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14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M15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M16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26/01</t>
        </r>
      </text>
    </comment>
    <comment ref="RN16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RN17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N19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RN21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RN23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4" authorId="0" shapeId="0" xr:uid="{00000000-0006-0000-0000-00001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26" authorId="1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16/02
20/02</t>
        </r>
      </text>
    </comment>
    <comment ref="RN27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8" authorId="1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RL33" authorId="1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167,64 $ курс 2,7632
</t>
        </r>
      </text>
    </comment>
    <comment ref="RN34" authorId="1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RN35" authorId="1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RN36" authorId="0" shapeId="0" xr:uid="{00000000-0006-0000-0000-00001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N38" authorId="0" shapeId="0" xr:uid="{00000000-0006-0000-0000-00001C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24/02</t>
        </r>
      </text>
    </comment>
    <comment ref="RN39" authorId="1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
23/02</t>
        </r>
      </text>
    </comment>
    <comment ref="RN40" authorId="1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13/0215/02</t>
        </r>
      </text>
    </comment>
    <comment ref="RN42" authorId="1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</t>
        </r>
      </text>
    </comment>
    <comment ref="RN44" authorId="0" shapeId="0" xr:uid="{00000000-0006-0000-0000-00001F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M45" authorId="1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26/01</t>
        </r>
      </text>
    </comment>
    <comment ref="RN45" authorId="1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RN46" authorId="0" shapeId="0" xr:uid="{00000000-0006-0000-0000-00002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22/02</t>
        </r>
      </text>
    </comment>
    <comment ref="RN48" authorId="1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08/02</t>
        </r>
      </text>
    </comment>
    <comment ref="RN50" authorId="1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RO51" authorId="0" shapeId="0" xr:uid="{00000000-0006-0000-0000-00002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</t>
        </r>
      </text>
    </comment>
    <comment ref="RL52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374,4 $ </t>
        </r>
      </text>
    </comment>
    <comment ref="RN53" authorId="0" shapeId="0" xr:uid="{00000000-0006-0000-0000-000028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20/02</t>
        </r>
      </text>
    </comment>
    <comment ref="RN54" authorId="0" shapeId="0" xr:uid="{00000000-0006-0000-0000-00002A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N55" authorId="0" shapeId="0" xr:uid="{00000000-0006-0000-0000-000029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57" authorId="0" shapeId="0" xr:uid="{00000000-0006-0000-0000-00002D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58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15/02
21/02
22/02</t>
        </r>
      </text>
    </comment>
    <comment ref="RO58" authorId="0" shapeId="0" xr:uid="{00000000-0006-0000-0000-00002C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
02/03</t>
        </r>
      </text>
    </comment>
    <comment ref="RN59" authorId="0" shapeId="0" xr:uid="{00000000-0006-0000-0000-00002E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RM67" authorId="0" shapeId="0" xr:uid="{00000000-0006-0000-0000-000030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67" authorId="0" shapeId="0" xr:uid="{00000000-0006-0000-0000-000031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69" authorId="0" shapeId="0" xr:uid="{00000000-0006-0000-0000-00002F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70" authorId="0" shapeId="0" xr:uid="{00000000-0006-0000-0000-00003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17/02</t>
        </r>
      </text>
    </comment>
    <comment ref="RN71" authorId="0" shapeId="0" xr:uid="{00000000-0006-0000-0000-00003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20/02</t>
        </r>
      </text>
    </comment>
    <comment ref="RN72" authorId="0" shapeId="0" xr:uid="{00000000-0006-0000-0000-000034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O75" authorId="0" shapeId="0" xr:uid="{00000000-0006-0000-0000-00003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Ольга</author>
    <author>Lesli2005</author>
  </authors>
  <commentList>
    <comment ref="FM216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M309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N421" authorId="1" shapeId="0" xr:uid="{00000000-0006-0000-01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на 01.03.23 сумма 4964$ предоплата</t>
        </r>
      </text>
    </comment>
  </commentList>
</comments>
</file>

<file path=xl/sharedStrings.xml><?xml version="1.0" encoding="utf-8"?>
<sst xmlns="http://schemas.openxmlformats.org/spreadsheetml/2006/main" count="1428" uniqueCount="626">
  <si>
    <t>дата отгр</t>
  </si>
  <si>
    <t>Малина</t>
  </si>
  <si>
    <t>Ром 550</t>
  </si>
  <si>
    <t>Итого</t>
  </si>
  <si>
    <t>вид товара</t>
  </si>
  <si>
    <t>сумма отгр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</si>
  <si>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</si>
  <si>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</si>
  <si>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</si>
  <si>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</si>
  <si>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</si>
  <si>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</si>
  <si>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</si>
  <si>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</si>
  <si>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</si>
  <si>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</si>
  <si>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</si>
  <si>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</si>
  <si>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</si>
  <si>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</si>
  <si>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</si>
  <si>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</si>
  <si>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</si>
  <si>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</si>
  <si>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</si>
  <si>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</si>
  <si>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</si>
  <si>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</si>
  <si>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</si>
  <si>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</si>
  <si>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</si>
  <si>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</si>
  <si>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</si>
  <si>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</si>
  <si>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</si>
  <si>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</si>
  <si>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>аромы</t>
  </si>
  <si>
    <t>Себест, руб с ндс</t>
  </si>
  <si>
    <t>рент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</si>
  <si>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</si>
  <si>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</si>
  <si>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</si>
  <si>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</si>
  <si>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</si>
  <si>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</si>
  <si>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</si>
  <si>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</si>
  <si>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</si>
  <si>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</si>
  <si>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</si>
  <si>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</si>
  <si>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</si>
  <si>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</si>
  <si>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</si>
  <si>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</si>
  <si>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</si>
  <si>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 xml:space="preserve">себест 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</si>
  <si>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</si>
  <si>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</si>
  <si>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</si>
  <si>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</si>
  <si>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</si>
  <si>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</si>
  <si>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</si>
  <si>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</si>
  <si>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</si>
  <si>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</si>
  <si>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</si>
  <si>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</si>
  <si>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</si>
  <si>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</si>
  <si>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</si>
  <si>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</si>
  <si>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</si>
  <si>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</si>
  <si>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</si>
  <si>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</si>
  <si>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</si>
  <si>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</si>
  <si>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</si>
  <si>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</si>
  <si>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</si>
  <si>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</si>
  <si>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</si>
  <si>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</si>
  <si>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</si>
  <si>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</si>
  <si>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</si>
  <si>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</si>
  <si>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</si>
  <si>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</si>
  <si>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</si>
  <si>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</si>
  <si>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</si>
  <si>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</si>
  <si>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</si>
  <si>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</si>
  <si>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</si>
  <si>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</si>
  <si>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</si>
  <si>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</si>
  <si>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</si>
  <si>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</si>
  <si>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</si>
  <si>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</si>
  <si>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</si>
  <si>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</si>
  <si>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</si>
  <si>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</si>
  <si>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</si>
  <si>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</si>
  <si>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</si>
  <si>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</si>
  <si>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</si>
  <si>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</si>
  <si>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</si>
  <si>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</si>
  <si>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</si>
  <si>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</si>
  <si>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</si>
  <si>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</si>
  <si>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</si>
  <si>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</si>
  <si>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</si>
  <si>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</si>
  <si>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</si>
  <si>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</si>
  <si>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</si>
  <si>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</si>
  <si>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</si>
  <si>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</si>
  <si>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</si>
  <si>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</si>
  <si>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</si>
  <si>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</si>
  <si>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</si>
  <si>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</si>
  <si>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</si>
  <si>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</si>
  <si>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</si>
  <si>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</si>
  <si>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</si>
  <si>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</si>
  <si>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</si>
  <si>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</si>
  <si>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</si>
  <si>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</si>
  <si>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</si>
  <si>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</si>
  <si>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</si>
  <si>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</si>
  <si>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</si>
  <si>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</si>
  <si>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</si>
  <si>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</si>
  <si>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Оплата</t>
  </si>
  <si>
    <t>Долг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</si>
  <si>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</si>
  <si>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</si>
  <si>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</si>
  <si>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</si>
  <si>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</si>
  <si>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</si>
  <si>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</si>
  <si>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</si>
  <si>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</si>
  <si>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</si>
  <si>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</si>
  <si>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</si>
  <si>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</si>
  <si>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</si>
  <si>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</si>
  <si>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</si>
  <si>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</si>
  <si>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</si>
  <si>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</si>
  <si>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</si>
  <si>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</si>
  <si>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</si>
  <si>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</si>
  <si>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</si>
  <si>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</si>
  <si>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</si>
  <si>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</si>
  <si>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</si>
  <si>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</si>
  <si>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</si>
  <si>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</si>
  <si>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</si>
  <si>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</si>
  <si>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</si>
  <si>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</si>
  <si>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</si>
  <si>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</si>
  <si>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</si>
  <si>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</si>
  <si>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</si>
  <si>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</si>
  <si>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</si>
  <si>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</si>
  <si>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</si>
  <si>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</si>
  <si>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</si>
  <si>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</si>
  <si>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</si>
  <si>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</si>
  <si>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</si>
  <si>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</si>
  <si>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</si>
  <si>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</si>
  <si>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</si>
  <si>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</si>
  <si>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</si>
  <si>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</si>
  <si>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</si>
  <si>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</si>
  <si>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</si>
  <si>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</si>
  <si>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</si>
  <si>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</si>
  <si>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</si>
  <si>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</si>
  <si>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</si>
  <si>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</si>
  <si>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</si>
  <si>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</si>
  <si>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</si>
  <si>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</si>
  <si>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</si>
  <si>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</si>
  <si>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</si>
  <si>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</si>
  <si>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</si>
  <si>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</si>
  <si>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</si>
  <si>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</si>
  <si>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</si>
  <si>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</si>
  <si>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</si>
  <si>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</si>
  <si>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</si>
  <si>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</si>
  <si>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</si>
  <si>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</si>
  <si>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</si>
  <si>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</si>
  <si>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</si>
  <si>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</si>
  <si>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</si>
  <si>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</si>
  <si>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</si>
  <si>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</si>
  <si>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</si>
  <si>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</si>
  <si>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</si>
  <si>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</si>
  <si>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</si>
  <si>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</si>
  <si>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</si>
  <si>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</si>
  <si>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</si>
  <si>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</si>
  <si>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</si>
  <si>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</si>
  <si>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</si>
  <si>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</si>
  <si>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</si>
  <si>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</si>
  <si>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</si>
  <si>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</si>
  <si>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</si>
  <si>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</si>
  <si>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</si>
  <si>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</si>
  <si>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</si>
  <si>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</si>
  <si>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</si>
  <si>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</si>
  <si>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</si>
  <si>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</si>
  <si>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</si>
  <si>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</si>
  <si>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</si>
  <si>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</si>
  <si>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</si>
  <si>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</si>
  <si>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</si>
  <si>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</si>
  <si>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</si>
  <si>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</si>
  <si>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</si>
  <si>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</si>
  <si>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</si>
  <si>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</si>
  <si>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</si>
  <si>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</si>
  <si>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</si>
  <si>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</si>
  <si>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</si>
  <si>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</si>
  <si>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</si>
  <si>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</si>
  <si>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</si>
  <si>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</si>
  <si>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</si>
  <si>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</si>
  <si>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</si>
  <si>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</si>
  <si>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</si>
  <si>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</si>
  <si>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</si>
  <si>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</si>
  <si>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</si>
  <si>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</si>
  <si>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</si>
  <si>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</si>
  <si>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</si>
  <si>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</si>
  <si>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</si>
  <si>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</si>
  <si>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</si>
  <si>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</si>
  <si>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</si>
  <si>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</si>
  <si>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</si>
  <si>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</si>
  <si>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</si>
  <si>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</si>
  <si>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</si>
  <si>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</si>
  <si>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</si>
  <si>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</si>
  <si>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</si>
  <si>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</si>
  <si>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</si>
  <si>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</si>
  <si>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</si>
  <si>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</si>
  <si>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</si>
  <si>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</si>
  <si>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Белга</t>
  </si>
  <si>
    <t>Вишня 827 с красителем</t>
  </si>
  <si>
    <t>Вишня 1348</t>
  </si>
  <si>
    <t>Творожный крем 1109</t>
  </si>
  <si>
    <t>Вкус лета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</si>
  <si>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</si>
  <si>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</si>
  <si>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</si>
  <si>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</si>
  <si>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</si>
  <si>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</si>
  <si>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</si>
  <si>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</si>
  <si>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</si>
  <si>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Ванильный 1201</t>
  </si>
  <si>
    <t>Миндаль горький 1305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</si>
  <si>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</si>
  <si>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</si>
  <si>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</si>
  <si>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</si>
  <si>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</si>
  <si>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</si>
  <si>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</si>
  <si>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</si>
  <si>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</si>
  <si>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Предоплата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</si>
  <si>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</si>
  <si>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</si>
  <si>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</si>
  <si>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</si>
  <si>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</si>
  <si>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</si>
  <si>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</si>
  <si>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</si>
  <si>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</si>
  <si>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</si>
  <si>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</si>
  <si>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</si>
  <si>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</si>
  <si>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</si>
  <si>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Зеленое яблоко 312 ES ЛАК</t>
  </si>
  <si>
    <t>Корица 514</t>
  </si>
  <si>
    <t>Гвоздика 709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</si>
  <si>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</si>
  <si>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</si>
  <si>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</si>
  <si>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</si>
  <si>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</si>
  <si>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</si>
  <si>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</si>
  <si>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</si>
  <si>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</si>
  <si>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</si>
  <si>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</si>
  <si>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</si>
  <si>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</si>
  <si>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</si>
  <si>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</si>
  <si>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</si>
  <si>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</si>
  <si>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</si>
  <si>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</si>
  <si>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</si>
  <si>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</si>
  <si>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тип Абрикос 1107</t>
  </si>
  <si>
    <t>Дан дистрибьюшен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</si>
  <si>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</si>
  <si>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</si>
  <si>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</si>
  <si>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</si>
  <si>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</si>
  <si>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</si>
  <si>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</si>
  <si>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</si>
  <si>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</si>
  <si>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</si>
  <si>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</si>
  <si>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</si>
  <si>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</si>
  <si>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</si>
  <si>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</si>
  <si>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</si>
  <si>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</si>
  <si>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Тоффи 714</t>
  </si>
  <si>
    <t>Мохито 1153</t>
  </si>
  <si>
    <t>Толочинские сыры</t>
  </si>
  <si>
    <t>Мед 818 с красителем Е150а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</si>
  <si>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</si>
  <si>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</si>
  <si>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</si>
  <si>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</si>
  <si>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</si>
  <si>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</si>
  <si>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</si>
  <si>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</si>
  <si>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Бейлиз 778</t>
  </si>
  <si>
    <t>Михромовый зеленый 0064В</t>
  </si>
  <si>
    <t>Абрикос Y R510</t>
  </si>
  <si>
    <t>Аквабетин бетакаротин 0101М</t>
  </si>
  <si>
    <t>дата</t>
  </si>
  <si>
    <t>сумма</t>
  </si>
  <si>
    <t>Рибофлавин, Китай</t>
  </si>
  <si>
    <t>Андрей</t>
  </si>
  <si>
    <t>Дима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</si>
  <si>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</si>
  <si>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</si>
  <si>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</si>
  <si>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</si>
  <si>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</si>
  <si>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Дятлово ЛВЗ</t>
  </si>
  <si>
    <t>Барбарис 1468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</si>
  <si>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</si>
  <si>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</si>
  <si>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</si>
  <si>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</si>
  <si>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Цитрусовый 724 тип Апельсин</t>
  </si>
  <si>
    <t>Монтбрук</t>
  </si>
  <si>
    <t>сумма отгр росс.руб</t>
  </si>
  <si>
    <t>Эвкалипт 658</t>
  </si>
  <si>
    <t>Вишня 919/М</t>
  </si>
  <si>
    <t>Банан 917/М</t>
  </si>
  <si>
    <t>Карамель 928/М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</si>
  <si>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</si>
  <si>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</si>
  <si>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</si>
  <si>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</si>
  <si>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</si>
  <si>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</si>
  <si>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Милкавита</t>
  </si>
  <si>
    <t>Биями</t>
  </si>
  <si>
    <t>2022 год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</si>
  <si>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</si>
  <si>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</si>
  <si>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</si>
  <si>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</si>
  <si>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</si>
  <si>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</si>
  <si>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</si>
  <si>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</si>
  <si>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</si>
  <si>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t>Мед 1192</t>
  </si>
  <si>
    <t>Грейпфрутовый 1158</t>
  </si>
  <si>
    <t>Лимон 926/М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</si>
  <si>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</si>
  <si>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</si>
  <si>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</si>
  <si>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</si>
  <si>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</si>
  <si>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</si>
  <si>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</si>
  <si>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</si>
  <si>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</si>
  <si>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</si>
  <si>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</si>
  <si>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</si>
  <si>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</si>
  <si>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Лариса</t>
  </si>
  <si>
    <t>Масло-мол FL 603 тип Топленое молоко</t>
  </si>
  <si>
    <t>Экоклауд эмульсия нейтральная</t>
  </si>
  <si>
    <t>Аквабетин бетакаротин РS 1066В</t>
  </si>
  <si>
    <t>Вишнево яблочный 204</t>
  </si>
  <si>
    <t>Клюква 1203</t>
  </si>
  <si>
    <t>Черная смородина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</si>
  <si>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</si>
  <si>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</si>
  <si>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</si>
  <si>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</si>
  <si>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</si>
  <si>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</si>
  <si>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</si>
  <si>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</si>
  <si>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</si>
  <si>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</si>
  <si>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</si>
  <si>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</si>
  <si>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 xml:space="preserve">             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</si>
  <si>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</si>
  <si>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</si>
  <si>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</si>
  <si>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</si>
  <si>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</si>
  <si>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</si>
  <si>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</si>
  <si>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</si>
  <si>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</si>
  <si>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</si>
  <si>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</si>
  <si>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</si>
  <si>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</si>
  <si>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</si>
  <si>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</si>
  <si>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</si>
  <si>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Черная смородина 554</t>
  </si>
  <si>
    <t>31.10,14.11</t>
  </si>
  <si>
    <t>Ферронат горький шоколад 029</t>
  </si>
  <si>
    <t>Экотон Паприка 0010</t>
  </si>
  <si>
    <t>Гурман FL 606 тип Курица</t>
  </si>
  <si>
    <t>Пряности и травы FL 049 тип Имбирь</t>
  </si>
  <si>
    <t>Коричневый НТ</t>
  </si>
  <si>
    <t>Глиттер бирюзовый 050</t>
  </si>
  <si>
    <t>срок 20.02.2023</t>
  </si>
  <si>
    <t>срок 21.02.2023</t>
  </si>
  <si>
    <t>Клубника FF90406"</t>
  </si>
  <si>
    <t>Белый шоколад FF90062"</t>
  </si>
  <si>
    <t>Оплата в ФАЙН</t>
  </si>
  <si>
    <r>
      <t xml:space="preserve">Долг </t>
    </r>
    <r>
      <rPr>
        <b/>
        <sz val="11"/>
        <rFont val="Arial Cyr"/>
        <charset val="204"/>
      </rPr>
      <t>ФАЙН росс. Рублях</t>
    </r>
  </si>
  <si>
    <t>остаток 03.01.2023</t>
  </si>
  <si>
    <t>Ваш хлеб</t>
  </si>
  <si>
    <t>Мидаспро</t>
  </si>
  <si>
    <t>Гродно х/п</t>
  </si>
  <si>
    <t>Калина</t>
  </si>
  <si>
    <t>Фудмир</t>
  </si>
  <si>
    <t>КХПА</t>
  </si>
  <si>
    <t>ТД Аэросвит</t>
  </si>
  <si>
    <t>Джин 598</t>
  </si>
  <si>
    <t>Яблочный штрудель 1301</t>
  </si>
  <si>
    <t>срок 23.02.2023</t>
  </si>
  <si>
    <t>МЗВВ</t>
  </si>
  <si>
    <t>Роял фрут</t>
  </si>
  <si>
    <t>Городея</t>
  </si>
  <si>
    <t>Олвитранс</t>
  </si>
  <si>
    <t>срок 24.03.2023</t>
  </si>
  <si>
    <t>Семенов С.И.</t>
  </si>
  <si>
    <t>29.12.2022, 30.01.2023</t>
  </si>
  <si>
    <t>23.01.2023,30.01.2023</t>
  </si>
  <si>
    <t>Нордар</t>
  </si>
  <si>
    <t>Дятлово мол. Мир</t>
  </si>
  <si>
    <t>Морозпродукт</t>
  </si>
  <si>
    <t>Лидапищ</t>
  </si>
  <si>
    <t>срок 07.03.2023</t>
  </si>
  <si>
    <t>Солигорск х/зд</t>
  </si>
  <si>
    <t>срок 02.03.2023</t>
  </si>
  <si>
    <t>срок 22.02.2023</t>
  </si>
  <si>
    <t>срок 03.04.2023</t>
  </si>
  <si>
    <t>срок 12.02.2023</t>
  </si>
  <si>
    <t>Гуарди</t>
  </si>
  <si>
    <t>ЭКОресурс</t>
  </si>
  <si>
    <t>Тархун R120</t>
  </si>
  <si>
    <t>Молочный гостинец</t>
  </si>
  <si>
    <t>Брест ЛВЗ</t>
  </si>
  <si>
    <t>Орша СЗ</t>
  </si>
  <si>
    <t>Универсал люкс</t>
  </si>
  <si>
    <t>срок 17.02.2023</t>
  </si>
  <si>
    <t>обещают до 10.02.23</t>
  </si>
  <si>
    <t>Кр. Мозырянин</t>
  </si>
  <si>
    <t>срок 07.04.2023</t>
  </si>
  <si>
    <t>Березкина А.В. ИП</t>
  </si>
  <si>
    <t>Берестейский пекарь Лунинец</t>
  </si>
  <si>
    <t>30.01,13.02.2023</t>
  </si>
  <si>
    <t>30.01.13.02.2023</t>
  </si>
  <si>
    <t>Молочный 1145</t>
  </si>
  <si>
    <t xml:space="preserve">пружаны </t>
  </si>
  <si>
    <t>Арарат</t>
  </si>
  <si>
    <t>срок 08.03.2023</t>
  </si>
  <si>
    <t>срок 19.03.2023</t>
  </si>
  <si>
    <t>Берестейский пекарь</t>
  </si>
  <si>
    <t>срок 24.02.2023</t>
  </si>
  <si>
    <t>Могнат</t>
  </si>
  <si>
    <t>срок 12.04.2023</t>
  </si>
  <si>
    <t>срок 12.03.2023</t>
  </si>
  <si>
    <t>срок 26.02.2023</t>
  </si>
  <si>
    <t>срок 15.03.2023</t>
  </si>
  <si>
    <t>срок 16.03.2023</t>
  </si>
  <si>
    <t>срок 28.02.2023</t>
  </si>
  <si>
    <t>срок 13.03.2023</t>
  </si>
  <si>
    <t>ЭКоресурс</t>
  </si>
  <si>
    <t>Бузина 1556</t>
  </si>
  <si>
    <t>ФАЙН</t>
  </si>
  <si>
    <t>Клубника FF90413</t>
  </si>
  <si>
    <t>Вишня FF90410-1</t>
  </si>
  <si>
    <t>срок 06.03.2023</t>
  </si>
  <si>
    <t>срок 29.03.2023</t>
  </si>
  <si>
    <t>срок 28.03.2023</t>
  </si>
  <si>
    <t>срок 14.03.2023</t>
  </si>
  <si>
    <t>береза ккп</t>
  </si>
  <si>
    <t>Давега</t>
  </si>
  <si>
    <t>Жлобин х/зд</t>
  </si>
  <si>
    <t>оплата после 08.03.2023г.</t>
  </si>
  <si>
    <t>срок 18.03.2023</t>
  </si>
  <si>
    <t>слодыч</t>
  </si>
  <si>
    <t>Клубника FF90003</t>
  </si>
  <si>
    <t>Белые грибы FF70133</t>
  </si>
  <si>
    <t>Грибы лесные FF70444</t>
  </si>
  <si>
    <t>унифид</t>
  </si>
  <si>
    <t>гжк</t>
  </si>
  <si>
    <t>Борисов х/пром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</si>
</sst>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0.000"/>
    <numFmt numFmtId="170" formatCode="d/m/yy;@"/>
  </numFmts>
  <fonts count="21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0"/>
      <color theme="1"/>
      <name val="Arial Cy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8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6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167" fontId="6" fillId="5" borderId="3" xfId="0" applyNumberFormat="1" applyFont="1" applyFill="1" applyBorder="1" applyAlignment="1">
      <alignment horizontal="center"/>
    </xf>
    <xf numFmtId="167" fontId="6" fillId="6" borderId="3" xfId="0" applyNumberFormat="1" applyFont="1" applyFill="1" applyBorder="1" applyAlignment="1">
      <alignment horizontal="center"/>
    </xf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8" xfId="0" applyFont="1" applyBorder="1"/>
    <xf numFmtId="0" fontId="5" fillId="0" borderId="0" xfId="0" applyFont="1" applyBorder="1"/>
    <xf numFmtId="0" fontId="0" fillId="0" borderId="8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169" fontId="1" fillId="0" borderId="3" xfId="0" applyNumberFormat="1" applyFont="1" applyFill="1" applyBorder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3" fontId="5" fillId="0" borderId="3" xfId="0" applyNumberFormat="1" applyFont="1" applyFill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4" fontId="0" fillId="0" borderId="3" xfId="0" applyNumberFormat="1" applyFont="1" applyFill="1" applyBorder="1"/>
    <xf numFmtId="0" fontId="6" fillId="7" borderId="6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10" borderId="2" xfId="0" applyNumberFormat="1" applyFont="1" applyFill="1" applyBorder="1"/>
    <xf numFmtId="168" fontId="0" fillId="0" borderId="0" xfId="0" applyNumberFormat="1" applyFill="1" applyBorder="1"/>
    <xf numFmtId="4" fontId="5" fillId="10" borderId="1" xfId="0" applyNumberFormat="1" applyFont="1" applyFill="1" applyBorder="1"/>
    <xf numFmtId="2" fontId="5" fillId="10" borderId="1" xfId="0" applyNumberFormat="1" applyFont="1" applyFill="1" applyBorder="1"/>
    <xf numFmtId="2" fontId="5" fillId="10" borderId="2" xfId="0" applyNumberFormat="1" applyFont="1" applyFill="1" applyBorder="1"/>
    <xf numFmtId="2" fontId="5" fillId="10" borderId="9" xfId="0" applyNumberFormat="1" applyFont="1" applyFill="1" applyBorder="1"/>
    <xf numFmtId="0" fontId="0" fillId="10" borderId="0" xfId="0" applyFill="1" applyAlignment="1">
      <alignment wrapText="1"/>
    </xf>
    <xf numFmtId="2" fontId="0" fillId="10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0" fontId="1" fillId="0" borderId="0" xfId="0" applyFont="1" applyAlignment="1"/>
    <xf numFmtId="16" fontId="6" fillId="0" borderId="0" xfId="0" applyNumberFormat="1" applyFont="1" applyFill="1" applyBorder="1"/>
    <xf numFmtId="168" fontId="5" fillId="0" borderId="3" xfId="0" applyNumberFormat="1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4" fontId="5" fillId="12" borderId="3" xfId="0" applyNumberFormat="1" applyFont="1" applyFill="1" applyBorder="1"/>
    <xf numFmtId="169" fontId="0" fillId="0" borderId="3" xfId="0" applyNumberFormat="1" applyFont="1" applyFill="1" applyBorder="1"/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17" fontId="6" fillId="11" borderId="6" xfId="0" applyNumberFormat="1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5" fillId="13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/>
    </xf>
    <xf numFmtId="0" fontId="0" fillId="10" borderId="3" xfId="0" applyFill="1" applyBorder="1"/>
    <xf numFmtId="170" fontId="1" fillId="0" borderId="3" xfId="0" applyNumberFormat="1" applyFont="1" applyFill="1" applyBorder="1" applyAlignment="1"/>
    <xf numFmtId="4" fontId="1" fillId="0" borderId="3" xfId="0" applyNumberFormat="1" applyFont="1" applyFill="1" applyBorder="1" applyAlignment="1">
      <alignment horizontal="right"/>
    </xf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9" fontId="1" fillId="0" borderId="0" xfId="0" applyNumberFormat="1" applyFont="1" applyFill="1" applyBorder="1"/>
    <xf numFmtId="164" fontId="1" fillId="0" borderId="0" xfId="0" applyNumberFormat="1" applyFont="1" applyFill="1" applyBorder="1"/>
    <xf numFmtId="16" fontId="5" fillId="0" borderId="0" xfId="0" applyNumberFormat="1" applyFont="1" applyFill="1" applyBorder="1" applyAlignment="1">
      <alignment horizontal="right"/>
    </xf>
    <xf numFmtId="16" fontId="1" fillId="0" borderId="0" xfId="0" applyNumberFormat="1" applyFont="1" applyFill="1" applyBorder="1"/>
    <xf numFmtId="0" fontId="0" fillId="10" borderId="1" xfId="0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2" fontId="0" fillId="0" borderId="3" xfId="0" applyNumberForma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2" fontId="5" fillId="0" borderId="0" xfId="0" applyNumberFormat="1" applyFont="1" applyFill="1"/>
    <xf numFmtId="16" fontId="0" fillId="0" borderId="0" xfId="0" applyNumberFormat="1" applyBorder="1"/>
    <xf numFmtId="0" fontId="5" fillId="14" borderId="0" xfId="0" applyFont="1" applyFill="1" applyBorder="1"/>
    <xf numFmtId="16" fontId="5" fillId="14" borderId="0" xfId="0" applyNumberFormat="1" applyFont="1" applyFill="1" applyBorder="1"/>
    <xf numFmtId="4" fontId="5" fillId="15" borderId="3" xfId="0" applyNumberFormat="1" applyFont="1" applyFill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" fontId="5" fillId="16" borderId="3" xfId="0" applyNumberFormat="1" applyFont="1" applyFill="1" applyBorder="1" applyAlignment="1">
      <alignment horizontal="right"/>
    </xf>
    <xf numFmtId="0" fontId="0" fillId="0" borderId="0" xfId="0" applyFont="1" applyFill="1" applyBorder="1"/>
    <xf numFmtId="0" fontId="0" fillId="13" borderId="3" xfId="0" applyFont="1" applyFill="1" applyBorder="1"/>
    <xf numFmtId="0" fontId="0" fillId="13" borderId="3" xfId="0" applyFill="1" applyBorder="1"/>
    <xf numFmtId="2" fontId="5" fillId="13" borderId="1" xfId="0" applyNumberFormat="1" applyFont="1" applyFill="1" applyBorder="1"/>
    <xf numFmtId="2" fontId="5" fillId="13" borderId="2" xfId="0" applyNumberFormat="1" applyFont="1" applyFill="1" applyBorder="1"/>
    <xf numFmtId="2" fontId="5" fillId="13" borderId="9" xfId="0" applyNumberFormat="1" applyFont="1" applyFill="1" applyBorder="1"/>
    <xf numFmtId="0" fontId="0" fillId="12" borderId="3" xfId="0" applyFill="1" applyBorder="1" applyAlignment="1">
      <alignment horizontal="center"/>
    </xf>
    <xf numFmtId="0" fontId="5" fillId="12" borderId="0" xfId="0" applyFont="1" applyFill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4" fontId="0" fillId="0" borderId="0" xfId="0" applyNumberFormat="1" applyFont="1" applyBorder="1"/>
    <xf numFmtId="0" fontId="1" fillId="0" borderId="0" xfId="0" applyFont="1" applyFill="1" applyAlignment="1">
      <alignment horizontal="left"/>
    </xf>
    <xf numFmtId="16" fontId="5" fillId="14" borderId="0" xfId="0" applyNumberFormat="1" applyFont="1" applyFill="1"/>
    <xf numFmtId="4" fontId="5" fillId="14" borderId="0" xfId="0" applyNumberFormat="1" applyFont="1" applyFill="1"/>
    <xf numFmtId="14" fontId="0" fillId="0" borderId="0" xfId="0" applyNumberFormat="1" applyFill="1" applyBorder="1"/>
    <xf numFmtId="0" fontId="18" fillId="0" borderId="3" xfId="0" applyFont="1" applyFill="1" applyBorder="1"/>
    <xf numFmtId="0" fontId="0" fillId="0" borderId="0" xfId="0" applyFont="1" applyBorder="1"/>
    <xf numFmtId="4" fontId="1" fillId="0" borderId="0" xfId="0" applyNumberFormat="1" applyFont="1" applyBorder="1"/>
    <xf numFmtId="0" fontId="0" fillId="0" borderId="3" xfId="0" applyFill="1" applyBorder="1" applyAlignment="1">
      <alignment horizontal="center"/>
    </xf>
    <xf numFmtId="2" fontId="5" fillId="13" borderId="0" xfId="0" applyNumberFormat="1" applyFont="1" applyFill="1" applyBorder="1"/>
    <xf numFmtId="2" fontId="5" fillId="10" borderId="0" xfId="0" applyNumberFormat="1" applyFont="1" applyFill="1" applyBorder="1"/>
    <xf numFmtId="0" fontId="16" fillId="12" borderId="0" xfId="0" applyFont="1" applyFill="1" applyBorder="1" applyAlignment="1">
      <alignment horizontal="center"/>
    </xf>
    <xf numFmtId="0" fontId="17" fillId="12" borderId="0" xfId="0" applyFont="1" applyFill="1" applyAlignment="1"/>
  </cellXfs>
  <cellStyles count="2">
    <cellStyle name="Обычный" xfId="0" builtinId="0"/>
    <cellStyle name="Финансовый_Декабрь" xfId="1" xr:uid="{00000000-0005-0000-0000-000001000000}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00FF"/>
      <color rgb="FFCC66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calcChain.xml" Type="http://schemas.openxmlformats.org/officeDocument/2006/relationships/calcChain"/><Relationship Id="rId7" Target="vbaProject.bin" Type="http://schemas.microsoft.com/office/2006/relationships/vbaProjec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2.vml.rels><?xml version="1.0" encoding="UTF-8" standalone="no"?><Relationships xmlns="http://schemas.openxmlformats.org/package/2006/relationships"><Relationship Id="rId1" Target="../media/image2.emf" Type="http://schemas.openxmlformats.org/officeDocument/2006/relationships/image"/><Relationship Id="rId2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45720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  <a:ext uri="{FF2B5EF4-FFF2-40B4-BE49-F238E27FC236}">
                  <a16:creationId xmlns:a16="http://schemas.microsoft.com/office/drawing/2014/main" id="{00000000-0008-0000-0100-00005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441960</xdr:rowOff>
        </xdr:from>
        <xdr:to>
          <xdr:col>0</xdr:col>
          <xdr:colOff>1706880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  <a:ext uri="{FF2B5EF4-FFF2-40B4-BE49-F238E27FC236}">
                  <a16:creationId xmlns:a16="http://schemas.microsoft.com/office/drawing/2014/main" id="{00000000-0008-0000-0100-00005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2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Relationship Id="rId6" Target="../activeX/activeX2.xml" Type="http://schemas.openxmlformats.org/officeDocument/2006/relationships/control"/><Relationship Id="rId7" Target="../media/image2.emf" Type="http://schemas.openxmlformats.org/officeDocument/2006/relationships/image"/><Relationship Id="rId8" Target="../comments2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RQ1490"/>
  <sheetViews>
    <sheetView tabSelected="1" zoomScale="110" zoomScaleNormal="110" workbookViewId="0">
      <pane ySplit="1" topLeftCell="A68" activePane="bottomLeft" state="frozen"/>
      <selection pane="bottomLeft" activeCell="C81" sqref="C81"/>
    </sheetView>
  </sheetViews>
  <sheetFormatPr defaultColWidth="9.109375" defaultRowHeight="13.2" x14ac:dyDescent="0.25"/>
  <cols>
    <col min="1" max="1" width="8.109375" style="23" customWidth="1"/>
    <col min="2" max="2" width="33.88671875" style="42" customWidth="1"/>
    <col min="3" max="4" width="11.33203125" style="131" customWidth="1"/>
    <col min="5" max="5" width="10.5546875" style="131" customWidth="1"/>
    <col min="6" max="7" width="11.33203125" style="131" customWidth="1"/>
    <col min="8" max="8" width="12" style="131" customWidth="1"/>
    <col min="9" max="9" width="9.88671875" style="131" customWidth="1"/>
    <col min="10" max="13" width="10.6640625" style="131" customWidth="1"/>
    <col min="14" max="15" width="12.33203125" style="128" customWidth="1"/>
    <col min="16" max="17" width="13" style="128" customWidth="1"/>
    <col min="18" max="18" width="12.44140625" style="128" customWidth="1"/>
    <col min="19" max="19" width="12.33203125" style="128" customWidth="1"/>
    <col min="20" max="20" width="12.33203125" style="129" customWidth="1"/>
    <col min="21" max="21" width="9.6640625" style="129" customWidth="1"/>
    <col min="22" max="23" width="10.6640625" style="129" customWidth="1"/>
    <col min="24" max="25" width="12.6640625" style="129" customWidth="1"/>
    <col min="26" max="28" width="12.33203125" style="129" customWidth="1"/>
    <col min="29" max="31" width="9.88671875" style="129" customWidth="1"/>
    <col min="32" max="32" width="7.109375" style="129" customWidth="1"/>
    <col min="33" max="34" width="11.109375" style="129" customWidth="1"/>
    <col min="35" max="36" width="9.6640625" style="129" customWidth="1"/>
    <col min="37" max="38" width="12.109375" style="129" customWidth="1"/>
    <col min="39" max="39" width="17.5546875" style="129" customWidth="1"/>
    <col min="40" max="40" width="19.33203125" style="129" customWidth="1"/>
    <col min="41" max="43" width="19.33203125" style="130" customWidth="1"/>
    <col min="44" max="44" width="17.6640625" style="130" customWidth="1"/>
    <col min="45" max="45" width="13.33203125" style="130" customWidth="1"/>
    <col min="46" max="47" width="13.33203125" style="128" customWidth="1"/>
    <col min="48" max="48" width="14" style="128" customWidth="1"/>
    <col min="49" max="49" width="10.6640625" style="128" customWidth="1"/>
    <col min="50" max="51" width="12.6640625" style="128" customWidth="1"/>
    <col min="52" max="52" width="19" style="128" customWidth="1"/>
    <col min="53" max="54" width="18.44140625" style="128" customWidth="1"/>
    <col min="55" max="55" width="19.33203125" style="128" customWidth="1"/>
    <col min="56" max="57" width="11.44140625" style="128" customWidth="1"/>
    <col min="58" max="59" width="12.109375" style="128" customWidth="1"/>
    <col min="60" max="63" width="18.6640625" style="128" customWidth="1"/>
    <col min="64" max="65" width="9.5546875" style="130" customWidth="1"/>
    <col min="66" max="66" width="19.88671875" style="130" customWidth="1"/>
    <col min="67" max="68" width="17.109375" style="130" customWidth="1"/>
    <col min="69" max="71" width="11.109375" style="130" customWidth="1"/>
    <col min="72" max="74" width="13.6640625" style="130" customWidth="1"/>
    <col min="75" max="75" width="10.33203125" style="130" customWidth="1"/>
    <col min="76" max="76" width="9.33203125" style="128" customWidth="1"/>
    <col min="77" max="78" width="10.88671875" style="128" customWidth="1"/>
    <col min="79" max="79" width="10.109375" style="128" customWidth="1"/>
    <col min="80" max="80" width="12.6640625" style="128" customWidth="1"/>
    <col min="81" max="81" width="14.6640625" style="128" customWidth="1"/>
    <col min="82" max="85" width="12.6640625" style="128" customWidth="1"/>
    <col min="86" max="87" width="10.6640625" style="130" customWidth="1"/>
    <col min="88" max="88" width="15.6640625" style="130" customWidth="1"/>
    <col min="89" max="89" width="18.5546875" style="130" customWidth="1"/>
    <col min="90" max="91" width="9.33203125" style="130" customWidth="1"/>
    <col min="92" max="92" width="11.5546875" style="130" customWidth="1"/>
    <col min="93" max="93" width="11.44140625" style="130" customWidth="1"/>
    <col min="94" max="96" width="13" style="130" customWidth="1"/>
    <col min="97" max="98" width="18.33203125" style="130" customWidth="1"/>
    <col min="99" max="99" width="10.88671875" style="128" customWidth="1"/>
    <col min="100" max="101" width="17.6640625" style="128" customWidth="1"/>
    <col min="102" max="102" width="18.33203125" style="128" customWidth="1"/>
    <col min="103" max="104" width="10.33203125" style="128" customWidth="1"/>
    <col min="105" max="105" width="9.6640625" style="128" customWidth="1"/>
    <col min="106" max="110" width="12.33203125" style="128" customWidth="1"/>
    <col min="111" max="111" width="20" style="128" customWidth="1"/>
    <col min="112" max="112" width="9.6640625" style="128" customWidth="1"/>
    <col min="113" max="115" width="9" style="128" customWidth="1"/>
    <col min="116" max="116" width="12" style="129" customWidth="1"/>
    <col min="117" max="119" width="12" style="130" customWidth="1"/>
    <col min="120" max="120" width="11.33203125" style="130" customWidth="1"/>
    <col min="121" max="126" width="12.6640625" style="130" customWidth="1"/>
    <col min="127" max="127" width="10" style="130" customWidth="1"/>
    <col min="128" max="130" width="10.6640625" style="130" customWidth="1"/>
    <col min="131" max="131" width="14.109375" style="130" customWidth="1"/>
    <col min="132" max="133" width="9.6640625" style="130" customWidth="1"/>
    <col min="134" max="134" width="15.5546875" style="130" customWidth="1"/>
    <col min="135" max="136" width="14.6640625" style="130" customWidth="1"/>
    <col min="137" max="137" width="23.44140625" style="130" customWidth="1"/>
    <col min="138" max="139" width="9.33203125" style="130" customWidth="1"/>
    <col min="140" max="140" width="15.88671875" style="130" customWidth="1"/>
    <col min="141" max="145" width="9" style="130" customWidth="1"/>
    <col min="146" max="146" width="10.44140625" style="130" customWidth="1"/>
    <col min="147" max="147" width="13.109375" style="130" customWidth="1"/>
    <col min="148" max="148" width="19.88671875" style="130" customWidth="1"/>
    <col min="149" max="151" width="19.33203125" style="130" customWidth="1"/>
    <col min="152" max="152" width="13.33203125" style="130" customWidth="1"/>
    <col min="153" max="153" width="12.88671875" style="130" customWidth="1"/>
    <col min="154" max="154" width="12.88671875" style="128" customWidth="1"/>
    <col min="155" max="155" width="11.33203125" style="128" customWidth="1"/>
    <col min="156" max="156" width="18.5546875" style="128" customWidth="1"/>
    <col min="157" max="157" width="18.33203125" style="128" customWidth="1"/>
    <col min="158" max="158" width="19" style="128" customWidth="1"/>
    <col min="159" max="161" width="13.88671875" style="128" customWidth="1"/>
    <col min="162" max="162" width="13.44140625" style="128" customWidth="1"/>
    <col min="163" max="163" width="14.88671875" style="128" customWidth="1"/>
    <col min="164" max="165" width="15.6640625" style="128" customWidth="1"/>
    <col min="166" max="167" width="15.109375" style="128" customWidth="1"/>
    <col min="168" max="168" width="10.109375" style="129" customWidth="1"/>
    <col min="169" max="169" width="12.6640625" style="129" customWidth="1"/>
    <col min="170" max="170" width="10.109375" style="129" customWidth="1"/>
    <col min="171" max="172" width="10.109375" style="130" customWidth="1"/>
    <col min="173" max="173" width="11.6640625" style="128" customWidth="1"/>
    <col min="174" max="175" width="12.5546875" style="128" customWidth="1"/>
    <col min="176" max="176" width="13" style="128" customWidth="1"/>
    <col min="177" max="178" width="14.33203125" style="128" customWidth="1"/>
    <col min="179" max="182" width="10.88671875" style="128" customWidth="1"/>
    <col min="183" max="183" width="13.88671875" style="128" customWidth="1"/>
    <col min="184" max="185" width="9.88671875" style="128" customWidth="1"/>
    <col min="186" max="186" width="8.109375" style="129" customWidth="1"/>
    <col min="187" max="187" width="14.33203125" style="130" customWidth="1"/>
    <col min="188" max="190" width="11.6640625" style="130" customWidth="1"/>
    <col min="191" max="191" width="10.88671875" style="128" customWidth="1"/>
    <col min="192" max="192" width="13.109375" style="128" customWidth="1"/>
    <col min="193" max="193" width="15.33203125" style="128" customWidth="1"/>
    <col min="194" max="194" width="17.6640625" style="128" customWidth="1"/>
    <col min="195" max="195" width="11.33203125" style="128" customWidth="1"/>
    <col min="196" max="196" width="9.33203125" style="128" customWidth="1"/>
    <col min="197" max="197" width="15.33203125" style="128" customWidth="1"/>
    <col min="198" max="198" width="8.6640625" style="128" customWidth="1"/>
    <col min="199" max="199" width="9.44140625" style="128" customWidth="1"/>
    <col min="200" max="202" width="8.6640625" style="128" customWidth="1"/>
    <col min="203" max="204" width="7.88671875" style="128" customWidth="1"/>
    <col min="205" max="205" width="16" style="129" customWidth="1"/>
    <col min="206" max="206" width="17.6640625" style="130" customWidth="1"/>
    <col min="207" max="207" width="15.6640625" style="130" customWidth="1"/>
    <col min="208" max="208" width="11.6640625" style="130" customWidth="1"/>
    <col min="209" max="209" width="11.6640625" style="128" customWidth="1"/>
    <col min="210" max="212" width="18.33203125" style="128" customWidth="1"/>
    <col min="213" max="213" width="18.6640625" style="129" customWidth="1"/>
    <col min="214" max="214" width="18.6640625" style="130" customWidth="1"/>
    <col min="215" max="215" width="19.5546875" style="130" customWidth="1"/>
    <col min="216" max="218" width="17.33203125" style="130" customWidth="1"/>
    <col min="219" max="222" width="18.109375" style="130" customWidth="1"/>
    <col min="223" max="223" width="11.6640625" style="130" customWidth="1"/>
    <col min="224" max="224" width="6.33203125" style="129" customWidth="1"/>
    <col min="225" max="225" width="9.109375" style="130" customWidth="1"/>
    <col min="226" max="226" width="9.88671875" style="130" customWidth="1"/>
    <col min="227" max="227" width="10.6640625" style="130" customWidth="1"/>
    <col min="228" max="228" width="18.44140625" style="130" customWidth="1"/>
    <col min="229" max="229" width="12.33203125" style="130" customWidth="1"/>
    <col min="230" max="231" width="11.33203125" style="130" customWidth="1"/>
    <col min="232" max="234" width="10.5546875" style="130" customWidth="1"/>
    <col min="235" max="235" width="11.33203125" style="130" customWidth="1"/>
    <col min="236" max="236" width="17.6640625" style="128" customWidth="1"/>
    <col min="237" max="237" width="28" style="128" customWidth="1"/>
    <col min="238" max="238" width="19.33203125" style="128" customWidth="1"/>
    <col min="239" max="240" width="17.88671875" style="128" customWidth="1"/>
    <col min="241" max="241" width="9.5546875" style="128" customWidth="1"/>
    <col min="242" max="242" width="8.5546875" style="128" customWidth="1"/>
    <col min="243" max="243" width="11.88671875" style="128" customWidth="1"/>
    <col min="244" max="244" width="16.33203125" style="128" customWidth="1"/>
    <col min="245" max="245" width="10.109375" style="128" customWidth="1"/>
    <col min="246" max="246" width="11.6640625" style="128" customWidth="1"/>
    <col min="247" max="249" width="12.44140625" style="128" customWidth="1"/>
    <col min="250" max="250" width="10.5546875" style="128" customWidth="1"/>
    <col min="251" max="251" width="9.88671875" style="128" customWidth="1"/>
    <col min="252" max="253" width="10.5546875" style="128" customWidth="1"/>
    <col min="254" max="257" width="11.33203125" style="128" customWidth="1"/>
    <col min="258" max="258" width="18.109375" style="128" customWidth="1"/>
    <col min="259" max="259" width="17.88671875" style="128" customWidth="1"/>
    <col min="260" max="260" width="11.44140625" style="128" customWidth="1"/>
    <col min="261" max="261" width="8.5546875" style="128" customWidth="1"/>
    <col min="262" max="262" width="17.109375" style="128" customWidth="1"/>
    <col min="263" max="263" width="17.6640625" style="128" customWidth="1"/>
    <col min="264" max="264" width="10.44140625" style="128" customWidth="1"/>
    <col min="265" max="265" width="10.33203125" style="128" customWidth="1"/>
    <col min="266" max="266" width="17.6640625" style="128" customWidth="1"/>
    <col min="267" max="267" width="10.33203125" style="130" customWidth="1"/>
    <col min="268" max="268" width="11.6640625" style="130" customWidth="1"/>
    <col min="269" max="271" width="12.33203125" style="130" customWidth="1"/>
    <col min="272" max="273" width="14.109375" style="130" customWidth="1"/>
    <col min="274" max="274" width="12.33203125" style="130" customWidth="1"/>
    <col min="275" max="280" width="11.44140625" style="130" customWidth="1"/>
    <col min="281" max="281" width="12.6640625" style="129" customWidth="1"/>
    <col min="282" max="283" width="10.88671875" style="128" customWidth="1"/>
    <col min="284" max="284" width="11.6640625" style="128" customWidth="1"/>
    <col min="285" max="285" width="12.5546875" style="128" customWidth="1"/>
    <col min="286" max="286" width="13.33203125" style="128" customWidth="1"/>
    <col min="287" max="287" width="9.6640625" style="128" customWidth="1"/>
    <col min="288" max="290" width="11.33203125" style="128" customWidth="1"/>
    <col min="291" max="292" width="23.6640625" style="128" customWidth="1"/>
    <col min="293" max="294" width="21.44140625" style="128" customWidth="1"/>
    <col min="295" max="298" width="14.33203125" style="128" customWidth="1"/>
    <col min="299" max="300" width="18.5546875" style="128" customWidth="1"/>
    <col min="301" max="301" width="19.44140625" style="128" customWidth="1"/>
    <col min="302" max="302" width="13" style="130" customWidth="1"/>
    <col min="303" max="303" width="10.5546875" style="130" customWidth="1"/>
    <col min="304" max="304" width="13.33203125" style="130" customWidth="1"/>
    <col min="305" max="306" width="11.33203125" style="128" customWidth="1"/>
    <col min="307" max="307" width="12.109375" style="128" customWidth="1"/>
    <col min="308" max="311" width="11.6640625" style="128" customWidth="1"/>
    <col min="312" max="313" width="12.44140625" style="128" customWidth="1"/>
    <col min="314" max="314" width="17.109375" style="128" customWidth="1"/>
    <col min="315" max="316" width="14.44140625" style="128" customWidth="1"/>
    <col min="317" max="318" width="10.5546875" style="128" customWidth="1"/>
    <col min="319" max="320" width="11.33203125" style="128" customWidth="1"/>
    <col min="321" max="321" width="16.44140625" style="128" customWidth="1"/>
    <col min="322" max="322" width="9.6640625" style="128" customWidth="1"/>
    <col min="323" max="323" width="16.5546875" style="128" customWidth="1"/>
    <col min="324" max="324" width="12.33203125" style="128" customWidth="1"/>
    <col min="325" max="325" width="11.33203125" style="128" customWidth="1"/>
    <col min="326" max="327" width="13.6640625" style="128" customWidth="1"/>
    <col min="328" max="328" width="16.44140625" style="128" customWidth="1"/>
    <col min="329" max="330" width="16.33203125" style="128" customWidth="1"/>
    <col min="331" max="332" width="16.109375" style="128" customWidth="1"/>
    <col min="333" max="333" width="18.33203125" style="128" customWidth="1"/>
    <col min="334" max="335" width="19.33203125" style="128" customWidth="1"/>
    <col min="336" max="336" width="8.88671875" style="128" customWidth="1"/>
    <col min="337" max="337" width="17.88671875" style="128" customWidth="1"/>
    <col min="338" max="338" width="13.6640625" style="128" customWidth="1"/>
    <col min="339" max="339" width="12.6640625" style="128" customWidth="1"/>
    <col min="340" max="341" width="10.6640625" style="128" customWidth="1"/>
    <col min="342" max="343" width="12.88671875" style="128" customWidth="1"/>
    <col min="344" max="344" width="14.109375" style="128" customWidth="1"/>
    <col min="345" max="353" width="13.33203125" style="128" customWidth="1"/>
    <col min="354" max="354" width="11.88671875" style="128" customWidth="1"/>
    <col min="355" max="355" width="12.6640625" style="128" customWidth="1"/>
    <col min="356" max="356" width="16.6640625" style="128" customWidth="1"/>
    <col min="357" max="357" width="13" style="128" customWidth="1"/>
    <col min="358" max="358" width="11.5546875" style="128" customWidth="1"/>
    <col min="359" max="359" width="9.44140625" style="128" customWidth="1"/>
    <col min="360" max="360" width="11.5546875" style="128" customWidth="1"/>
    <col min="361" max="365" width="11.109375" style="128" customWidth="1"/>
    <col min="366" max="368" width="13.88671875" style="128" customWidth="1"/>
    <col min="369" max="369" width="15.88671875" style="128" customWidth="1"/>
    <col min="370" max="370" width="15" style="128" customWidth="1"/>
    <col min="371" max="371" width="11.88671875" style="128" customWidth="1"/>
    <col min="372" max="372" width="13.44140625" style="128" customWidth="1"/>
    <col min="373" max="373" width="14.88671875" style="128" customWidth="1"/>
    <col min="374" max="374" width="8.88671875" style="128" customWidth="1"/>
    <col min="375" max="376" width="7.44140625" style="128" customWidth="1"/>
    <col min="377" max="384" width="9" style="128" customWidth="1"/>
    <col min="385" max="385" width="16.88671875" style="128" customWidth="1"/>
    <col min="386" max="386" width="15.44140625" style="128" customWidth="1"/>
    <col min="387" max="389" width="10.44140625" style="128" customWidth="1"/>
    <col min="390" max="390" width="9.33203125" style="128" customWidth="1"/>
    <col min="391" max="391" width="15.44140625" style="128" customWidth="1"/>
    <col min="392" max="392" width="14.44140625" style="128" customWidth="1"/>
    <col min="393" max="394" width="16" style="128" customWidth="1"/>
    <col min="395" max="396" width="10.44140625" style="128" customWidth="1"/>
    <col min="397" max="397" width="12.109375" style="128" customWidth="1"/>
    <col min="398" max="398" width="14.109375" style="128" customWidth="1"/>
    <col min="399" max="402" width="12.88671875" style="128" customWidth="1"/>
    <col min="403" max="403" width="11.44140625" style="128" customWidth="1"/>
    <col min="404" max="404" width="11" style="128" customWidth="1"/>
    <col min="405" max="405" width="11.88671875" style="128" customWidth="1"/>
    <col min="406" max="407" width="11.33203125" style="128" customWidth="1"/>
    <col min="408" max="408" width="20.6640625" style="128" customWidth="1"/>
    <col min="409" max="409" width="19.33203125" style="128" customWidth="1"/>
    <col min="410" max="410" width="15.6640625" style="128" customWidth="1"/>
    <col min="411" max="412" width="20" style="128" customWidth="1"/>
    <col min="413" max="413" width="21.109375" style="128" customWidth="1"/>
    <col min="414" max="414" width="22.33203125" style="128" customWidth="1"/>
    <col min="415" max="415" width="20.109375" style="128" customWidth="1"/>
    <col min="416" max="416" width="18.6640625" style="128" customWidth="1"/>
    <col min="417" max="417" width="20.88671875" style="128" customWidth="1"/>
    <col min="418" max="418" width="15.44140625" style="128" customWidth="1"/>
    <col min="419" max="419" width="27.33203125" style="128" customWidth="1"/>
    <col min="420" max="421" width="15.44140625" style="128" customWidth="1"/>
    <col min="422" max="422" width="17.6640625" style="128" customWidth="1"/>
    <col min="423" max="423" width="17.88671875" style="128" customWidth="1"/>
    <col min="424" max="424" width="13.5546875" style="128" customWidth="1"/>
    <col min="425" max="426" width="22.5546875" style="128" customWidth="1"/>
    <col min="427" max="430" width="14.33203125" style="128" customWidth="1"/>
    <col min="431" max="432" width="13.33203125" style="128" customWidth="1"/>
    <col min="433" max="433" width="14.33203125" style="128" customWidth="1"/>
    <col min="434" max="434" width="12.88671875" style="128" customWidth="1"/>
    <col min="435" max="435" width="13.6640625" style="128" customWidth="1"/>
    <col min="436" max="437" width="9" style="128" customWidth="1"/>
    <col min="438" max="438" width="14.5546875" style="128" customWidth="1"/>
    <col min="439" max="439" width="18.5546875" style="128" customWidth="1"/>
    <col min="440" max="440" width="18.44140625" style="128" customWidth="1"/>
    <col min="441" max="441" width="18.5546875" style="128" customWidth="1"/>
    <col min="442" max="442" width="29.44140625" style="128" customWidth="1"/>
    <col min="443" max="443" width="31.33203125" style="128" customWidth="1"/>
    <col min="444" max="444" width="33.44140625" style="128" customWidth="1"/>
    <col min="445" max="445" width="23.109375" style="128" customWidth="1"/>
    <col min="446" max="446" width="23.5546875" style="128" customWidth="1"/>
    <col min="447" max="447" width="23.109375" style="128" customWidth="1"/>
    <col min="448" max="448" width="23.33203125" style="128" customWidth="1"/>
    <col min="449" max="449" width="10.6640625" style="128" customWidth="1"/>
    <col min="450" max="450" width="11.88671875" style="128" customWidth="1"/>
    <col min="451" max="451" width="13.88671875" style="128" customWidth="1"/>
    <col min="452" max="452" width="14" style="128" customWidth="1"/>
    <col min="453" max="453" width="12.6640625" style="128" customWidth="1"/>
    <col min="454" max="454" width="14.44140625" style="128" customWidth="1"/>
    <col min="455" max="457" width="20.6640625" style="128" customWidth="1"/>
    <col min="458" max="461" width="26.88671875" style="128" customWidth="1"/>
    <col min="462" max="462" width="17.33203125" style="128" customWidth="1"/>
    <col min="463" max="463" width="22.33203125" style="128" customWidth="1"/>
    <col min="464" max="464" width="10.33203125" style="128" customWidth="1"/>
    <col min="465" max="465" width="22.44140625" style="128" customWidth="1"/>
    <col min="466" max="466" width="12.44140625" style="128" customWidth="1"/>
    <col min="467" max="467" width="14.6640625" style="128" customWidth="1"/>
    <col min="468" max="468" width="16.6640625" style="128" customWidth="1"/>
    <col min="469" max="469" width="16.33203125" style="128" customWidth="1"/>
    <col min="470" max="470" width="12.33203125" style="128" customWidth="1"/>
    <col min="471" max="471" width="16.6640625" style="128" customWidth="1"/>
    <col min="472" max="472" width="20.88671875" style="128" customWidth="1"/>
    <col min="473" max="473" width="19.5546875" style="128" customWidth="1"/>
    <col min="474" max="474" width="15" style="128" customWidth="1"/>
    <col min="475" max="475" width="7.44140625" style="21" customWidth="1"/>
    <col min="476" max="476" width="9.88671875" style="7" customWidth="1"/>
    <col min="477" max="477" width="15" style="7" customWidth="1"/>
    <col min="478" max="478" width="13.44140625" style="7" customWidth="1"/>
    <col min="479" max="479" width="16.5546875" style="7" customWidth="1"/>
    <col min="480" max="480" width="10.109375" style="43" bestFit="1" customWidth="1"/>
    <col min="481" max="481" width="10.44140625" style="32" hidden="1" customWidth="1"/>
    <col min="482" max="483" width="10.44140625" style="32" customWidth="1"/>
    <col min="484" max="484" width="9" style="30" bestFit="1" customWidth="1"/>
    <col min="485" max="510" width="225.6640625" style="4" customWidth="1"/>
    <col min="511" max="16384" width="9.109375" style="4"/>
  </cols>
  <sheetData>
    <row r="1" spans="1:485" s="18" customFormat="1" ht="45" customHeight="1" x14ac:dyDescent="0.25">
      <c r="A1" s="105" t="s">
        <v>0</v>
      </c>
      <c r="B1" s="106" t="s">
        <v>33</v>
      </c>
      <c r="C1" s="18" t="s">
        <v>74</v>
      </c>
      <c r="D1" s="18" t="s">
        <v>74</v>
      </c>
      <c r="E1" s="22" t="s">
        <v>84</v>
      </c>
      <c r="F1" s="22" t="s">
        <v>179</v>
      </c>
      <c r="G1" s="22" t="s">
        <v>404</v>
      </c>
      <c r="H1" s="22" t="s">
        <v>339</v>
      </c>
      <c r="I1" s="22" t="s">
        <v>216</v>
      </c>
      <c r="J1" s="22" t="s">
        <v>168</v>
      </c>
      <c r="K1" s="22" t="s">
        <v>272</v>
      </c>
      <c r="L1" s="22" t="s">
        <v>523</v>
      </c>
      <c r="M1" s="22" t="s">
        <v>429</v>
      </c>
      <c r="N1" s="22" t="s">
        <v>82</v>
      </c>
      <c r="O1" s="22" t="s">
        <v>190</v>
      </c>
      <c r="P1" s="22" t="s">
        <v>269</v>
      </c>
      <c r="Q1" s="22" t="s">
        <v>206</v>
      </c>
      <c r="R1" s="22" t="s">
        <v>223</v>
      </c>
      <c r="S1" s="22" t="s">
        <v>111</v>
      </c>
      <c r="T1" s="12" t="s">
        <v>50</v>
      </c>
      <c r="U1" s="12" t="s">
        <v>77</v>
      </c>
      <c r="V1" s="12" t="s">
        <v>255</v>
      </c>
      <c r="W1" s="12" t="s">
        <v>384</v>
      </c>
      <c r="X1" s="12" t="s">
        <v>326</v>
      </c>
      <c r="Y1" s="12" t="s">
        <v>512</v>
      </c>
      <c r="Z1" s="12" t="s">
        <v>105</v>
      </c>
      <c r="AA1" s="12" t="s">
        <v>210</v>
      </c>
      <c r="AB1" s="12" t="s">
        <v>450</v>
      </c>
      <c r="AC1" s="12" t="s">
        <v>285</v>
      </c>
      <c r="AD1" s="12" t="s">
        <v>70</v>
      </c>
      <c r="AE1" s="12" t="s">
        <v>460</v>
      </c>
      <c r="AF1" s="12" t="s">
        <v>160</v>
      </c>
      <c r="AG1" s="12" t="s">
        <v>102</v>
      </c>
      <c r="AH1" s="12" t="s">
        <v>524</v>
      </c>
      <c r="AI1" s="12" t="s">
        <v>245</v>
      </c>
      <c r="AJ1" s="12" t="s">
        <v>435</v>
      </c>
      <c r="AK1" s="12" t="s">
        <v>349</v>
      </c>
      <c r="AL1" s="12" t="s">
        <v>310</v>
      </c>
      <c r="AM1" s="12" t="s">
        <v>76</v>
      </c>
      <c r="AN1" s="12" t="s">
        <v>12</v>
      </c>
      <c r="AO1" s="22" t="s">
        <v>406</v>
      </c>
      <c r="AP1" s="22" t="s">
        <v>434</v>
      </c>
      <c r="AQ1" s="22" t="s">
        <v>403</v>
      </c>
      <c r="AR1" s="22" t="s">
        <v>260</v>
      </c>
      <c r="AS1" s="22" t="s">
        <v>273</v>
      </c>
      <c r="AT1" s="22" t="s">
        <v>54</v>
      </c>
      <c r="AU1" s="60" t="s">
        <v>413</v>
      </c>
      <c r="AV1" s="22" t="s">
        <v>354</v>
      </c>
      <c r="AW1" s="22" t="s">
        <v>120</v>
      </c>
      <c r="AX1" s="22" t="s">
        <v>254</v>
      </c>
      <c r="AY1" s="22" t="s">
        <v>432</v>
      </c>
      <c r="AZ1" s="22" t="s">
        <v>464</v>
      </c>
      <c r="BA1" s="22" t="s">
        <v>214</v>
      </c>
      <c r="BB1" s="22" t="s">
        <v>295</v>
      </c>
      <c r="BC1" s="22" t="s">
        <v>241</v>
      </c>
      <c r="BD1" s="22" t="s">
        <v>141</v>
      </c>
      <c r="BE1" s="22" t="s">
        <v>169</v>
      </c>
      <c r="BF1" s="22" t="s">
        <v>208</v>
      </c>
      <c r="BG1" s="22" t="s">
        <v>236</v>
      </c>
      <c r="BH1" s="22" t="s">
        <v>270</v>
      </c>
      <c r="BI1" s="22" t="s">
        <v>500</v>
      </c>
      <c r="BJ1" s="22" t="s">
        <v>427</v>
      </c>
      <c r="BK1" s="22" t="s">
        <v>473</v>
      </c>
      <c r="BL1" s="22" t="s">
        <v>66</v>
      </c>
      <c r="BM1" s="22" t="s">
        <v>459</v>
      </c>
      <c r="BN1" s="22" t="s">
        <v>341</v>
      </c>
      <c r="BO1" s="22" t="s">
        <v>200</v>
      </c>
      <c r="BP1" s="22" t="s">
        <v>476</v>
      </c>
      <c r="BQ1" s="22" t="s">
        <v>337</v>
      </c>
      <c r="BR1" s="22" t="s">
        <v>373</v>
      </c>
      <c r="BS1" s="22" t="s">
        <v>342</v>
      </c>
      <c r="BT1" s="22" t="s">
        <v>242</v>
      </c>
      <c r="BU1" s="22" t="s">
        <v>382</v>
      </c>
      <c r="BV1" s="22" t="s">
        <v>504</v>
      </c>
      <c r="BW1" s="22" t="s">
        <v>212</v>
      </c>
      <c r="BX1" s="22" t="s">
        <v>13</v>
      </c>
      <c r="BY1" s="22" t="s">
        <v>262</v>
      </c>
      <c r="BZ1" s="22" t="s">
        <v>517</v>
      </c>
      <c r="CA1" s="22" t="s">
        <v>249</v>
      </c>
      <c r="CB1" s="22" t="s">
        <v>79</v>
      </c>
      <c r="CC1" s="12" t="s">
        <v>117</v>
      </c>
      <c r="CD1" s="12" t="s">
        <v>240</v>
      </c>
      <c r="CE1" s="22" t="s">
        <v>448</v>
      </c>
      <c r="CF1" s="22" t="s">
        <v>516</v>
      </c>
      <c r="CG1" s="22" t="s">
        <v>481</v>
      </c>
      <c r="CH1" s="22" t="s">
        <v>106</v>
      </c>
      <c r="CI1" s="22" t="s">
        <v>106</v>
      </c>
      <c r="CJ1" s="22" t="s">
        <v>78</v>
      </c>
      <c r="CK1" s="22" t="s">
        <v>261</v>
      </c>
      <c r="CL1" s="22" t="s">
        <v>135</v>
      </c>
      <c r="CM1" s="22" t="s">
        <v>513</v>
      </c>
      <c r="CN1" s="22" t="s">
        <v>329</v>
      </c>
      <c r="CO1" s="22" t="s">
        <v>225</v>
      </c>
      <c r="CP1" s="22" t="s">
        <v>146</v>
      </c>
      <c r="CQ1" s="22" t="s">
        <v>80</v>
      </c>
      <c r="CR1" s="22" t="s">
        <v>507</v>
      </c>
      <c r="CS1" s="22" t="s">
        <v>162</v>
      </c>
      <c r="CT1" s="22" t="s">
        <v>508</v>
      </c>
      <c r="CU1" s="22" t="s">
        <v>60</v>
      </c>
      <c r="CV1" s="22" t="s">
        <v>27</v>
      </c>
      <c r="CW1" s="22" t="s">
        <v>446</v>
      </c>
      <c r="CX1" s="22" t="s">
        <v>207</v>
      </c>
      <c r="CY1" s="22" t="s">
        <v>292</v>
      </c>
      <c r="CZ1" s="22" t="s">
        <v>333</v>
      </c>
      <c r="DA1" s="22" t="s">
        <v>175</v>
      </c>
      <c r="DB1" s="22" t="s">
        <v>71</v>
      </c>
      <c r="DC1" s="22" t="s">
        <v>118</v>
      </c>
      <c r="DD1" s="22" t="s">
        <v>362</v>
      </c>
      <c r="DE1" s="22" t="s">
        <v>238</v>
      </c>
      <c r="DF1" s="22" t="s">
        <v>461</v>
      </c>
      <c r="DG1" s="22" t="s">
        <v>164</v>
      </c>
      <c r="DH1" s="22" t="s">
        <v>147</v>
      </c>
      <c r="DI1" s="22" t="s">
        <v>215</v>
      </c>
      <c r="DJ1" s="12" t="s">
        <v>53</v>
      </c>
      <c r="DK1" s="12" t="s">
        <v>370</v>
      </c>
      <c r="DL1" s="12" t="s">
        <v>14</v>
      </c>
      <c r="DM1" s="12" t="s">
        <v>92</v>
      </c>
      <c r="DN1" s="12" t="s">
        <v>103</v>
      </c>
      <c r="DO1" s="12" t="s">
        <v>92</v>
      </c>
      <c r="DP1" s="12" t="s">
        <v>65</v>
      </c>
      <c r="DQ1" s="12" t="s">
        <v>465</v>
      </c>
      <c r="DR1" s="12" t="s">
        <v>493</v>
      </c>
      <c r="DS1" s="12" t="s">
        <v>530</v>
      </c>
      <c r="DT1" s="12" t="s">
        <v>363</v>
      </c>
      <c r="DU1" s="12" t="s">
        <v>173</v>
      </c>
      <c r="DV1" s="12" t="s">
        <v>256</v>
      </c>
      <c r="DW1" s="12" t="s">
        <v>143</v>
      </c>
      <c r="DX1" s="12" t="s">
        <v>142</v>
      </c>
      <c r="DY1" s="12" t="s">
        <v>48</v>
      </c>
      <c r="DZ1" s="12" t="s">
        <v>501</v>
      </c>
      <c r="EA1" s="12" t="s">
        <v>94</v>
      </c>
      <c r="EB1" s="12" t="s">
        <v>237</v>
      </c>
      <c r="EC1" s="12" t="s">
        <v>47</v>
      </c>
      <c r="ED1" s="12" t="s">
        <v>182</v>
      </c>
      <c r="EE1" s="12" t="s">
        <v>228</v>
      </c>
      <c r="EF1" s="12" t="s">
        <v>491</v>
      </c>
      <c r="EG1" s="12" t="s">
        <v>334</v>
      </c>
      <c r="EH1" s="12" t="s">
        <v>115</v>
      </c>
      <c r="EI1" s="12" t="s">
        <v>293</v>
      </c>
      <c r="EJ1" s="12" t="s">
        <v>193</v>
      </c>
      <c r="EK1" s="12" t="s">
        <v>186</v>
      </c>
      <c r="EL1" s="12" t="s">
        <v>430</v>
      </c>
      <c r="EM1" s="12" t="s">
        <v>150</v>
      </c>
      <c r="EN1" s="12" t="s">
        <v>157</v>
      </c>
      <c r="EO1" s="12" t="s">
        <v>371</v>
      </c>
      <c r="EP1" s="12" t="s">
        <v>331</v>
      </c>
      <c r="EQ1" s="12" t="s">
        <v>274</v>
      </c>
      <c r="ER1" s="12" t="s">
        <v>35</v>
      </c>
      <c r="ES1" s="12" t="s">
        <v>171</v>
      </c>
      <c r="ET1" s="12" t="s">
        <v>509</v>
      </c>
      <c r="EU1" s="12" t="s">
        <v>381</v>
      </c>
      <c r="EV1" s="12" t="s">
        <v>183</v>
      </c>
      <c r="EW1" s="12" t="s">
        <v>271</v>
      </c>
      <c r="EX1" s="12" t="s">
        <v>32</v>
      </c>
      <c r="EY1" s="12" t="s">
        <v>204</v>
      </c>
      <c r="EZ1" s="12" t="s">
        <v>257</v>
      </c>
      <c r="FA1" s="12" t="s">
        <v>308</v>
      </c>
      <c r="FB1" s="12" t="s">
        <v>176</v>
      </c>
      <c r="FC1" s="12" t="s">
        <v>347</v>
      </c>
      <c r="FD1" s="12" t="s">
        <v>61</v>
      </c>
      <c r="FE1" s="12" t="s">
        <v>163</v>
      </c>
      <c r="FF1" s="12" t="s">
        <v>253</v>
      </c>
      <c r="FG1" s="12" t="s">
        <v>51</v>
      </c>
      <c r="FH1" s="12" t="s">
        <v>144</v>
      </c>
      <c r="FI1" s="12" t="s">
        <v>463</v>
      </c>
      <c r="FJ1" s="12" t="s">
        <v>275</v>
      </c>
      <c r="FK1" s="12" t="s">
        <v>494</v>
      </c>
      <c r="FL1" s="12" t="s">
        <v>15</v>
      </c>
      <c r="FM1" s="12" t="s">
        <v>95</v>
      </c>
      <c r="FN1" s="12" t="s">
        <v>59</v>
      </c>
      <c r="FO1" s="22" t="s">
        <v>338</v>
      </c>
      <c r="FP1" s="22" t="s">
        <v>482</v>
      </c>
      <c r="FQ1" s="22" t="s">
        <v>16</v>
      </c>
      <c r="FR1" s="22" t="s">
        <v>148</v>
      </c>
      <c r="FS1" s="22" t="s">
        <v>428</v>
      </c>
      <c r="FT1" s="22" t="s">
        <v>244</v>
      </c>
      <c r="FU1" s="22" t="s">
        <v>325</v>
      </c>
      <c r="FV1" s="22" t="s">
        <v>490</v>
      </c>
      <c r="FW1" s="12" t="s">
        <v>211</v>
      </c>
      <c r="FX1" s="12" t="s">
        <v>422</v>
      </c>
      <c r="FY1" s="12" t="s">
        <v>187</v>
      </c>
      <c r="FZ1" s="12" t="s">
        <v>267</v>
      </c>
      <c r="GA1" s="12" t="s">
        <v>226</v>
      </c>
      <c r="GB1" s="12" t="s">
        <v>153</v>
      </c>
      <c r="GC1" s="12" t="s">
        <v>529</v>
      </c>
      <c r="GD1" s="12" t="s">
        <v>1</v>
      </c>
      <c r="GE1" s="22" t="s">
        <v>304</v>
      </c>
      <c r="GF1" s="22" t="s">
        <v>158</v>
      </c>
      <c r="GG1" s="22" t="s">
        <v>531</v>
      </c>
      <c r="GH1" s="22" t="s">
        <v>510</v>
      </c>
      <c r="GI1" s="22" t="s">
        <v>72</v>
      </c>
      <c r="GJ1" s="22" t="s">
        <v>311</v>
      </c>
      <c r="GK1" s="22" t="s">
        <v>252</v>
      </c>
      <c r="GL1" s="22" t="s">
        <v>302</v>
      </c>
      <c r="GM1" s="22" t="s">
        <v>345</v>
      </c>
      <c r="GN1" s="22" t="s">
        <v>276</v>
      </c>
      <c r="GO1" s="22" t="s">
        <v>209</v>
      </c>
      <c r="GP1" s="22" t="s">
        <v>25</v>
      </c>
      <c r="GQ1" s="12" t="s">
        <v>351</v>
      </c>
      <c r="GR1" s="22" t="s">
        <v>83</v>
      </c>
      <c r="GS1" s="22" t="s">
        <v>426</v>
      </c>
      <c r="GT1" s="22" t="s">
        <v>511</v>
      </c>
      <c r="GU1" s="12" t="s">
        <v>127</v>
      </c>
      <c r="GV1" s="12" t="s">
        <v>480</v>
      </c>
      <c r="GW1" s="12" t="s">
        <v>40</v>
      </c>
      <c r="GX1" s="12" t="s">
        <v>161</v>
      </c>
      <c r="GY1" s="12" t="s">
        <v>172</v>
      </c>
      <c r="GZ1" s="12" t="s">
        <v>356</v>
      </c>
      <c r="HA1" s="12" t="s">
        <v>26</v>
      </c>
      <c r="HB1" s="12" t="s">
        <v>355</v>
      </c>
      <c r="HC1" s="12" t="s">
        <v>184</v>
      </c>
      <c r="HD1" s="12" t="s">
        <v>374</v>
      </c>
      <c r="HE1" s="12" t="s">
        <v>29</v>
      </c>
      <c r="HF1" s="12" t="s">
        <v>89</v>
      </c>
      <c r="HG1" s="22" t="s">
        <v>248</v>
      </c>
      <c r="HH1" s="22" t="s">
        <v>194</v>
      </c>
      <c r="HI1" s="22" t="s">
        <v>67</v>
      </c>
      <c r="HJ1" s="22" t="s">
        <v>364</v>
      </c>
      <c r="HK1" s="22" t="s">
        <v>300</v>
      </c>
      <c r="HL1" s="22" t="s">
        <v>314</v>
      </c>
      <c r="HM1" s="22" t="s">
        <v>375</v>
      </c>
      <c r="HN1" s="22" t="s">
        <v>519</v>
      </c>
      <c r="HO1" s="22" t="s">
        <v>424</v>
      </c>
      <c r="HP1" s="12" t="s">
        <v>28</v>
      </c>
      <c r="HQ1" s="22" t="s">
        <v>128</v>
      </c>
      <c r="HR1" s="22" t="s">
        <v>149</v>
      </c>
      <c r="HS1" s="22" t="s">
        <v>177</v>
      </c>
      <c r="HT1" s="22" t="s">
        <v>327</v>
      </c>
      <c r="HU1" s="22" t="s">
        <v>357</v>
      </c>
      <c r="HV1" s="22" t="s">
        <v>268</v>
      </c>
      <c r="HW1" s="22" t="s">
        <v>475</v>
      </c>
      <c r="HX1" s="22" t="s">
        <v>17</v>
      </c>
      <c r="HY1" s="22" t="s">
        <v>107</v>
      </c>
      <c r="HZ1" s="22" t="s">
        <v>488</v>
      </c>
      <c r="IA1" s="22" t="s">
        <v>104</v>
      </c>
      <c r="IB1" s="22" t="s">
        <v>165</v>
      </c>
      <c r="IC1" s="22" t="s">
        <v>299</v>
      </c>
      <c r="ID1" s="22" t="s">
        <v>166</v>
      </c>
      <c r="IE1" s="22" t="s">
        <v>230</v>
      </c>
      <c r="IF1" s="22" t="s">
        <v>395</v>
      </c>
      <c r="IG1" s="22" t="s">
        <v>108</v>
      </c>
      <c r="IH1" s="22" t="s">
        <v>2</v>
      </c>
      <c r="II1" s="22" t="s">
        <v>229</v>
      </c>
      <c r="IJ1" s="22" t="s">
        <v>217</v>
      </c>
      <c r="IK1" s="22" t="s">
        <v>201</v>
      </c>
      <c r="IL1" s="22" t="s">
        <v>85</v>
      </c>
      <c r="IM1" s="22" t="s">
        <v>116</v>
      </c>
      <c r="IN1" s="22" t="s">
        <v>421</v>
      </c>
      <c r="IO1" s="22" t="s">
        <v>412</v>
      </c>
      <c r="IP1" s="22" t="s">
        <v>307</v>
      </c>
      <c r="IQ1" s="22" t="s">
        <v>185</v>
      </c>
      <c r="IR1" s="22" t="s">
        <v>42</v>
      </c>
      <c r="IS1" s="12" t="s">
        <v>49</v>
      </c>
      <c r="IT1" s="22" t="s">
        <v>119</v>
      </c>
      <c r="IU1" s="22" t="s">
        <v>466</v>
      </c>
      <c r="IV1" s="22" t="s">
        <v>352</v>
      </c>
      <c r="IW1" s="22" t="s">
        <v>247</v>
      </c>
      <c r="IX1" s="22" t="s">
        <v>277</v>
      </c>
      <c r="IY1" s="22" t="s">
        <v>353</v>
      </c>
      <c r="IZ1" s="22" t="s">
        <v>122</v>
      </c>
      <c r="JA1" s="22" t="s">
        <v>303</v>
      </c>
      <c r="JB1" s="22" t="s">
        <v>81</v>
      </c>
      <c r="JC1" s="22" t="s">
        <v>133</v>
      </c>
      <c r="JD1" s="22" t="s">
        <v>202</v>
      </c>
      <c r="JE1" s="22" t="s">
        <v>213</v>
      </c>
      <c r="JF1" s="22" t="s">
        <v>343</v>
      </c>
      <c r="JG1" s="12" t="s">
        <v>167</v>
      </c>
      <c r="JH1" s="12" t="s">
        <v>330</v>
      </c>
      <c r="JI1" s="12" t="s">
        <v>154</v>
      </c>
      <c r="JJ1" s="12" t="s">
        <v>423</v>
      </c>
      <c r="JK1" s="12" t="s">
        <v>415</v>
      </c>
      <c r="JL1" s="12" t="s">
        <v>125</v>
      </c>
      <c r="JM1" s="12" t="s">
        <v>492</v>
      </c>
      <c r="JN1" s="12" t="s">
        <v>361</v>
      </c>
      <c r="JO1" s="12" t="s">
        <v>294</v>
      </c>
      <c r="JP1" s="12" t="s">
        <v>489</v>
      </c>
      <c r="JQ1" s="12" t="s">
        <v>431</v>
      </c>
      <c r="JR1" s="12" t="s">
        <v>407</v>
      </c>
      <c r="JS1" s="12" t="s">
        <v>392</v>
      </c>
      <c r="JT1" s="12" t="s">
        <v>391</v>
      </c>
      <c r="JU1" s="12" t="s">
        <v>24</v>
      </c>
      <c r="JV1" s="12" t="s">
        <v>18</v>
      </c>
      <c r="JW1" s="12" t="s">
        <v>58</v>
      </c>
      <c r="JX1" s="12" t="s">
        <v>188</v>
      </c>
      <c r="JY1" s="12" t="s">
        <v>346</v>
      </c>
      <c r="JZ1" s="12" t="s">
        <v>191</v>
      </c>
      <c r="KA1" s="12" t="s">
        <v>101</v>
      </c>
      <c r="KB1" s="12" t="s">
        <v>195</v>
      </c>
      <c r="KC1" s="12" t="s">
        <v>411</v>
      </c>
      <c r="KD1" s="12" t="s">
        <v>474</v>
      </c>
      <c r="KE1" s="12" t="s">
        <v>227</v>
      </c>
      <c r="KF1" s="12" t="s">
        <v>159</v>
      </c>
      <c r="KG1" s="12" t="s">
        <v>109</v>
      </c>
      <c r="KH1" s="12" t="s">
        <v>455</v>
      </c>
      <c r="KI1" s="12" t="s">
        <v>282</v>
      </c>
      <c r="KJ1" s="12" t="s">
        <v>520</v>
      </c>
      <c r="KK1" s="12" t="s">
        <v>367</v>
      </c>
      <c r="KL1" s="12" t="s">
        <v>502</v>
      </c>
      <c r="KM1" s="12" t="s">
        <v>20</v>
      </c>
      <c r="KN1" s="22" t="s">
        <v>526</v>
      </c>
      <c r="KO1" s="22" t="s">
        <v>170</v>
      </c>
      <c r="KP1" s="22" t="s">
        <v>68</v>
      </c>
      <c r="KQ1" s="22" t="s">
        <v>139</v>
      </c>
      <c r="KR1" s="22" t="s">
        <v>335</v>
      </c>
      <c r="KS1" s="12" t="s">
        <v>239</v>
      </c>
      <c r="KT1" s="12" t="s">
        <v>126</v>
      </c>
      <c r="KU1" s="12" t="s">
        <v>129</v>
      </c>
      <c r="KV1" s="22" t="s">
        <v>62</v>
      </c>
      <c r="KW1" s="12" t="s">
        <v>93</v>
      </c>
      <c r="KX1" s="22" t="s">
        <v>467</v>
      </c>
      <c r="KY1" s="22" t="s">
        <v>521</v>
      </c>
      <c r="KZ1" s="22" t="s">
        <v>112</v>
      </c>
      <c r="LA1" s="22" t="s">
        <v>522</v>
      </c>
      <c r="LB1" s="22" t="s">
        <v>233</v>
      </c>
      <c r="LC1" s="22" t="s">
        <v>19</v>
      </c>
      <c r="LD1" s="22" t="s">
        <v>458</v>
      </c>
      <c r="LE1" s="12" t="s">
        <v>113</v>
      </c>
      <c r="LF1" s="12" t="s">
        <v>495</v>
      </c>
      <c r="LG1" s="12" t="s">
        <v>234</v>
      </c>
      <c r="LH1" s="12" t="s">
        <v>250</v>
      </c>
      <c r="LI1" s="12" t="s">
        <v>151</v>
      </c>
      <c r="LJ1" s="12" t="s">
        <v>203</v>
      </c>
      <c r="LK1" s="22" t="s">
        <v>181</v>
      </c>
      <c r="LL1" s="22" t="s">
        <v>110</v>
      </c>
      <c r="LM1" s="22" t="s">
        <v>138</v>
      </c>
      <c r="LN1" s="22" t="s">
        <v>136</v>
      </c>
      <c r="LO1" s="22" t="s">
        <v>503</v>
      </c>
      <c r="LP1" s="22" t="s">
        <v>197</v>
      </c>
      <c r="LQ1" s="22" t="s">
        <v>132</v>
      </c>
      <c r="LR1" s="22" t="s">
        <v>197</v>
      </c>
      <c r="LS1" s="12" t="s">
        <v>288</v>
      </c>
      <c r="LT1" s="12" t="s">
        <v>506</v>
      </c>
      <c r="LU1" s="12" t="s">
        <v>291</v>
      </c>
      <c r="LV1" s="27" t="s">
        <v>309</v>
      </c>
      <c r="LW1" s="27" t="s">
        <v>433</v>
      </c>
      <c r="LX1" s="27" t="s">
        <v>380</v>
      </c>
      <c r="LY1" s="27" t="s">
        <v>318</v>
      </c>
      <c r="LZ1" s="12" t="s">
        <v>319</v>
      </c>
      <c r="MA1" s="27" t="s">
        <v>313</v>
      </c>
      <c r="MB1" s="27" t="s">
        <v>312</v>
      </c>
      <c r="MC1" s="27" t="s">
        <v>441</v>
      </c>
      <c r="MD1" s="27" t="s">
        <v>289</v>
      </c>
      <c r="ME1" s="27" t="s">
        <v>416</v>
      </c>
      <c r="MF1" s="27" t="s">
        <v>316</v>
      </c>
      <c r="MG1" s="27" t="s">
        <v>399</v>
      </c>
      <c r="MH1" s="27" t="s">
        <v>400</v>
      </c>
      <c r="MI1" s="27" t="s">
        <v>452</v>
      </c>
      <c r="MJ1" s="27" t="s">
        <v>437</v>
      </c>
      <c r="MK1" s="27" t="s">
        <v>445</v>
      </c>
      <c r="ML1" s="27" t="s">
        <v>497</v>
      </c>
      <c r="MM1" s="27" t="s">
        <v>498</v>
      </c>
      <c r="MN1" s="27" t="s">
        <v>397</v>
      </c>
      <c r="MO1" s="27" t="s">
        <v>398</v>
      </c>
      <c r="MP1" s="12" t="s">
        <v>290</v>
      </c>
      <c r="MQ1" s="27" t="s">
        <v>320</v>
      </c>
      <c r="MR1" s="27" t="s">
        <v>321</v>
      </c>
      <c r="MS1" s="27" t="s">
        <v>322</v>
      </c>
      <c r="MT1" s="27" t="s">
        <v>323</v>
      </c>
      <c r="MU1" s="27" t="s">
        <v>324</v>
      </c>
      <c r="MV1" s="27" t="s">
        <v>383</v>
      </c>
      <c r="MW1" s="27" t="s">
        <v>360</v>
      </c>
      <c r="MX1" s="27" t="s">
        <v>485</v>
      </c>
      <c r="MY1" s="27" t="s">
        <v>180</v>
      </c>
      <c r="MZ1" s="27" t="s">
        <v>525</v>
      </c>
      <c r="NA1" s="27" t="s">
        <v>484</v>
      </c>
      <c r="NB1" s="27" t="s">
        <v>180</v>
      </c>
      <c r="NC1" s="27" t="s">
        <v>471</v>
      </c>
      <c r="ND1" s="27" t="s">
        <v>472</v>
      </c>
      <c r="NE1" s="27" t="s">
        <v>265</v>
      </c>
      <c r="NF1" s="27" t="s">
        <v>266</v>
      </c>
      <c r="NG1" s="27" t="s">
        <v>279</v>
      </c>
      <c r="NH1" s="27" t="s">
        <v>280</v>
      </c>
      <c r="NI1" s="27" t="s">
        <v>281</v>
      </c>
      <c r="NJ1" s="27" t="s">
        <v>305</v>
      </c>
      <c r="NK1" s="27" t="s">
        <v>385</v>
      </c>
      <c r="NL1" s="27" t="s">
        <v>408</v>
      </c>
      <c r="NM1" s="27" t="s">
        <v>386</v>
      </c>
      <c r="NN1" s="27" t="s">
        <v>419</v>
      </c>
      <c r="NO1" s="27" t="s">
        <v>420</v>
      </c>
      <c r="NP1" s="27" t="s">
        <v>417</v>
      </c>
      <c r="NQ1" s="27" t="s">
        <v>387</v>
      </c>
      <c r="NR1" s="27" t="s">
        <v>388</v>
      </c>
      <c r="NS1" s="27" t="s">
        <v>389</v>
      </c>
      <c r="NT1" s="27" t="s">
        <v>390</v>
      </c>
      <c r="NU1" s="27" t="s">
        <v>505</v>
      </c>
      <c r="NV1" s="27" t="s">
        <v>264</v>
      </c>
      <c r="NW1" s="27" t="s">
        <v>315</v>
      </c>
      <c r="NX1" s="27" t="s">
        <v>297</v>
      </c>
      <c r="NY1" s="27" t="s">
        <v>487</v>
      </c>
      <c r="NZ1" s="27" t="s">
        <v>298</v>
      </c>
      <c r="OA1" s="27" t="s">
        <v>306</v>
      </c>
      <c r="OB1" s="27" t="s">
        <v>263</v>
      </c>
      <c r="OC1" s="27" t="s">
        <v>198</v>
      </c>
      <c r="OD1" s="27" t="s">
        <v>393</v>
      </c>
      <c r="OE1" s="27" t="s">
        <v>402</v>
      </c>
      <c r="OF1" s="27" t="s">
        <v>317</v>
      </c>
      <c r="OG1" s="27" t="s">
        <v>251</v>
      </c>
      <c r="OH1" s="12" t="s">
        <v>178</v>
      </c>
      <c r="OI1" s="27" t="s">
        <v>100</v>
      </c>
      <c r="OJ1" s="27" t="s">
        <v>438</v>
      </c>
      <c r="OK1" s="27" t="s">
        <v>486</v>
      </c>
      <c r="OL1" s="27" t="s">
        <v>499</v>
      </c>
      <c r="OM1" s="27" t="s">
        <v>99</v>
      </c>
      <c r="ON1" s="27" t="s">
        <v>98</v>
      </c>
      <c r="OO1" s="27" t="s">
        <v>152</v>
      </c>
      <c r="OP1" s="27" t="s">
        <v>97</v>
      </c>
      <c r="OQ1" s="27" t="s">
        <v>453</v>
      </c>
      <c r="OR1" s="27" t="s">
        <v>454</v>
      </c>
      <c r="OS1" s="27" t="s">
        <v>235</v>
      </c>
      <c r="OT1" s="113" t="s">
        <v>286</v>
      </c>
      <c r="OU1" s="27" t="s">
        <v>114</v>
      </c>
      <c r="OV1" s="27" t="s">
        <v>410</v>
      </c>
      <c r="OW1" s="27" t="s">
        <v>96</v>
      </c>
      <c r="OX1" s="27" t="s">
        <v>278</v>
      </c>
      <c r="OY1" s="27" t="s">
        <v>368</v>
      </c>
      <c r="OZ1" s="27" t="s">
        <v>376</v>
      </c>
      <c r="PA1" s="27" t="s">
        <v>444</v>
      </c>
      <c r="PB1" s="27" t="s">
        <v>359</v>
      </c>
      <c r="PC1" s="27" t="s">
        <v>224</v>
      </c>
      <c r="PD1" s="12" t="s">
        <v>44</v>
      </c>
      <c r="PE1" s="12" t="s">
        <v>528</v>
      </c>
      <c r="PF1" s="12" t="s">
        <v>332</v>
      </c>
      <c r="PG1" s="12" t="s">
        <v>401</v>
      </c>
      <c r="PH1" s="12" t="s">
        <v>451</v>
      </c>
      <c r="PI1" s="12" t="s">
        <v>90</v>
      </c>
      <c r="PJ1" s="12" t="s">
        <v>232</v>
      </c>
      <c r="PK1" s="62" t="s">
        <v>124</v>
      </c>
      <c r="PL1" s="62" t="s">
        <v>328</v>
      </c>
      <c r="PM1" s="62" t="s">
        <v>436</v>
      </c>
      <c r="PN1" s="62" t="s">
        <v>436</v>
      </c>
      <c r="PO1" s="62" t="s">
        <v>436</v>
      </c>
      <c r="PP1" s="62" t="s">
        <v>199</v>
      </c>
      <c r="PQ1" s="62" t="s">
        <v>296</v>
      </c>
      <c r="PR1" s="62" t="s">
        <v>409</v>
      </c>
      <c r="PS1" s="62" t="s">
        <v>447</v>
      </c>
      <c r="PT1" s="62" t="s">
        <v>258</v>
      </c>
      <c r="PU1" s="62" t="s">
        <v>259</v>
      </c>
      <c r="PV1" s="62" t="s">
        <v>121</v>
      </c>
      <c r="PW1" s="12" t="s">
        <v>205</v>
      </c>
      <c r="PX1" s="12" t="s">
        <v>414</v>
      </c>
      <c r="PY1" s="12" t="s">
        <v>301</v>
      </c>
      <c r="PZ1" s="12" t="s">
        <v>369</v>
      </c>
      <c r="QA1" s="12" t="s">
        <v>379</v>
      </c>
      <c r="QB1" s="12" t="s">
        <v>378</v>
      </c>
      <c r="QC1" s="12" t="s">
        <v>231</v>
      </c>
      <c r="QD1" s="12" t="s">
        <v>418</v>
      </c>
      <c r="QE1" s="12" t="s">
        <v>231</v>
      </c>
      <c r="QF1" s="12" t="s">
        <v>394</v>
      </c>
      <c r="QG1" s="12" t="s">
        <v>372</v>
      </c>
      <c r="QH1" s="12" t="s">
        <v>246</v>
      </c>
      <c r="QI1" s="12" t="s">
        <v>130</v>
      </c>
      <c r="QJ1" s="12" t="s">
        <v>145</v>
      </c>
      <c r="QK1" s="12" t="s">
        <v>52</v>
      </c>
      <c r="QL1" s="12" t="s">
        <v>64</v>
      </c>
      <c r="QM1" s="12" t="s">
        <v>532</v>
      </c>
      <c r="QN1" s="12" t="s">
        <v>536</v>
      </c>
      <c r="QO1" s="12" t="s">
        <v>535</v>
      </c>
      <c r="QP1" s="12" t="s">
        <v>534</v>
      </c>
      <c r="QQ1" s="12" t="s">
        <v>538</v>
      </c>
      <c r="QR1" s="12" t="s">
        <v>539</v>
      </c>
      <c r="QS1" s="12" t="s">
        <v>537</v>
      </c>
      <c r="QT1" s="12" t="s">
        <v>542</v>
      </c>
      <c r="QU1" s="12" t="s">
        <v>543</v>
      </c>
      <c r="QV1" s="12" t="s">
        <v>554</v>
      </c>
      <c r="QW1" s="12" t="s">
        <v>555</v>
      </c>
      <c r="QX1" s="12" t="s">
        <v>577</v>
      </c>
      <c r="QY1" s="12" t="s">
        <v>590</v>
      </c>
      <c r="QZ1" s="12" t="s">
        <v>608</v>
      </c>
      <c r="RA1" s="12" t="s">
        <v>609</v>
      </c>
      <c r="RB1" s="12" t="s">
        <v>606</v>
      </c>
      <c r="RC1" s="12" t="s">
        <v>620</v>
      </c>
      <c r="RD1" s="12" t="s">
        <v>622</v>
      </c>
      <c r="RE1" s="12" t="s">
        <v>621</v>
      </c>
      <c r="RF1" s="12" t="s">
        <v>46</v>
      </c>
      <c r="RG1" s="107" t="s">
        <v>3</v>
      </c>
      <c r="RH1" s="108" t="s">
        <v>4</v>
      </c>
      <c r="RI1" s="25" t="s">
        <v>5</v>
      </c>
      <c r="RJ1" s="26" t="s">
        <v>155</v>
      </c>
      <c r="RK1" s="13" t="s">
        <v>37</v>
      </c>
      <c r="RL1" s="78" t="s">
        <v>156</v>
      </c>
      <c r="RM1" s="109">
        <v>44929</v>
      </c>
      <c r="RN1" s="109">
        <v>44958</v>
      </c>
      <c r="RO1" s="109">
        <v>44986</v>
      </c>
      <c r="RP1" s="107" t="s">
        <v>38</v>
      </c>
      <c r="RQ1" s="100"/>
    </row>
    <row r="2" spans="1:485" s="5" customFormat="1" ht="12.75" customHeight="1" x14ac:dyDescent="0.25">
      <c r="A2" s="61">
        <v>44958</v>
      </c>
      <c r="B2" s="165" t="s">
        <v>86</v>
      </c>
      <c r="C2" s="123"/>
      <c r="D2" s="123"/>
      <c r="E2" s="124"/>
      <c r="F2" s="124"/>
      <c r="G2" s="124"/>
      <c r="H2" s="124"/>
      <c r="I2" s="124"/>
      <c r="J2" s="124"/>
      <c r="K2" s="124"/>
      <c r="L2" s="124"/>
      <c r="M2" s="124"/>
      <c r="N2" s="125">
        <v>2.4</v>
      </c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>
        <v>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5"/>
      <c r="CV2" s="125">
        <v>2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>
        <v>0.9</v>
      </c>
      <c r="II2" s="125"/>
      <c r="IJ2" s="125"/>
      <c r="IK2" s="125"/>
      <c r="IL2" s="125">
        <v>2</v>
      </c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>
        <v>2</v>
      </c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>
        <v>1</v>
      </c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5"/>
      <c r="NL2" s="125"/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5"/>
      <c r="RA2" s="125"/>
      <c r="RB2" s="125"/>
      <c r="RC2" s="125"/>
      <c r="RD2" s="125"/>
      <c r="RE2" s="125"/>
      <c r="RF2" s="125"/>
      <c r="RG2" s="24">
        <f t="shared" ref="RG2:RG33" si="0">SUBTOTAL(9,C2:RF2)</f>
        <v>12.3</v>
      </c>
      <c r="RH2" s="60" t="s">
        <v>36</v>
      </c>
      <c r="RI2" s="121">
        <v>974.76</v>
      </c>
      <c r="RJ2" s="77">
        <f>RM2+RN2</f>
        <v>974.76</v>
      </c>
      <c r="RK2" s="77">
        <v>540.18700000000001</v>
      </c>
      <c r="RL2" s="121">
        <f t="shared" ref="RL2:RL33" si="1">RI2-RJ2</f>
        <v>0</v>
      </c>
      <c r="RM2" s="145">
        <v>550</v>
      </c>
      <c r="RN2" s="145">
        <v>424.76</v>
      </c>
      <c r="RO2" s="145"/>
      <c r="RP2" s="104">
        <f t="shared" ref="RP2:RP33" si="2">RI2/RK2</f>
        <v>1.8044862242149478</v>
      </c>
      <c r="RQ2" s="172"/>
    </row>
    <row r="3" spans="1:485" s="5" customFormat="1" ht="12.75" customHeight="1" x14ac:dyDescent="0.25">
      <c r="A3" s="61">
        <v>44958</v>
      </c>
      <c r="B3" s="112" t="s">
        <v>283</v>
      </c>
      <c r="C3" s="123"/>
      <c r="D3" s="123">
        <v>100</v>
      </c>
      <c r="E3" s="124">
        <v>100</v>
      </c>
      <c r="F3" s="124"/>
      <c r="G3" s="124"/>
      <c r="H3" s="124"/>
      <c r="I3" s="124"/>
      <c r="J3" s="124"/>
      <c r="K3" s="124"/>
      <c r="L3" s="124"/>
      <c r="M3" s="124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>
        <v>10</v>
      </c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>
        <v>60</v>
      </c>
      <c r="BM3" s="125"/>
      <c r="BN3" s="125"/>
      <c r="BO3" s="125">
        <v>60</v>
      </c>
      <c r="BP3" s="125"/>
      <c r="BQ3" s="125"/>
      <c r="BR3" s="125"/>
      <c r="BS3" s="125">
        <v>60</v>
      </c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  <c r="CT3" s="125"/>
      <c r="CU3" s="125"/>
      <c r="CV3" s="125"/>
      <c r="CW3" s="125"/>
      <c r="CX3" s="125"/>
      <c r="CY3" s="125"/>
      <c r="CZ3" s="125"/>
      <c r="DA3" s="125"/>
      <c r="DB3" s="125"/>
      <c r="DC3" s="125"/>
      <c r="DD3" s="125"/>
      <c r="DE3" s="125"/>
      <c r="DF3" s="125"/>
      <c r="DG3" s="125"/>
      <c r="DH3" s="125"/>
      <c r="DI3" s="125"/>
      <c r="DJ3" s="125"/>
      <c r="DK3" s="125"/>
      <c r="DL3" s="125">
        <v>60</v>
      </c>
      <c r="DM3" s="125"/>
      <c r="DN3" s="125"/>
      <c r="DO3" s="125"/>
      <c r="DP3" s="125"/>
      <c r="DQ3" s="125"/>
      <c r="DR3" s="125"/>
      <c r="DS3" s="125"/>
      <c r="DT3" s="125"/>
      <c r="DU3" s="125"/>
      <c r="DV3" s="125">
        <v>60</v>
      </c>
      <c r="DW3" s="125"/>
      <c r="DX3" s="125"/>
      <c r="DY3" s="125"/>
      <c r="DZ3" s="125"/>
      <c r="EA3" s="125"/>
      <c r="EB3" s="125"/>
      <c r="EC3" s="125"/>
      <c r="ED3" s="125"/>
      <c r="EE3" s="125"/>
      <c r="EF3" s="125"/>
      <c r="EG3" s="125"/>
      <c r="EH3" s="125"/>
      <c r="EI3" s="125"/>
      <c r="EJ3" s="125"/>
      <c r="EK3" s="125"/>
      <c r="EL3" s="125"/>
      <c r="EM3" s="125"/>
      <c r="EN3" s="125"/>
      <c r="EO3" s="125"/>
      <c r="EP3" s="125"/>
      <c r="EQ3" s="125"/>
      <c r="ER3" s="125"/>
      <c r="ES3" s="125"/>
      <c r="ET3" s="125"/>
      <c r="EU3" s="125"/>
      <c r="EV3" s="125"/>
      <c r="EW3" s="125"/>
      <c r="EX3" s="125"/>
      <c r="EY3" s="125"/>
      <c r="EZ3" s="125"/>
      <c r="FA3" s="125"/>
      <c r="FB3" s="125"/>
      <c r="FC3" s="125"/>
      <c r="FD3" s="125"/>
      <c r="FE3" s="125"/>
      <c r="FF3" s="125"/>
      <c r="FG3" s="125"/>
      <c r="FH3" s="125"/>
      <c r="FI3" s="125"/>
      <c r="FJ3" s="125"/>
      <c r="FK3" s="125"/>
      <c r="FL3" s="125"/>
      <c r="FM3" s="125"/>
      <c r="FN3" s="125"/>
      <c r="FO3" s="125"/>
      <c r="FP3" s="125"/>
      <c r="FQ3" s="125"/>
      <c r="FR3" s="125"/>
      <c r="FS3" s="125"/>
      <c r="FT3" s="125"/>
      <c r="FU3" s="125"/>
      <c r="FV3" s="125"/>
      <c r="FW3" s="125"/>
      <c r="FX3" s="125"/>
      <c r="FY3" s="125"/>
      <c r="FZ3" s="125"/>
      <c r="GA3" s="125"/>
      <c r="GB3" s="125"/>
      <c r="GC3" s="125"/>
      <c r="GD3" s="125">
        <v>140</v>
      </c>
      <c r="GE3" s="125"/>
      <c r="GF3" s="125"/>
      <c r="GG3" s="125"/>
      <c r="GH3" s="125"/>
      <c r="GI3" s="125"/>
      <c r="GJ3" s="125"/>
      <c r="GK3" s="125"/>
      <c r="GL3" s="125"/>
      <c r="GM3" s="125"/>
      <c r="GN3" s="125"/>
      <c r="GO3" s="125"/>
      <c r="GP3" s="125"/>
      <c r="GQ3" s="125"/>
      <c r="GR3" s="125"/>
      <c r="GS3" s="125"/>
      <c r="GT3" s="125"/>
      <c r="GU3" s="125"/>
      <c r="GV3" s="125"/>
      <c r="GW3" s="125"/>
      <c r="GX3" s="125"/>
      <c r="GY3" s="125"/>
      <c r="GZ3" s="125"/>
      <c r="HA3" s="125"/>
      <c r="HB3" s="125"/>
      <c r="HC3" s="125"/>
      <c r="HD3" s="125"/>
      <c r="HE3" s="125"/>
      <c r="HF3" s="125"/>
      <c r="HG3" s="125"/>
      <c r="HH3" s="125"/>
      <c r="HI3" s="125"/>
      <c r="HJ3" s="125"/>
      <c r="HK3" s="125"/>
      <c r="HL3" s="125"/>
      <c r="HM3" s="125"/>
      <c r="HN3" s="125"/>
      <c r="HO3" s="125"/>
      <c r="HP3" s="125"/>
      <c r="HQ3" s="125"/>
      <c r="HR3" s="125"/>
      <c r="HS3" s="125"/>
      <c r="HT3" s="125"/>
      <c r="HU3" s="125"/>
      <c r="HV3" s="125"/>
      <c r="HW3" s="125"/>
      <c r="HX3" s="125">
        <v>70</v>
      </c>
      <c r="HY3" s="125"/>
      <c r="HZ3" s="125"/>
      <c r="IA3" s="125"/>
      <c r="IB3" s="125"/>
      <c r="IC3" s="125"/>
      <c r="ID3" s="125"/>
      <c r="IE3" s="125"/>
      <c r="IF3" s="125"/>
      <c r="IG3" s="125"/>
      <c r="IH3" s="125"/>
      <c r="II3" s="125"/>
      <c r="IJ3" s="125"/>
      <c r="IK3" s="125"/>
      <c r="IL3" s="125"/>
      <c r="IM3" s="125"/>
      <c r="IN3" s="125"/>
      <c r="IO3" s="125"/>
      <c r="IP3" s="125"/>
      <c r="IQ3" s="125"/>
      <c r="IR3" s="125"/>
      <c r="IS3" s="125"/>
      <c r="IT3" s="125"/>
      <c r="IU3" s="125"/>
      <c r="IV3" s="125"/>
      <c r="IW3" s="125"/>
      <c r="IX3" s="125"/>
      <c r="IY3" s="125"/>
      <c r="IZ3" s="125"/>
      <c r="JA3" s="125"/>
      <c r="JB3" s="125"/>
      <c r="JC3" s="125"/>
      <c r="JD3" s="125"/>
      <c r="JE3" s="125"/>
      <c r="JF3" s="125"/>
      <c r="JG3" s="125"/>
      <c r="JH3" s="125"/>
      <c r="JI3" s="125"/>
      <c r="JJ3" s="125"/>
      <c r="JK3" s="125"/>
      <c r="JL3" s="125"/>
      <c r="JM3" s="125"/>
      <c r="JN3" s="125"/>
      <c r="JO3" s="125"/>
      <c r="JP3" s="125"/>
      <c r="JQ3" s="125"/>
      <c r="JR3" s="125"/>
      <c r="JS3" s="125"/>
      <c r="JT3" s="125"/>
      <c r="JU3" s="125"/>
      <c r="JV3" s="125"/>
      <c r="JW3" s="125"/>
      <c r="JX3" s="125"/>
      <c r="JY3" s="125"/>
      <c r="JZ3" s="125"/>
      <c r="KA3" s="125"/>
      <c r="KB3" s="125"/>
      <c r="KC3" s="125"/>
      <c r="KD3" s="125"/>
      <c r="KE3" s="125"/>
      <c r="KF3" s="125"/>
      <c r="KG3" s="125"/>
      <c r="KH3" s="125"/>
      <c r="KI3" s="125"/>
      <c r="KJ3" s="125"/>
      <c r="KK3" s="125"/>
      <c r="KL3" s="125"/>
      <c r="KM3" s="125"/>
      <c r="KN3" s="125"/>
      <c r="KO3" s="125"/>
      <c r="KP3" s="125"/>
      <c r="KQ3" s="125"/>
      <c r="KR3" s="125"/>
      <c r="KS3" s="125"/>
      <c r="KT3" s="125"/>
      <c r="KU3" s="125"/>
      <c r="KV3" s="125"/>
      <c r="KW3" s="125"/>
      <c r="KX3" s="125"/>
      <c r="KY3" s="125"/>
      <c r="KZ3" s="125"/>
      <c r="LA3" s="125"/>
      <c r="LB3" s="125"/>
      <c r="LC3" s="125"/>
      <c r="LD3" s="125"/>
      <c r="LE3" s="125">
        <v>160</v>
      </c>
      <c r="LF3" s="125"/>
      <c r="LG3" s="125"/>
      <c r="LH3" s="125"/>
      <c r="LI3" s="125"/>
      <c r="LJ3" s="125">
        <v>160</v>
      </c>
      <c r="LK3" s="125"/>
      <c r="LL3" s="125"/>
      <c r="LM3" s="125"/>
      <c r="LN3" s="125"/>
      <c r="LO3" s="125"/>
      <c r="LP3" s="125"/>
      <c r="LQ3" s="125"/>
      <c r="LR3" s="125"/>
      <c r="LS3" s="125"/>
      <c r="LT3" s="125"/>
      <c r="LU3" s="125"/>
      <c r="LV3" s="125"/>
      <c r="LW3" s="125"/>
      <c r="LX3" s="125"/>
      <c r="LY3" s="125"/>
      <c r="LZ3" s="125"/>
      <c r="MA3" s="125"/>
      <c r="MB3" s="125"/>
      <c r="MC3" s="125"/>
      <c r="MD3" s="125"/>
      <c r="ME3" s="125"/>
      <c r="MF3" s="125"/>
      <c r="MG3" s="125"/>
      <c r="MH3" s="125"/>
      <c r="MI3" s="125"/>
      <c r="MJ3" s="125"/>
      <c r="MK3" s="125"/>
      <c r="ML3" s="125"/>
      <c r="MM3" s="125"/>
      <c r="MN3" s="125"/>
      <c r="MO3" s="125"/>
      <c r="MP3" s="125"/>
      <c r="MQ3" s="125"/>
      <c r="MR3" s="125"/>
      <c r="MS3" s="125"/>
      <c r="MT3" s="125"/>
      <c r="MU3" s="125"/>
      <c r="MV3" s="125"/>
      <c r="MW3" s="125"/>
      <c r="MX3" s="125"/>
      <c r="MY3" s="125"/>
      <c r="MZ3" s="125"/>
      <c r="NA3" s="125"/>
      <c r="NB3" s="125"/>
      <c r="NC3" s="125"/>
      <c r="ND3" s="125"/>
      <c r="NE3" s="125"/>
      <c r="NF3" s="125"/>
      <c r="NG3" s="125"/>
      <c r="NH3" s="125"/>
      <c r="NI3" s="125"/>
      <c r="NJ3" s="125"/>
      <c r="NK3" s="125"/>
      <c r="NL3" s="125"/>
      <c r="NM3" s="125"/>
      <c r="NN3" s="125"/>
      <c r="NO3" s="125"/>
      <c r="NP3" s="125"/>
      <c r="NQ3" s="125"/>
      <c r="NR3" s="125"/>
      <c r="NS3" s="125"/>
      <c r="NT3" s="125"/>
      <c r="NU3" s="125"/>
      <c r="NV3" s="125"/>
      <c r="NW3" s="125"/>
      <c r="NX3" s="125"/>
      <c r="NY3" s="125"/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125"/>
      <c r="OS3" s="125"/>
      <c r="OT3" s="125"/>
      <c r="OU3" s="125"/>
      <c r="OV3" s="125"/>
      <c r="OW3" s="125"/>
      <c r="OX3" s="125"/>
      <c r="OY3" s="125"/>
      <c r="OZ3" s="125"/>
      <c r="PA3" s="125"/>
      <c r="PB3" s="125"/>
      <c r="PC3" s="125"/>
      <c r="PD3" s="125"/>
      <c r="PE3" s="125"/>
      <c r="PF3" s="125"/>
      <c r="PG3" s="125"/>
      <c r="PH3" s="125"/>
      <c r="PI3" s="125"/>
      <c r="PJ3" s="125"/>
      <c r="PK3" s="125"/>
      <c r="PL3" s="125"/>
      <c r="PM3" s="125"/>
      <c r="PN3" s="125"/>
      <c r="PO3" s="125"/>
      <c r="PP3" s="125"/>
      <c r="PQ3" s="125"/>
      <c r="PR3" s="125"/>
      <c r="PS3" s="125"/>
      <c r="PT3" s="125"/>
      <c r="PU3" s="125"/>
      <c r="PV3" s="125"/>
      <c r="PW3" s="125"/>
      <c r="PX3" s="125"/>
      <c r="PY3" s="125"/>
      <c r="PZ3" s="125"/>
      <c r="QA3" s="125"/>
      <c r="QB3" s="125"/>
      <c r="QC3" s="125"/>
      <c r="QD3" s="125"/>
      <c r="QE3" s="125"/>
      <c r="QF3" s="125"/>
      <c r="QG3" s="125"/>
      <c r="QH3" s="125"/>
      <c r="QI3" s="125"/>
      <c r="QJ3" s="125"/>
      <c r="QK3" s="125"/>
      <c r="QL3" s="125"/>
      <c r="QM3" s="125"/>
      <c r="QN3" s="125"/>
      <c r="QO3" s="125"/>
      <c r="QP3" s="125"/>
      <c r="QQ3" s="125"/>
      <c r="QR3" s="125"/>
      <c r="QS3" s="125"/>
      <c r="QT3" s="125"/>
      <c r="QU3" s="125"/>
      <c r="QV3" s="125"/>
      <c r="QW3" s="125"/>
      <c r="QX3" s="125"/>
      <c r="QY3" s="125"/>
      <c r="QZ3" s="125"/>
      <c r="RA3" s="125"/>
      <c r="RB3" s="125"/>
      <c r="RC3" s="125"/>
      <c r="RD3" s="125"/>
      <c r="RE3" s="125"/>
      <c r="RF3" s="125"/>
      <c r="RG3" s="24">
        <f t="shared" si="0"/>
        <v>1040</v>
      </c>
      <c r="RH3" s="60" t="s">
        <v>36</v>
      </c>
      <c r="RI3" s="121">
        <f>42800.66-752.62</f>
        <v>42048.04</v>
      </c>
      <c r="RJ3" s="77">
        <f>RM3+RN3</f>
        <v>42048.04</v>
      </c>
      <c r="RK3" s="77">
        <f>36652.3/1.2</f>
        <v>30543.583333333336</v>
      </c>
      <c r="RL3" s="121">
        <f t="shared" si="1"/>
        <v>0</v>
      </c>
      <c r="RM3" s="145"/>
      <c r="RN3" s="145">
        <v>42048.04</v>
      </c>
      <c r="RO3" s="145"/>
      <c r="RP3" s="104">
        <f t="shared" si="2"/>
        <v>1.3766570719982101</v>
      </c>
      <c r="RQ3" s="172" t="s">
        <v>583</v>
      </c>
    </row>
    <row r="4" spans="1:485" s="5" customFormat="1" ht="12.75" customHeight="1" x14ac:dyDescent="0.25">
      <c r="A4" s="61">
        <v>44958</v>
      </c>
      <c r="B4" s="102" t="s">
        <v>550</v>
      </c>
      <c r="C4" s="123"/>
      <c r="D4" s="123"/>
      <c r="E4" s="124"/>
      <c r="F4" s="124"/>
      <c r="G4" s="124"/>
      <c r="H4" s="124"/>
      <c r="I4" s="124"/>
      <c r="J4" s="124"/>
      <c r="K4" s="124"/>
      <c r="L4" s="124"/>
      <c r="M4" s="124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5"/>
      <c r="DL4" s="125"/>
      <c r="DM4" s="125"/>
      <c r="DN4" s="125"/>
      <c r="DO4" s="125"/>
      <c r="DP4" s="125"/>
      <c r="DQ4" s="125"/>
      <c r="DR4" s="125"/>
      <c r="DS4" s="125"/>
      <c r="DT4" s="125"/>
      <c r="DU4" s="125"/>
      <c r="DV4" s="125"/>
      <c r="DW4" s="125"/>
      <c r="DX4" s="125"/>
      <c r="DY4" s="125"/>
      <c r="DZ4" s="125"/>
      <c r="EA4" s="125"/>
      <c r="EB4" s="125"/>
      <c r="EC4" s="125"/>
      <c r="ED4" s="125"/>
      <c r="EE4" s="125"/>
      <c r="EF4" s="125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  <c r="ES4" s="125"/>
      <c r="ET4" s="125"/>
      <c r="EU4" s="125"/>
      <c r="EV4" s="125"/>
      <c r="EW4" s="125"/>
      <c r="EX4" s="125"/>
      <c r="EY4" s="125"/>
      <c r="EZ4" s="125"/>
      <c r="FA4" s="125"/>
      <c r="FB4" s="125"/>
      <c r="FC4" s="125"/>
      <c r="FD4" s="125"/>
      <c r="FE4" s="125"/>
      <c r="FF4" s="125"/>
      <c r="FG4" s="125"/>
      <c r="FH4" s="125"/>
      <c r="FI4" s="125"/>
      <c r="FJ4" s="125"/>
      <c r="FK4" s="125"/>
      <c r="FL4" s="125"/>
      <c r="FM4" s="125"/>
      <c r="FN4" s="125"/>
      <c r="FO4" s="125"/>
      <c r="FP4" s="125"/>
      <c r="FQ4" s="125"/>
      <c r="FR4" s="125"/>
      <c r="FS4" s="125"/>
      <c r="FT4" s="125"/>
      <c r="FU4" s="125"/>
      <c r="FV4" s="125"/>
      <c r="FW4" s="125"/>
      <c r="FX4" s="125"/>
      <c r="FY4" s="125"/>
      <c r="FZ4" s="125"/>
      <c r="GA4" s="125"/>
      <c r="GB4" s="125"/>
      <c r="GC4" s="125"/>
      <c r="GD4" s="125"/>
      <c r="GE4" s="125"/>
      <c r="GF4" s="125"/>
      <c r="GG4" s="125"/>
      <c r="GH4" s="125"/>
      <c r="GI4" s="125"/>
      <c r="GJ4" s="125"/>
      <c r="GK4" s="125"/>
      <c r="GL4" s="125"/>
      <c r="GM4" s="125"/>
      <c r="GN4" s="125"/>
      <c r="GO4" s="125"/>
      <c r="GP4" s="125"/>
      <c r="GQ4" s="125"/>
      <c r="GR4" s="125"/>
      <c r="GS4" s="125"/>
      <c r="GT4" s="125"/>
      <c r="GU4" s="125"/>
      <c r="GV4" s="125"/>
      <c r="GW4" s="125"/>
      <c r="GX4" s="125"/>
      <c r="GY4" s="125"/>
      <c r="GZ4" s="125"/>
      <c r="HA4" s="125"/>
      <c r="HB4" s="125"/>
      <c r="HC4" s="125"/>
      <c r="HD4" s="125"/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IW4" s="125"/>
      <c r="IX4" s="125"/>
      <c r="IY4" s="125"/>
      <c r="IZ4" s="125"/>
      <c r="JA4" s="125"/>
      <c r="JB4" s="125"/>
      <c r="JC4" s="125"/>
      <c r="JD4" s="125"/>
      <c r="JE4" s="125"/>
      <c r="JF4" s="125"/>
      <c r="JG4" s="125"/>
      <c r="JH4" s="125"/>
      <c r="JI4" s="125"/>
      <c r="JJ4" s="125"/>
      <c r="JK4" s="125"/>
      <c r="JL4" s="125"/>
      <c r="JM4" s="125"/>
      <c r="JN4" s="125"/>
      <c r="JO4" s="125"/>
      <c r="JP4" s="125"/>
      <c r="JQ4" s="125"/>
      <c r="JR4" s="125"/>
      <c r="JS4" s="125"/>
      <c r="JT4" s="125"/>
      <c r="JU4" s="125"/>
      <c r="JV4" s="125"/>
      <c r="JW4" s="125"/>
      <c r="JX4" s="125"/>
      <c r="JY4" s="125"/>
      <c r="JZ4" s="125"/>
      <c r="KA4" s="125"/>
      <c r="KB4" s="125"/>
      <c r="KC4" s="125"/>
      <c r="KD4" s="125"/>
      <c r="KE4" s="125"/>
      <c r="KF4" s="125"/>
      <c r="KG4" s="125"/>
      <c r="KH4" s="125"/>
      <c r="KI4" s="125"/>
      <c r="KJ4" s="125"/>
      <c r="KK4" s="125"/>
      <c r="KL4" s="125"/>
      <c r="KM4" s="125"/>
      <c r="KN4" s="125"/>
      <c r="KO4" s="125">
        <v>10</v>
      </c>
      <c r="KP4" s="125"/>
      <c r="KQ4" s="125"/>
      <c r="KR4" s="125"/>
      <c r="KS4" s="125"/>
      <c r="KT4" s="125"/>
      <c r="KU4" s="125"/>
      <c r="KV4" s="125"/>
      <c r="KW4" s="125"/>
      <c r="KX4" s="125"/>
      <c r="KY4" s="125"/>
      <c r="KZ4" s="125"/>
      <c r="LA4" s="125"/>
      <c r="LB4" s="125"/>
      <c r="LC4" s="125"/>
      <c r="LD4" s="125"/>
      <c r="LE4" s="125"/>
      <c r="LF4" s="125"/>
      <c r="LG4" s="125"/>
      <c r="LH4" s="125"/>
      <c r="LI4" s="125"/>
      <c r="LJ4" s="125"/>
      <c r="LK4" s="125"/>
      <c r="LL4" s="125"/>
      <c r="LM4" s="125"/>
      <c r="LN4" s="125"/>
      <c r="LO4" s="125"/>
      <c r="LP4" s="125"/>
      <c r="LQ4" s="125"/>
      <c r="LR4" s="125"/>
      <c r="LS4" s="125"/>
      <c r="LT4" s="125"/>
      <c r="LU4" s="125"/>
      <c r="LV4" s="125"/>
      <c r="LW4" s="125"/>
      <c r="LX4" s="125"/>
      <c r="LY4" s="125"/>
      <c r="LZ4" s="125"/>
      <c r="MA4" s="125"/>
      <c r="MB4" s="125"/>
      <c r="MC4" s="125"/>
      <c r="MD4" s="125"/>
      <c r="ME4" s="125"/>
      <c r="MF4" s="125"/>
      <c r="MG4" s="125"/>
      <c r="MH4" s="125"/>
      <c r="MI4" s="125"/>
      <c r="MJ4" s="125"/>
      <c r="MK4" s="125"/>
      <c r="ML4" s="125"/>
      <c r="MM4" s="125"/>
      <c r="MN4" s="125"/>
      <c r="MO4" s="125"/>
      <c r="MP4" s="125"/>
      <c r="MQ4" s="125"/>
      <c r="MR4" s="125"/>
      <c r="MS4" s="125"/>
      <c r="MT4" s="125"/>
      <c r="MU4" s="125"/>
      <c r="MV4" s="125"/>
      <c r="MW4" s="125"/>
      <c r="MX4" s="125"/>
      <c r="MY4" s="125"/>
      <c r="MZ4" s="125"/>
      <c r="NA4" s="125"/>
      <c r="NB4" s="125"/>
      <c r="NC4" s="125"/>
      <c r="ND4" s="125"/>
      <c r="NE4" s="125"/>
      <c r="NF4" s="125"/>
      <c r="NG4" s="125"/>
      <c r="NH4" s="125"/>
      <c r="NI4" s="125"/>
      <c r="NJ4" s="125"/>
      <c r="NK4" s="125"/>
      <c r="NL4" s="125"/>
      <c r="NM4" s="125"/>
      <c r="NN4" s="125"/>
      <c r="NO4" s="125"/>
      <c r="NP4" s="125"/>
      <c r="NQ4" s="125"/>
      <c r="NR4" s="125"/>
      <c r="NS4" s="125"/>
      <c r="NT4" s="125"/>
      <c r="NU4" s="125"/>
      <c r="NV4" s="125"/>
      <c r="NW4" s="125"/>
      <c r="NX4" s="125"/>
      <c r="NY4" s="125"/>
      <c r="NZ4" s="125"/>
      <c r="OA4" s="125"/>
      <c r="OB4" s="125"/>
      <c r="OC4" s="125"/>
      <c r="OD4" s="125"/>
      <c r="OE4" s="125"/>
      <c r="OF4" s="125"/>
      <c r="OG4" s="125"/>
      <c r="OH4" s="125"/>
      <c r="OI4" s="125"/>
      <c r="OJ4" s="125"/>
      <c r="OK4" s="125"/>
      <c r="OL4" s="125"/>
      <c r="OM4" s="125"/>
      <c r="ON4" s="125"/>
      <c r="OO4" s="125"/>
      <c r="OP4" s="125"/>
      <c r="OQ4" s="125"/>
      <c r="OR4" s="125"/>
      <c r="OS4" s="125"/>
      <c r="OT4" s="125"/>
      <c r="OU4" s="125"/>
      <c r="OV4" s="125"/>
      <c r="OW4" s="125"/>
      <c r="OX4" s="125"/>
      <c r="OY4" s="125"/>
      <c r="OZ4" s="125"/>
      <c r="PA4" s="125"/>
      <c r="PB4" s="125"/>
      <c r="PC4" s="125"/>
      <c r="PD4" s="125"/>
      <c r="PE4" s="125"/>
      <c r="PF4" s="125"/>
      <c r="PG4" s="125"/>
      <c r="PH4" s="125"/>
      <c r="PI4" s="125"/>
      <c r="PJ4" s="125"/>
      <c r="PK4" s="125"/>
      <c r="PL4" s="125"/>
      <c r="PM4" s="125"/>
      <c r="PN4" s="125"/>
      <c r="PO4" s="125"/>
      <c r="PP4" s="125"/>
      <c r="PQ4" s="125"/>
      <c r="PR4" s="125"/>
      <c r="PS4" s="125"/>
      <c r="PT4" s="125"/>
      <c r="PU4" s="125"/>
      <c r="PV4" s="125"/>
      <c r="PW4" s="125"/>
      <c r="PX4" s="125"/>
      <c r="PY4" s="125"/>
      <c r="PZ4" s="125"/>
      <c r="QA4" s="125"/>
      <c r="QB4" s="125"/>
      <c r="QC4" s="125"/>
      <c r="QD4" s="125"/>
      <c r="QE4" s="125"/>
      <c r="QF4" s="125"/>
      <c r="QG4" s="125"/>
      <c r="QH4" s="125"/>
      <c r="QI4" s="125"/>
      <c r="QJ4" s="125"/>
      <c r="QK4" s="125"/>
      <c r="QL4" s="125"/>
      <c r="QM4" s="125"/>
      <c r="QN4" s="125"/>
      <c r="QO4" s="125"/>
      <c r="QP4" s="125"/>
      <c r="QQ4" s="125"/>
      <c r="QR4" s="125"/>
      <c r="QS4" s="125"/>
      <c r="QT4" s="125"/>
      <c r="QU4" s="125"/>
      <c r="QV4" s="125"/>
      <c r="QW4" s="125"/>
      <c r="QX4" s="125"/>
      <c r="QY4" s="125"/>
      <c r="QZ4" s="125"/>
      <c r="RA4" s="125"/>
      <c r="RB4" s="125"/>
      <c r="RC4" s="125"/>
      <c r="RD4" s="125"/>
      <c r="RE4" s="125"/>
      <c r="RF4" s="125"/>
      <c r="RG4" s="24">
        <f t="shared" si="0"/>
        <v>10</v>
      </c>
      <c r="RH4" s="60" t="s">
        <v>36</v>
      </c>
      <c r="RI4" s="121">
        <v>638.4</v>
      </c>
      <c r="RJ4" s="77">
        <f>RM4</f>
        <v>638.4</v>
      </c>
      <c r="RK4" s="77">
        <v>399</v>
      </c>
      <c r="RL4" s="121">
        <f t="shared" si="1"/>
        <v>0</v>
      </c>
      <c r="RM4" s="145">
        <v>638.4</v>
      </c>
      <c r="RN4" s="145"/>
      <c r="RO4" s="145"/>
      <c r="RP4" s="104">
        <f t="shared" si="2"/>
        <v>1.5999999999999999</v>
      </c>
      <c r="RQ4" s="172"/>
    </row>
    <row r="5" spans="1:485" s="5" customFormat="1" ht="12.75" customHeight="1" x14ac:dyDescent="0.25">
      <c r="A5" s="61">
        <v>44958</v>
      </c>
      <c r="B5" s="112" t="s">
        <v>570</v>
      </c>
      <c r="C5" s="123"/>
      <c r="D5" s="123"/>
      <c r="E5" s="124"/>
      <c r="F5" s="124"/>
      <c r="G5" s="124"/>
      <c r="H5" s="124"/>
      <c r="I5" s="124"/>
      <c r="J5" s="124"/>
      <c r="K5" s="124"/>
      <c r="L5" s="124"/>
      <c r="M5" s="124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>
        <v>5</v>
      </c>
      <c r="AO5" s="125"/>
      <c r="AP5" s="125"/>
      <c r="AQ5" s="125"/>
      <c r="AR5" s="125"/>
      <c r="AS5" s="125"/>
      <c r="AT5" s="125">
        <v>5</v>
      </c>
      <c r="AU5" s="125"/>
      <c r="AV5" s="125"/>
      <c r="AW5" s="125"/>
      <c r="AX5" s="125"/>
      <c r="AY5" s="125"/>
      <c r="AZ5" s="125"/>
      <c r="BA5" s="125"/>
      <c r="BB5" s="125"/>
      <c r="BC5" s="125"/>
      <c r="BD5" s="125"/>
      <c r="BE5" s="125"/>
      <c r="BF5" s="125"/>
      <c r="BG5" s="125"/>
      <c r="BH5" s="125"/>
      <c r="BI5" s="125"/>
      <c r="BJ5" s="125"/>
      <c r="BK5" s="125"/>
      <c r="BL5" s="125"/>
      <c r="BM5" s="125"/>
      <c r="BN5" s="125"/>
      <c r="BO5" s="125"/>
      <c r="BP5" s="125"/>
      <c r="BQ5" s="125"/>
      <c r="BR5" s="125"/>
      <c r="BS5" s="125"/>
      <c r="BT5" s="125"/>
      <c r="BU5" s="125"/>
      <c r="BV5" s="125"/>
      <c r="BW5" s="125"/>
      <c r="BX5" s="125"/>
      <c r="BY5" s="125"/>
      <c r="BZ5" s="125"/>
      <c r="CA5" s="125"/>
      <c r="CB5" s="125"/>
      <c r="CC5" s="125"/>
      <c r="CD5" s="125"/>
      <c r="CE5" s="125"/>
      <c r="CF5" s="125"/>
      <c r="CG5" s="125"/>
      <c r="CH5" s="125"/>
      <c r="CI5" s="125"/>
      <c r="CJ5" s="125"/>
      <c r="CK5" s="125"/>
      <c r="CL5" s="125"/>
      <c r="CM5" s="125"/>
      <c r="CN5" s="125"/>
      <c r="CO5" s="125"/>
      <c r="CP5" s="125"/>
      <c r="CQ5" s="125"/>
      <c r="CR5" s="125"/>
      <c r="CS5" s="125"/>
      <c r="CT5" s="125"/>
      <c r="CU5" s="125"/>
      <c r="CV5" s="125"/>
      <c r="CW5" s="125"/>
      <c r="CX5" s="125"/>
      <c r="CY5" s="125"/>
      <c r="CZ5" s="125"/>
      <c r="DA5" s="125"/>
      <c r="DB5" s="125"/>
      <c r="DC5" s="125"/>
      <c r="DD5" s="125"/>
      <c r="DE5" s="125"/>
      <c r="DF5" s="125"/>
      <c r="DG5" s="125"/>
      <c r="DH5" s="125"/>
      <c r="DI5" s="125"/>
      <c r="DJ5" s="125"/>
      <c r="DK5" s="125"/>
      <c r="DL5" s="125"/>
      <c r="DM5" s="125"/>
      <c r="DN5" s="125"/>
      <c r="DO5" s="125"/>
      <c r="DP5" s="125"/>
      <c r="DQ5" s="125"/>
      <c r="DR5" s="125"/>
      <c r="DS5" s="125"/>
      <c r="DT5" s="125"/>
      <c r="DU5" s="125"/>
      <c r="DV5" s="125"/>
      <c r="DW5" s="125"/>
      <c r="DX5" s="125"/>
      <c r="DY5" s="125"/>
      <c r="DZ5" s="125"/>
      <c r="EA5" s="125"/>
      <c r="EB5" s="125"/>
      <c r="EC5" s="125"/>
      <c r="ED5" s="125"/>
      <c r="EE5" s="125"/>
      <c r="EF5" s="125"/>
      <c r="EG5" s="125"/>
      <c r="EH5" s="125"/>
      <c r="EI5" s="125"/>
      <c r="EJ5" s="125"/>
      <c r="EK5" s="125"/>
      <c r="EL5" s="125"/>
      <c r="EM5" s="125"/>
      <c r="EN5" s="125"/>
      <c r="EO5" s="125"/>
      <c r="EP5" s="125"/>
      <c r="EQ5" s="125"/>
      <c r="ER5" s="125"/>
      <c r="ES5" s="125"/>
      <c r="ET5" s="125"/>
      <c r="EU5" s="125"/>
      <c r="EV5" s="125"/>
      <c r="EW5" s="125"/>
      <c r="EX5" s="125"/>
      <c r="EY5" s="125"/>
      <c r="EZ5" s="125"/>
      <c r="FA5" s="125"/>
      <c r="FB5" s="125"/>
      <c r="FC5" s="125"/>
      <c r="FD5" s="125"/>
      <c r="FE5" s="125"/>
      <c r="FF5" s="125"/>
      <c r="FG5" s="125"/>
      <c r="FH5" s="125"/>
      <c r="FI5" s="125"/>
      <c r="FJ5" s="125"/>
      <c r="FK5" s="125"/>
      <c r="FL5" s="125"/>
      <c r="FM5" s="125"/>
      <c r="FN5" s="125"/>
      <c r="FO5" s="125"/>
      <c r="FP5" s="125"/>
      <c r="FQ5" s="125"/>
      <c r="FR5" s="125"/>
      <c r="FS5" s="125"/>
      <c r="FT5" s="125"/>
      <c r="FU5" s="125"/>
      <c r="FV5" s="125"/>
      <c r="FW5" s="125"/>
      <c r="FX5" s="125"/>
      <c r="FY5" s="125"/>
      <c r="FZ5" s="125"/>
      <c r="GA5" s="125"/>
      <c r="GB5" s="125"/>
      <c r="GC5" s="125"/>
      <c r="GD5" s="125"/>
      <c r="GE5" s="125"/>
      <c r="GF5" s="125"/>
      <c r="GG5" s="125"/>
      <c r="GH5" s="125"/>
      <c r="GI5" s="125"/>
      <c r="GJ5" s="125"/>
      <c r="GK5" s="125"/>
      <c r="GL5" s="125"/>
      <c r="GM5" s="125"/>
      <c r="GN5" s="125"/>
      <c r="GO5" s="125"/>
      <c r="GP5" s="125"/>
      <c r="GQ5" s="125"/>
      <c r="GR5" s="125"/>
      <c r="GS5" s="125"/>
      <c r="GT5" s="125"/>
      <c r="GU5" s="125"/>
      <c r="GV5" s="125"/>
      <c r="GW5" s="125"/>
      <c r="GX5" s="125"/>
      <c r="GY5" s="125"/>
      <c r="GZ5" s="125"/>
      <c r="HA5" s="125"/>
      <c r="HB5" s="125"/>
      <c r="HC5" s="125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IW5" s="125"/>
      <c r="IX5" s="125"/>
      <c r="IY5" s="125"/>
      <c r="IZ5" s="125"/>
      <c r="JA5" s="125"/>
      <c r="JB5" s="125"/>
      <c r="JC5" s="125"/>
      <c r="JD5" s="125"/>
      <c r="JE5" s="125"/>
      <c r="JF5" s="125"/>
      <c r="JG5" s="125"/>
      <c r="JH5" s="125"/>
      <c r="JI5" s="125"/>
      <c r="JJ5" s="125"/>
      <c r="JK5" s="125"/>
      <c r="JL5" s="125"/>
      <c r="JM5" s="125"/>
      <c r="JN5" s="125"/>
      <c r="JO5" s="125"/>
      <c r="JP5" s="125"/>
      <c r="JQ5" s="125"/>
      <c r="JR5" s="125"/>
      <c r="JS5" s="125"/>
      <c r="JT5" s="125"/>
      <c r="JU5" s="125"/>
      <c r="JV5" s="125"/>
      <c r="JW5" s="125"/>
      <c r="JX5" s="125"/>
      <c r="JY5" s="125"/>
      <c r="JZ5" s="125"/>
      <c r="KA5" s="125"/>
      <c r="KB5" s="125"/>
      <c r="KC5" s="125"/>
      <c r="KD5" s="125"/>
      <c r="KE5" s="125"/>
      <c r="KF5" s="125"/>
      <c r="KG5" s="125"/>
      <c r="KH5" s="125"/>
      <c r="KI5" s="125"/>
      <c r="KJ5" s="125"/>
      <c r="KK5" s="125"/>
      <c r="KL5" s="125"/>
      <c r="KM5" s="125"/>
      <c r="KN5" s="125"/>
      <c r="KO5" s="125"/>
      <c r="KP5" s="125"/>
      <c r="KQ5" s="125"/>
      <c r="KR5" s="125"/>
      <c r="KS5" s="125"/>
      <c r="KT5" s="125"/>
      <c r="KU5" s="125"/>
      <c r="KV5" s="125"/>
      <c r="KW5" s="125"/>
      <c r="KX5" s="125"/>
      <c r="KY5" s="125"/>
      <c r="KZ5" s="125"/>
      <c r="LA5" s="125"/>
      <c r="LB5" s="125"/>
      <c r="LC5" s="125"/>
      <c r="LD5" s="125"/>
      <c r="LE5" s="125"/>
      <c r="LF5" s="125"/>
      <c r="LG5" s="125"/>
      <c r="LH5" s="125"/>
      <c r="LI5" s="125"/>
      <c r="LJ5" s="125"/>
      <c r="LK5" s="125"/>
      <c r="LL5" s="125"/>
      <c r="LM5" s="125"/>
      <c r="LN5" s="125"/>
      <c r="LO5" s="125"/>
      <c r="LP5" s="125"/>
      <c r="LQ5" s="125"/>
      <c r="LR5" s="125"/>
      <c r="LS5" s="125"/>
      <c r="LT5" s="125"/>
      <c r="LU5" s="125"/>
      <c r="LV5" s="125"/>
      <c r="LW5" s="125"/>
      <c r="LX5" s="125"/>
      <c r="LY5" s="125"/>
      <c r="LZ5" s="125"/>
      <c r="MA5" s="125"/>
      <c r="MB5" s="125"/>
      <c r="MC5" s="125"/>
      <c r="MD5" s="125"/>
      <c r="ME5" s="125"/>
      <c r="MF5" s="125"/>
      <c r="MG5" s="125"/>
      <c r="MH5" s="125"/>
      <c r="MI5" s="125"/>
      <c r="MJ5" s="125"/>
      <c r="MK5" s="125"/>
      <c r="ML5" s="125"/>
      <c r="MM5" s="125"/>
      <c r="MN5" s="125"/>
      <c r="MO5" s="125"/>
      <c r="MP5" s="125"/>
      <c r="MQ5" s="125"/>
      <c r="MR5" s="125"/>
      <c r="MS5" s="125"/>
      <c r="MT5" s="125"/>
      <c r="MU5" s="125"/>
      <c r="MV5" s="125"/>
      <c r="MW5" s="125"/>
      <c r="MX5" s="125"/>
      <c r="MY5" s="125"/>
      <c r="MZ5" s="125"/>
      <c r="NA5" s="125"/>
      <c r="NB5" s="125"/>
      <c r="NC5" s="125"/>
      <c r="ND5" s="125"/>
      <c r="NE5" s="125"/>
      <c r="NF5" s="125"/>
      <c r="NG5" s="125"/>
      <c r="NH5" s="125"/>
      <c r="NI5" s="125"/>
      <c r="NJ5" s="125"/>
      <c r="NK5" s="125"/>
      <c r="NL5" s="125"/>
      <c r="NM5" s="125"/>
      <c r="NN5" s="125"/>
      <c r="NO5" s="125"/>
      <c r="NP5" s="125"/>
      <c r="NQ5" s="125"/>
      <c r="NR5" s="125"/>
      <c r="NS5" s="125"/>
      <c r="NT5" s="125"/>
      <c r="NU5" s="125"/>
      <c r="NV5" s="125"/>
      <c r="NW5" s="125"/>
      <c r="NX5" s="125"/>
      <c r="NY5" s="125"/>
      <c r="NZ5" s="125"/>
      <c r="OA5" s="125"/>
      <c r="OB5" s="125"/>
      <c r="OC5" s="125"/>
      <c r="OD5" s="125"/>
      <c r="OE5" s="125"/>
      <c r="OF5" s="125"/>
      <c r="OG5" s="125"/>
      <c r="OH5" s="125"/>
      <c r="OI5" s="125"/>
      <c r="OJ5" s="125"/>
      <c r="OK5" s="125"/>
      <c r="OL5" s="125"/>
      <c r="OM5" s="125"/>
      <c r="ON5" s="125"/>
      <c r="OO5" s="125"/>
      <c r="OP5" s="125"/>
      <c r="OQ5" s="125"/>
      <c r="OR5" s="125"/>
      <c r="OS5" s="125"/>
      <c r="OT5" s="125"/>
      <c r="OU5" s="125"/>
      <c r="OV5" s="125"/>
      <c r="OW5" s="125"/>
      <c r="OX5" s="125"/>
      <c r="OY5" s="125"/>
      <c r="OZ5" s="125"/>
      <c r="PA5" s="125"/>
      <c r="PB5" s="125"/>
      <c r="PC5" s="125"/>
      <c r="PD5" s="125"/>
      <c r="PE5" s="125"/>
      <c r="PF5" s="125"/>
      <c r="PG5" s="125"/>
      <c r="PH5" s="125"/>
      <c r="PI5" s="125"/>
      <c r="PJ5" s="125"/>
      <c r="PK5" s="125"/>
      <c r="PL5" s="125"/>
      <c r="PM5" s="125"/>
      <c r="PN5" s="125"/>
      <c r="PO5" s="125"/>
      <c r="PP5" s="125"/>
      <c r="PQ5" s="125"/>
      <c r="PR5" s="125"/>
      <c r="PS5" s="125"/>
      <c r="PT5" s="125"/>
      <c r="PU5" s="125"/>
      <c r="PV5" s="125"/>
      <c r="PW5" s="125"/>
      <c r="PX5" s="125"/>
      <c r="PY5" s="125"/>
      <c r="PZ5" s="125"/>
      <c r="QA5" s="125"/>
      <c r="QB5" s="125"/>
      <c r="QC5" s="125"/>
      <c r="QD5" s="125"/>
      <c r="QE5" s="125"/>
      <c r="QF5" s="125"/>
      <c r="QG5" s="125"/>
      <c r="QH5" s="125"/>
      <c r="QI5" s="125"/>
      <c r="QJ5" s="125"/>
      <c r="QK5" s="125"/>
      <c r="QL5" s="125"/>
      <c r="QM5" s="125"/>
      <c r="QN5" s="125"/>
      <c r="QO5" s="125"/>
      <c r="QP5" s="125"/>
      <c r="QQ5" s="125"/>
      <c r="QR5" s="125"/>
      <c r="QS5" s="125"/>
      <c r="QT5" s="125"/>
      <c r="QU5" s="125"/>
      <c r="QV5" s="125"/>
      <c r="QW5" s="125"/>
      <c r="QX5" s="125"/>
      <c r="QY5" s="125"/>
      <c r="QZ5" s="125"/>
      <c r="RA5" s="125"/>
      <c r="RB5" s="125"/>
      <c r="RC5" s="125"/>
      <c r="RD5" s="125"/>
      <c r="RE5" s="125"/>
      <c r="RF5" s="125"/>
      <c r="RG5" s="24">
        <f t="shared" si="0"/>
        <v>10</v>
      </c>
      <c r="RH5" s="60" t="s">
        <v>36</v>
      </c>
      <c r="RI5" s="121">
        <v>658.5</v>
      </c>
      <c r="RJ5" s="77">
        <f>RM5</f>
        <v>658.5</v>
      </c>
      <c r="RK5" s="77">
        <v>399.15</v>
      </c>
      <c r="RL5" s="121">
        <f t="shared" si="1"/>
        <v>0</v>
      </c>
      <c r="RM5" s="145">
        <v>658.5</v>
      </c>
      <c r="RN5" s="145"/>
      <c r="RO5" s="145"/>
      <c r="RP5" s="104">
        <f t="shared" si="2"/>
        <v>1.6497557309282225</v>
      </c>
      <c r="RQ5" s="172" t="s">
        <v>571</v>
      </c>
    </row>
    <row r="6" spans="1:485" s="5" customFormat="1" ht="12.75" customHeight="1" x14ac:dyDescent="0.25">
      <c r="A6" s="61">
        <v>44959</v>
      </c>
      <c r="B6" s="102" t="s">
        <v>192</v>
      </c>
      <c r="C6" s="123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>
        <v>80</v>
      </c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125"/>
      <c r="DS6" s="125"/>
      <c r="DT6" s="125"/>
      <c r="DU6" s="125"/>
      <c r="DV6" s="125"/>
      <c r="DW6" s="125"/>
      <c r="DX6" s="125"/>
      <c r="DY6" s="125"/>
      <c r="DZ6" s="125"/>
      <c r="EA6" s="125"/>
      <c r="EB6" s="125"/>
      <c r="EC6" s="125"/>
      <c r="ED6" s="125"/>
      <c r="EE6" s="125"/>
      <c r="EF6" s="125"/>
      <c r="EG6" s="125"/>
      <c r="EH6" s="125"/>
      <c r="EI6" s="125"/>
      <c r="EJ6" s="125"/>
      <c r="EK6" s="125"/>
      <c r="EL6" s="125"/>
      <c r="EM6" s="125"/>
      <c r="EN6" s="125"/>
      <c r="EO6" s="125"/>
      <c r="EP6" s="125"/>
      <c r="EQ6" s="125"/>
      <c r="ER6" s="125"/>
      <c r="ES6" s="125"/>
      <c r="ET6" s="125"/>
      <c r="EU6" s="125"/>
      <c r="EV6" s="125"/>
      <c r="EW6" s="125"/>
      <c r="EX6" s="125"/>
      <c r="EY6" s="125"/>
      <c r="EZ6" s="125"/>
      <c r="FA6" s="125"/>
      <c r="FB6" s="125"/>
      <c r="FC6" s="125"/>
      <c r="FD6" s="125"/>
      <c r="FE6" s="125"/>
      <c r="FF6" s="125"/>
      <c r="FG6" s="125"/>
      <c r="FH6" s="125"/>
      <c r="FI6" s="125"/>
      <c r="FJ6" s="125"/>
      <c r="FK6" s="125"/>
      <c r="FL6" s="125"/>
      <c r="FM6" s="125"/>
      <c r="FN6" s="125"/>
      <c r="FO6" s="125"/>
      <c r="FP6" s="125"/>
      <c r="FQ6" s="125"/>
      <c r="FR6" s="125"/>
      <c r="FS6" s="125"/>
      <c r="FT6" s="125"/>
      <c r="FU6" s="125"/>
      <c r="FV6" s="125"/>
      <c r="FW6" s="125"/>
      <c r="FX6" s="125"/>
      <c r="FY6" s="125"/>
      <c r="FZ6" s="125"/>
      <c r="GA6" s="125"/>
      <c r="GB6" s="125"/>
      <c r="GC6" s="125"/>
      <c r="GD6" s="125"/>
      <c r="GE6" s="125"/>
      <c r="GF6" s="125"/>
      <c r="GG6" s="125"/>
      <c r="GH6" s="125"/>
      <c r="GI6" s="125"/>
      <c r="GJ6" s="125"/>
      <c r="GK6" s="125"/>
      <c r="GL6" s="125"/>
      <c r="GM6" s="125"/>
      <c r="GN6" s="125"/>
      <c r="GO6" s="125"/>
      <c r="GP6" s="125"/>
      <c r="GQ6" s="125"/>
      <c r="GR6" s="125"/>
      <c r="GS6" s="125"/>
      <c r="GT6" s="125"/>
      <c r="GU6" s="125"/>
      <c r="GV6" s="125"/>
      <c r="GW6" s="125"/>
      <c r="GX6" s="125"/>
      <c r="GY6" s="125"/>
      <c r="GZ6" s="125"/>
      <c r="HA6" s="125"/>
      <c r="HB6" s="125"/>
      <c r="HC6" s="125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IW6" s="125"/>
      <c r="IX6" s="125"/>
      <c r="IY6" s="125"/>
      <c r="IZ6" s="125"/>
      <c r="JA6" s="125"/>
      <c r="JB6" s="125"/>
      <c r="JC6" s="125"/>
      <c r="JD6" s="125"/>
      <c r="JE6" s="125"/>
      <c r="JF6" s="125"/>
      <c r="JG6" s="125"/>
      <c r="JH6" s="125"/>
      <c r="JI6" s="125"/>
      <c r="JJ6" s="125"/>
      <c r="JK6" s="125"/>
      <c r="JL6" s="125"/>
      <c r="JM6" s="125"/>
      <c r="JN6" s="125"/>
      <c r="JO6" s="125"/>
      <c r="JP6" s="125"/>
      <c r="JQ6" s="125"/>
      <c r="JR6" s="125"/>
      <c r="JS6" s="125"/>
      <c r="JT6" s="125"/>
      <c r="JU6" s="125"/>
      <c r="JV6" s="125"/>
      <c r="JW6" s="125"/>
      <c r="JX6" s="125"/>
      <c r="JY6" s="125"/>
      <c r="JZ6" s="125"/>
      <c r="KA6" s="125"/>
      <c r="KB6" s="125"/>
      <c r="KC6" s="125"/>
      <c r="KD6" s="125"/>
      <c r="KE6" s="125"/>
      <c r="KF6" s="125"/>
      <c r="KG6" s="125"/>
      <c r="KH6" s="125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125"/>
      <c r="KY6" s="125"/>
      <c r="KZ6" s="125"/>
      <c r="LA6" s="125"/>
      <c r="LB6" s="125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  <c r="LR6" s="125"/>
      <c r="LS6" s="125"/>
      <c r="LT6" s="125"/>
      <c r="LU6" s="125"/>
      <c r="LV6" s="125"/>
      <c r="LW6" s="125"/>
      <c r="LX6" s="125"/>
      <c r="LY6" s="125"/>
      <c r="LZ6" s="125"/>
      <c r="MA6" s="125"/>
      <c r="MB6" s="125"/>
      <c r="MC6" s="125"/>
      <c r="MD6" s="125"/>
      <c r="ME6" s="125"/>
      <c r="MF6" s="125"/>
      <c r="MG6" s="125"/>
      <c r="MH6" s="125"/>
      <c r="MI6" s="125"/>
      <c r="MJ6" s="125"/>
      <c r="MK6" s="125"/>
      <c r="ML6" s="125"/>
      <c r="MM6" s="125"/>
      <c r="MN6" s="125"/>
      <c r="MO6" s="125"/>
      <c r="MP6" s="125"/>
      <c r="MQ6" s="125"/>
      <c r="MR6" s="125"/>
      <c r="MS6" s="125"/>
      <c r="MT6" s="125"/>
      <c r="MU6" s="125"/>
      <c r="MV6" s="125"/>
      <c r="MW6" s="125"/>
      <c r="MX6" s="125"/>
      <c r="MY6" s="125"/>
      <c r="MZ6" s="125"/>
      <c r="NA6" s="125"/>
      <c r="NB6" s="125"/>
      <c r="NC6" s="125"/>
      <c r="ND6" s="125"/>
      <c r="NE6" s="125"/>
      <c r="NF6" s="125"/>
      <c r="NG6" s="125"/>
      <c r="NH6" s="125"/>
      <c r="NI6" s="125"/>
      <c r="NJ6" s="125"/>
      <c r="NK6" s="125"/>
      <c r="NL6" s="125"/>
      <c r="NM6" s="125"/>
      <c r="NN6" s="125"/>
      <c r="NO6" s="125"/>
      <c r="NP6" s="125"/>
      <c r="NQ6" s="125"/>
      <c r="NR6" s="125"/>
      <c r="NS6" s="125"/>
      <c r="NT6" s="125"/>
      <c r="NU6" s="125"/>
      <c r="NV6" s="125"/>
      <c r="NW6" s="125"/>
      <c r="NX6" s="125"/>
      <c r="NY6" s="125"/>
      <c r="NZ6" s="125"/>
      <c r="OA6" s="125"/>
      <c r="OB6" s="125"/>
      <c r="OC6" s="125"/>
      <c r="OD6" s="125"/>
      <c r="OE6" s="125"/>
      <c r="OF6" s="125"/>
      <c r="OG6" s="125"/>
      <c r="OH6" s="125"/>
      <c r="OI6" s="125"/>
      <c r="OJ6" s="125"/>
      <c r="OK6" s="125"/>
      <c r="OL6" s="125"/>
      <c r="OM6" s="125"/>
      <c r="ON6" s="125"/>
      <c r="OO6" s="125"/>
      <c r="OP6" s="125"/>
      <c r="OQ6" s="125"/>
      <c r="OR6" s="125"/>
      <c r="OS6" s="125"/>
      <c r="OT6" s="125"/>
      <c r="OU6" s="125"/>
      <c r="OV6" s="125"/>
      <c r="OW6" s="125"/>
      <c r="OX6" s="125"/>
      <c r="OY6" s="125"/>
      <c r="OZ6" s="125"/>
      <c r="PA6" s="125"/>
      <c r="PB6" s="125"/>
      <c r="PC6" s="125"/>
      <c r="PD6" s="125"/>
      <c r="PE6" s="125"/>
      <c r="PF6" s="125"/>
      <c r="PG6" s="125"/>
      <c r="PH6" s="125"/>
      <c r="PI6" s="125"/>
      <c r="PJ6" s="125"/>
      <c r="PK6" s="125"/>
      <c r="PL6" s="125"/>
      <c r="PM6" s="125"/>
      <c r="PN6" s="125"/>
      <c r="PO6" s="125"/>
      <c r="PP6" s="125"/>
      <c r="PQ6" s="125"/>
      <c r="PR6" s="125"/>
      <c r="PS6" s="125"/>
      <c r="PT6" s="125"/>
      <c r="PU6" s="125"/>
      <c r="PV6" s="125"/>
      <c r="PW6" s="125"/>
      <c r="PX6" s="125"/>
      <c r="PY6" s="125"/>
      <c r="PZ6" s="125"/>
      <c r="QA6" s="125"/>
      <c r="QB6" s="125"/>
      <c r="QC6" s="125"/>
      <c r="QD6" s="125"/>
      <c r="QE6" s="125"/>
      <c r="QF6" s="125"/>
      <c r="QG6" s="125"/>
      <c r="QH6" s="125"/>
      <c r="QI6" s="125"/>
      <c r="QJ6" s="125"/>
      <c r="QK6" s="125"/>
      <c r="QL6" s="125"/>
      <c r="QM6" s="125"/>
      <c r="QN6" s="125"/>
      <c r="QO6" s="125"/>
      <c r="QP6" s="125"/>
      <c r="QQ6" s="125"/>
      <c r="QR6" s="125"/>
      <c r="QS6" s="125"/>
      <c r="QT6" s="125"/>
      <c r="QU6" s="125"/>
      <c r="QV6" s="125"/>
      <c r="QW6" s="125"/>
      <c r="QX6" s="125"/>
      <c r="QY6" s="125"/>
      <c r="QZ6" s="125"/>
      <c r="RA6" s="125"/>
      <c r="RB6" s="125"/>
      <c r="RC6" s="125"/>
      <c r="RD6" s="125"/>
      <c r="RE6" s="125"/>
      <c r="RF6" s="125"/>
      <c r="RG6" s="24">
        <f t="shared" si="0"/>
        <v>80</v>
      </c>
      <c r="RH6" s="60" t="s">
        <v>36</v>
      </c>
      <c r="RI6" s="121">
        <v>4241.95</v>
      </c>
      <c r="RJ6" s="77">
        <f>RM6+RN6+RO6</f>
        <v>0</v>
      </c>
      <c r="RK6" s="77">
        <v>2548</v>
      </c>
      <c r="RL6" s="121">
        <f t="shared" si="1"/>
        <v>4241.95</v>
      </c>
      <c r="RM6" s="145"/>
      <c r="RN6" s="145"/>
      <c r="RO6" s="145"/>
      <c r="RP6" s="104">
        <f t="shared" si="2"/>
        <v>1.6648155416012558</v>
      </c>
      <c r="RQ6" s="172" t="s">
        <v>572</v>
      </c>
    </row>
    <row r="7" spans="1:485" s="5" customFormat="1" ht="12.75" customHeight="1" x14ac:dyDescent="0.25">
      <c r="A7" s="61">
        <v>44959</v>
      </c>
      <c r="B7" s="102" t="s">
        <v>45</v>
      </c>
      <c r="C7" s="123"/>
      <c r="D7" s="123"/>
      <c r="E7" s="124"/>
      <c r="F7" s="124"/>
      <c r="G7" s="124"/>
      <c r="H7" s="124"/>
      <c r="I7" s="124"/>
      <c r="J7" s="124"/>
      <c r="K7" s="124"/>
      <c r="L7" s="124"/>
      <c r="M7" s="124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  <c r="GW7" s="125"/>
      <c r="GX7" s="125">
        <v>30</v>
      </c>
      <c r="GY7" s="125"/>
      <c r="GZ7" s="125"/>
      <c r="HA7" s="125"/>
      <c r="HB7" s="125"/>
      <c r="HC7" s="125"/>
      <c r="HD7" s="125"/>
      <c r="HE7" s="125"/>
      <c r="HF7" s="125">
        <v>20</v>
      </c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IW7" s="125"/>
      <c r="IX7" s="125"/>
      <c r="IY7" s="125"/>
      <c r="IZ7" s="125"/>
      <c r="JA7" s="125"/>
      <c r="JB7" s="125"/>
      <c r="JC7" s="125"/>
      <c r="JD7" s="125"/>
      <c r="JE7" s="125"/>
      <c r="JF7" s="125"/>
      <c r="JG7" s="125"/>
      <c r="JH7" s="125"/>
      <c r="JI7" s="125"/>
      <c r="JJ7" s="125"/>
      <c r="JK7" s="125"/>
      <c r="JL7" s="125"/>
      <c r="JM7" s="125"/>
      <c r="JN7" s="125"/>
      <c r="JO7" s="125"/>
      <c r="JP7" s="125"/>
      <c r="JQ7" s="125"/>
      <c r="JR7" s="125"/>
      <c r="JS7" s="125"/>
      <c r="JT7" s="125"/>
      <c r="JU7" s="125"/>
      <c r="JV7" s="125"/>
      <c r="JW7" s="125"/>
      <c r="JX7" s="125"/>
      <c r="JY7" s="125"/>
      <c r="JZ7" s="125"/>
      <c r="KA7" s="125">
        <v>5</v>
      </c>
      <c r="KB7" s="125"/>
      <c r="KC7" s="125"/>
      <c r="KD7" s="125"/>
      <c r="KE7" s="125"/>
      <c r="KF7" s="125"/>
      <c r="KG7" s="125"/>
      <c r="KH7" s="125"/>
      <c r="KI7" s="125"/>
      <c r="KJ7" s="125"/>
      <c r="KK7" s="125"/>
      <c r="KL7" s="125"/>
      <c r="KM7" s="125"/>
      <c r="KN7" s="125"/>
      <c r="KO7" s="125"/>
      <c r="KP7" s="125"/>
      <c r="KQ7" s="125"/>
      <c r="KR7" s="125"/>
      <c r="KS7" s="125"/>
      <c r="KT7" s="125"/>
      <c r="KU7" s="125"/>
      <c r="KV7" s="125"/>
      <c r="KW7" s="125"/>
      <c r="KX7" s="125"/>
      <c r="KY7" s="125"/>
      <c r="KZ7" s="125"/>
      <c r="LA7" s="125"/>
      <c r="LB7" s="125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  <c r="LR7" s="125"/>
      <c r="LS7" s="125"/>
      <c r="LT7" s="125"/>
      <c r="LU7" s="125"/>
      <c r="LV7" s="125"/>
      <c r="LW7" s="125"/>
      <c r="LX7" s="125"/>
      <c r="LY7" s="125"/>
      <c r="LZ7" s="125"/>
      <c r="MA7" s="125"/>
      <c r="MB7" s="125"/>
      <c r="MC7" s="125"/>
      <c r="MD7" s="125"/>
      <c r="ME7" s="125"/>
      <c r="MF7" s="125"/>
      <c r="MG7" s="125"/>
      <c r="MH7" s="125"/>
      <c r="MI7" s="125"/>
      <c r="MJ7" s="125"/>
      <c r="MK7" s="125"/>
      <c r="ML7" s="125"/>
      <c r="MM7" s="125"/>
      <c r="MN7" s="125"/>
      <c r="MO7" s="125"/>
      <c r="MP7" s="125"/>
      <c r="MQ7" s="125"/>
      <c r="MR7" s="125"/>
      <c r="MS7" s="125"/>
      <c r="MT7" s="125"/>
      <c r="MU7" s="125"/>
      <c r="MV7" s="125"/>
      <c r="MW7" s="125"/>
      <c r="MX7" s="125"/>
      <c r="MY7" s="125"/>
      <c r="MZ7" s="125"/>
      <c r="NA7" s="125"/>
      <c r="NB7" s="125"/>
      <c r="NC7" s="125"/>
      <c r="ND7" s="125"/>
      <c r="NE7" s="125"/>
      <c r="NF7" s="125"/>
      <c r="NG7" s="125"/>
      <c r="NH7" s="125"/>
      <c r="NI7" s="125"/>
      <c r="NJ7" s="125"/>
      <c r="NK7" s="125"/>
      <c r="NL7" s="125"/>
      <c r="NM7" s="125"/>
      <c r="NN7" s="125"/>
      <c r="NO7" s="125"/>
      <c r="NP7" s="125"/>
      <c r="NQ7" s="125"/>
      <c r="NR7" s="125"/>
      <c r="NS7" s="125"/>
      <c r="NT7" s="125"/>
      <c r="NU7" s="125"/>
      <c r="NV7" s="125"/>
      <c r="NW7" s="125"/>
      <c r="NX7" s="125"/>
      <c r="NY7" s="125"/>
      <c r="NZ7" s="125"/>
      <c r="OA7" s="125"/>
      <c r="OB7" s="125"/>
      <c r="OC7" s="125"/>
      <c r="OD7" s="125"/>
      <c r="OE7" s="125"/>
      <c r="OF7" s="125"/>
      <c r="OG7" s="125"/>
      <c r="OH7" s="125"/>
      <c r="OI7" s="125"/>
      <c r="OJ7" s="125"/>
      <c r="OK7" s="125"/>
      <c r="OL7" s="125"/>
      <c r="OM7" s="125"/>
      <c r="ON7" s="125"/>
      <c r="OO7" s="125"/>
      <c r="OP7" s="125"/>
      <c r="OQ7" s="125"/>
      <c r="OR7" s="125"/>
      <c r="OS7" s="125"/>
      <c r="OT7" s="125"/>
      <c r="OU7" s="125"/>
      <c r="OV7" s="125"/>
      <c r="OW7" s="125"/>
      <c r="OX7" s="125"/>
      <c r="OY7" s="125"/>
      <c r="OZ7" s="125"/>
      <c r="PA7" s="125"/>
      <c r="PB7" s="125"/>
      <c r="PC7" s="125"/>
      <c r="PD7" s="125"/>
      <c r="PE7" s="125"/>
      <c r="PF7" s="125"/>
      <c r="PG7" s="125"/>
      <c r="PH7" s="125"/>
      <c r="PI7" s="125"/>
      <c r="PJ7" s="125"/>
      <c r="PK7" s="125"/>
      <c r="PL7" s="125"/>
      <c r="PM7" s="125"/>
      <c r="PN7" s="125"/>
      <c r="PO7" s="125"/>
      <c r="PP7" s="125"/>
      <c r="PQ7" s="125"/>
      <c r="PR7" s="125"/>
      <c r="PS7" s="125"/>
      <c r="PT7" s="125"/>
      <c r="PU7" s="125"/>
      <c r="PV7" s="125"/>
      <c r="PW7" s="125"/>
      <c r="PX7" s="125"/>
      <c r="PY7" s="125"/>
      <c r="PZ7" s="125"/>
      <c r="QA7" s="125"/>
      <c r="QB7" s="125"/>
      <c r="QC7" s="125"/>
      <c r="QD7" s="125"/>
      <c r="QE7" s="125"/>
      <c r="QF7" s="125"/>
      <c r="QG7" s="125"/>
      <c r="QH7" s="125"/>
      <c r="QI7" s="125"/>
      <c r="QJ7" s="125"/>
      <c r="QK7" s="125"/>
      <c r="QL7" s="125"/>
      <c r="QM7" s="125"/>
      <c r="QN7" s="125"/>
      <c r="QO7" s="125"/>
      <c r="QP7" s="125"/>
      <c r="QQ7" s="125"/>
      <c r="QR7" s="125"/>
      <c r="QS7" s="125"/>
      <c r="QT7" s="125"/>
      <c r="QU7" s="125"/>
      <c r="QV7" s="125"/>
      <c r="QW7" s="125"/>
      <c r="QX7" s="125"/>
      <c r="QY7" s="125"/>
      <c r="QZ7" s="125"/>
      <c r="RA7" s="125"/>
      <c r="RB7" s="125"/>
      <c r="RC7" s="125"/>
      <c r="RD7" s="125"/>
      <c r="RE7" s="125"/>
      <c r="RF7" s="125"/>
      <c r="RG7" s="24">
        <f t="shared" si="0"/>
        <v>55</v>
      </c>
      <c r="RH7" s="60" t="s">
        <v>36</v>
      </c>
      <c r="RI7" s="121">
        <v>5674.92</v>
      </c>
      <c r="RJ7" s="77">
        <f>RM7+RN7+RO7</f>
        <v>0</v>
      </c>
      <c r="RK7" s="77">
        <v>3193.9500000000003</v>
      </c>
      <c r="RL7" s="121">
        <f t="shared" si="1"/>
        <v>5674.92</v>
      </c>
      <c r="RM7" s="145"/>
      <c r="RN7" s="145"/>
      <c r="RO7" s="145"/>
      <c r="RP7" s="104">
        <f t="shared" si="2"/>
        <v>1.7767717090123514</v>
      </c>
      <c r="RQ7" s="172"/>
    </row>
    <row r="8" spans="1:485" s="5" customFormat="1" ht="12.75" customHeight="1" x14ac:dyDescent="0.25">
      <c r="A8" s="61">
        <v>44959</v>
      </c>
      <c r="B8" s="165" t="s">
        <v>73</v>
      </c>
      <c r="C8" s="123"/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5"/>
      <c r="BA8" s="125"/>
      <c r="BB8" s="125"/>
      <c r="BC8" s="125"/>
      <c r="BD8" s="125"/>
      <c r="BE8" s="125"/>
      <c r="BF8" s="125"/>
      <c r="BG8" s="125"/>
      <c r="BH8" s="125"/>
      <c r="BI8" s="125"/>
      <c r="BJ8" s="125"/>
      <c r="BK8" s="125"/>
      <c r="BL8" s="125"/>
      <c r="BM8" s="125"/>
      <c r="BN8" s="125"/>
      <c r="BO8" s="125"/>
      <c r="BP8" s="125"/>
      <c r="BQ8" s="125"/>
      <c r="BR8" s="125"/>
      <c r="BS8" s="125"/>
      <c r="BT8" s="125"/>
      <c r="BU8" s="125"/>
      <c r="BV8" s="125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5"/>
      <c r="CH8" s="125"/>
      <c r="CI8" s="125"/>
      <c r="CJ8" s="125"/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>
        <v>3.6</v>
      </c>
      <c r="CV8" s="125"/>
      <c r="CW8" s="125"/>
      <c r="CX8" s="125"/>
      <c r="CY8" s="125"/>
      <c r="CZ8" s="125"/>
      <c r="DA8" s="125"/>
      <c r="DB8" s="125"/>
      <c r="DC8" s="125"/>
      <c r="DD8" s="125"/>
      <c r="DE8" s="125"/>
      <c r="DF8" s="125"/>
      <c r="DG8" s="125"/>
      <c r="DH8" s="125"/>
      <c r="DI8" s="125"/>
      <c r="DJ8" s="125"/>
      <c r="DK8" s="125"/>
      <c r="DL8" s="125"/>
      <c r="DM8" s="125"/>
      <c r="DN8" s="125"/>
      <c r="DO8" s="125"/>
      <c r="DP8" s="125"/>
      <c r="DQ8" s="125"/>
      <c r="DR8" s="125"/>
      <c r="DS8" s="125"/>
      <c r="DT8" s="125"/>
      <c r="DU8" s="125"/>
      <c r="DV8" s="125"/>
      <c r="DW8" s="125"/>
      <c r="DX8" s="125"/>
      <c r="DY8" s="125"/>
      <c r="DZ8" s="125"/>
      <c r="EA8" s="125"/>
      <c r="EB8" s="125"/>
      <c r="EC8" s="125"/>
      <c r="ED8" s="125"/>
      <c r="EE8" s="125"/>
      <c r="EF8" s="125"/>
      <c r="EG8" s="125"/>
      <c r="EH8" s="125"/>
      <c r="EI8" s="125"/>
      <c r="EJ8" s="125"/>
      <c r="EK8" s="125"/>
      <c r="EL8" s="125"/>
      <c r="EM8" s="125"/>
      <c r="EN8" s="125"/>
      <c r="EO8" s="125"/>
      <c r="EP8" s="125"/>
      <c r="EQ8" s="125"/>
      <c r="ER8" s="125"/>
      <c r="ES8" s="125"/>
      <c r="ET8" s="125"/>
      <c r="EU8" s="125"/>
      <c r="EV8" s="125"/>
      <c r="EW8" s="125"/>
      <c r="EX8" s="125"/>
      <c r="EY8" s="125"/>
      <c r="EZ8" s="125"/>
      <c r="FA8" s="125"/>
      <c r="FB8" s="125"/>
      <c r="FC8" s="125"/>
      <c r="FD8" s="125"/>
      <c r="FE8" s="125"/>
      <c r="FF8" s="125"/>
      <c r="FG8" s="125"/>
      <c r="FH8" s="125"/>
      <c r="FI8" s="125"/>
      <c r="FJ8" s="125"/>
      <c r="FK8" s="125"/>
      <c r="FL8" s="125"/>
      <c r="FM8" s="125"/>
      <c r="FN8" s="125"/>
      <c r="FO8" s="125"/>
      <c r="FP8" s="125"/>
      <c r="FQ8" s="125"/>
      <c r="FR8" s="125"/>
      <c r="FS8" s="125"/>
      <c r="FT8" s="125"/>
      <c r="FU8" s="125"/>
      <c r="FV8" s="125"/>
      <c r="FW8" s="125"/>
      <c r="FX8" s="125"/>
      <c r="FY8" s="125"/>
      <c r="FZ8" s="125"/>
      <c r="GA8" s="125"/>
      <c r="GB8" s="125"/>
      <c r="GC8" s="125"/>
      <c r="GD8" s="125"/>
      <c r="GE8" s="125"/>
      <c r="GF8" s="125"/>
      <c r="GG8" s="125"/>
      <c r="GH8" s="125"/>
      <c r="GI8" s="125"/>
      <c r="GJ8" s="125"/>
      <c r="GK8" s="125"/>
      <c r="GL8" s="125"/>
      <c r="GM8" s="125"/>
      <c r="GN8" s="125"/>
      <c r="GO8" s="125"/>
      <c r="GP8" s="125"/>
      <c r="GQ8" s="125"/>
      <c r="GR8" s="125"/>
      <c r="GS8" s="125"/>
      <c r="GT8" s="125"/>
      <c r="GU8" s="125"/>
      <c r="GV8" s="125"/>
      <c r="GW8" s="125"/>
      <c r="GX8" s="125"/>
      <c r="GY8" s="125"/>
      <c r="GZ8" s="125"/>
      <c r="HA8" s="125"/>
      <c r="HB8" s="125"/>
      <c r="HC8" s="125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IW8" s="125"/>
      <c r="IX8" s="125"/>
      <c r="IY8" s="125"/>
      <c r="IZ8" s="125"/>
      <c r="JA8" s="125"/>
      <c r="JB8" s="125"/>
      <c r="JC8" s="125"/>
      <c r="JD8" s="125"/>
      <c r="JE8" s="125"/>
      <c r="JF8" s="125"/>
      <c r="JG8" s="125"/>
      <c r="JH8" s="125"/>
      <c r="JI8" s="125"/>
      <c r="JJ8" s="125"/>
      <c r="JK8" s="125"/>
      <c r="JL8" s="125"/>
      <c r="JM8" s="125"/>
      <c r="JN8" s="125"/>
      <c r="JO8" s="125"/>
      <c r="JP8" s="125"/>
      <c r="JQ8" s="125"/>
      <c r="JR8" s="125"/>
      <c r="JS8" s="125"/>
      <c r="JT8" s="125"/>
      <c r="JU8" s="125"/>
      <c r="JV8" s="125"/>
      <c r="JW8" s="125"/>
      <c r="JX8" s="125"/>
      <c r="JY8" s="125"/>
      <c r="JZ8" s="125"/>
      <c r="KA8" s="125"/>
      <c r="KB8" s="125"/>
      <c r="KC8" s="125"/>
      <c r="KD8" s="125"/>
      <c r="KE8" s="125"/>
      <c r="KF8" s="125"/>
      <c r="KG8" s="125"/>
      <c r="KH8" s="125"/>
      <c r="KI8" s="125"/>
      <c r="KJ8" s="125"/>
      <c r="KK8" s="125"/>
      <c r="KL8" s="125"/>
      <c r="KM8" s="125"/>
      <c r="KN8" s="125"/>
      <c r="KO8" s="125"/>
      <c r="KP8" s="125"/>
      <c r="KQ8" s="125"/>
      <c r="KR8" s="125"/>
      <c r="KS8" s="125"/>
      <c r="KT8" s="125"/>
      <c r="KU8" s="125"/>
      <c r="KV8" s="125"/>
      <c r="KW8" s="125"/>
      <c r="KX8" s="125"/>
      <c r="KY8" s="125"/>
      <c r="KZ8" s="125"/>
      <c r="LA8" s="125"/>
      <c r="LB8" s="125"/>
      <c r="LC8" s="125"/>
      <c r="LD8" s="125"/>
      <c r="LE8" s="125"/>
      <c r="LF8" s="125"/>
      <c r="LG8" s="125"/>
      <c r="LH8" s="125"/>
      <c r="LI8" s="125"/>
      <c r="LJ8" s="125"/>
      <c r="LK8" s="125"/>
      <c r="LL8" s="125"/>
      <c r="LM8" s="125"/>
      <c r="LN8" s="125"/>
      <c r="LO8" s="125"/>
      <c r="LP8" s="125"/>
      <c r="LQ8" s="125"/>
      <c r="LR8" s="125"/>
      <c r="LS8" s="125"/>
      <c r="LT8" s="125"/>
      <c r="LU8" s="125"/>
      <c r="LV8" s="125"/>
      <c r="LW8" s="125"/>
      <c r="LX8" s="125"/>
      <c r="LY8" s="125"/>
      <c r="LZ8" s="125"/>
      <c r="MA8" s="125"/>
      <c r="MB8" s="125"/>
      <c r="MC8" s="125"/>
      <c r="MD8" s="125"/>
      <c r="ME8" s="125"/>
      <c r="MF8" s="125"/>
      <c r="MG8" s="125"/>
      <c r="MH8" s="125"/>
      <c r="MI8" s="125"/>
      <c r="MJ8" s="125"/>
      <c r="MK8" s="125"/>
      <c r="ML8" s="125"/>
      <c r="MM8" s="125"/>
      <c r="MN8" s="125"/>
      <c r="MO8" s="125"/>
      <c r="MP8" s="125"/>
      <c r="MQ8" s="125"/>
      <c r="MR8" s="125"/>
      <c r="MS8" s="125"/>
      <c r="MT8" s="125"/>
      <c r="MU8" s="125"/>
      <c r="MV8" s="125"/>
      <c r="MW8" s="125"/>
      <c r="MX8" s="125"/>
      <c r="MY8" s="125"/>
      <c r="MZ8" s="125"/>
      <c r="NA8" s="125"/>
      <c r="NB8" s="125"/>
      <c r="NC8" s="125"/>
      <c r="ND8" s="125"/>
      <c r="NE8" s="125"/>
      <c r="NF8" s="125"/>
      <c r="NG8" s="125"/>
      <c r="NH8" s="125"/>
      <c r="NI8" s="125"/>
      <c r="NJ8" s="125"/>
      <c r="NK8" s="125"/>
      <c r="NL8" s="125"/>
      <c r="NM8" s="125"/>
      <c r="NN8" s="125"/>
      <c r="NO8" s="125"/>
      <c r="NP8" s="125"/>
      <c r="NQ8" s="125"/>
      <c r="NR8" s="125"/>
      <c r="NS8" s="125"/>
      <c r="NT8" s="125"/>
      <c r="NU8" s="125"/>
      <c r="NV8" s="125"/>
      <c r="NW8" s="125"/>
      <c r="NX8" s="125"/>
      <c r="NY8" s="125"/>
      <c r="NZ8" s="125"/>
      <c r="OA8" s="125"/>
      <c r="OB8" s="125"/>
      <c r="OC8" s="125"/>
      <c r="OD8" s="125"/>
      <c r="OE8" s="125"/>
      <c r="OF8" s="125"/>
      <c r="OG8" s="125"/>
      <c r="OH8" s="125"/>
      <c r="OI8" s="125"/>
      <c r="OJ8" s="125"/>
      <c r="OK8" s="125"/>
      <c r="OL8" s="125"/>
      <c r="OM8" s="125"/>
      <c r="ON8" s="125"/>
      <c r="OO8" s="125"/>
      <c r="OP8" s="125"/>
      <c r="OQ8" s="125"/>
      <c r="OR8" s="125"/>
      <c r="OS8" s="125"/>
      <c r="OT8" s="125"/>
      <c r="OU8" s="125"/>
      <c r="OV8" s="125"/>
      <c r="OW8" s="125"/>
      <c r="OX8" s="125"/>
      <c r="OY8" s="125"/>
      <c r="OZ8" s="125"/>
      <c r="PA8" s="125"/>
      <c r="PB8" s="125"/>
      <c r="PC8" s="125"/>
      <c r="PD8" s="125"/>
      <c r="PE8" s="125"/>
      <c r="PF8" s="125"/>
      <c r="PG8" s="125"/>
      <c r="PH8" s="125"/>
      <c r="PI8" s="125"/>
      <c r="PJ8" s="125"/>
      <c r="PK8" s="125"/>
      <c r="PL8" s="125"/>
      <c r="PM8" s="125"/>
      <c r="PN8" s="125"/>
      <c r="PO8" s="125"/>
      <c r="PP8" s="125"/>
      <c r="PQ8" s="125"/>
      <c r="PR8" s="125"/>
      <c r="PS8" s="125"/>
      <c r="PT8" s="125"/>
      <c r="PU8" s="125"/>
      <c r="PV8" s="125"/>
      <c r="PW8" s="125"/>
      <c r="PX8" s="125"/>
      <c r="PY8" s="125"/>
      <c r="PZ8" s="125"/>
      <c r="QA8" s="125"/>
      <c r="QB8" s="125"/>
      <c r="QC8" s="125"/>
      <c r="QD8" s="125"/>
      <c r="QE8" s="125"/>
      <c r="QF8" s="125"/>
      <c r="QG8" s="125"/>
      <c r="QH8" s="125"/>
      <c r="QI8" s="125"/>
      <c r="QJ8" s="125"/>
      <c r="QK8" s="125"/>
      <c r="QL8" s="125"/>
      <c r="QM8" s="125"/>
      <c r="QN8" s="125"/>
      <c r="QO8" s="125"/>
      <c r="QP8" s="125"/>
      <c r="QQ8" s="125"/>
      <c r="QR8" s="125"/>
      <c r="QS8" s="125"/>
      <c r="QT8" s="125"/>
      <c r="QU8" s="125"/>
      <c r="QV8" s="125"/>
      <c r="QW8" s="125"/>
      <c r="QX8" s="125"/>
      <c r="QY8" s="125"/>
      <c r="QZ8" s="125"/>
      <c r="RA8" s="125"/>
      <c r="RB8" s="125"/>
      <c r="RC8" s="125"/>
      <c r="RD8" s="125"/>
      <c r="RE8" s="125"/>
      <c r="RF8" s="125"/>
      <c r="RG8" s="24">
        <f t="shared" si="0"/>
        <v>3.6</v>
      </c>
      <c r="RH8" s="60" t="s">
        <v>36</v>
      </c>
      <c r="RI8" s="121">
        <v>458.35</v>
      </c>
      <c r="RJ8" s="77">
        <f>RM8+RN8</f>
        <v>458.35</v>
      </c>
      <c r="RK8" s="77">
        <v>264.70800000000003</v>
      </c>
      <c r="RL8" s="121">
        <f t="shared" si="1"/>
        <v>0</v>
      </c>
      <c r="RM8" s="145"/>
      <c r="RN8" s="145">
        <v>458.35</v>
      </c>
      <c r="RO8" s="145"/>
      <c r="RP8" s="104">
        <f t="shared" si="2"/>
        <v>1.7315305921997068</v>
      </c>
      <c r="RQ8" s="172" t="s">
        <v>573</v>
      </c>
    </row>
    <row r="9" spans="1:485" s="5" customFormat="1" ht="12.75" customHeight="1" x14ac:dyDescent="0.25">
      <c r="A9" s="61">
        <v>44959</v>
      </c>
      <c r="B9" s="112" t="s">
        <v>75</v>
      </c>
      <c r="C9" s="123"/>
      <c r="D9" s="123"/>
      <c r="E9" s="124"/>
      <c r="F9" s="124"/>
      <c r="G9" s="124"/>
      <c r="H9" s="124"/>
      <c r="I9" s="124"/>
      <c r="J9" s="124"/>
      <c r="K9" s="124"/>
      <c r="L9" s="124"/>
      <c r="M9" s="124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125"/>
      <c r="BH9" s="125"/>
      <c r="BI9" s="125"/>
      <c r="BJ9" s="125"/>
      <c r="BK9" s="125"/>
      <c r="BL9" s="125"/>
      <c r="BM9" s="125"/>
      <c r="BN9" s="125"/>
      <c r="BO9" s="125"/>
      <c r="BP9" s="125"/>
      <c r="BQ9" s="125"/>
      <c r="BR9" s="125"/>
      <c r="BS9" s="125"/>
      <c r="BT9" s="125"/>
      <c r="BU9" s="125"/>
      <c r="BV9" s="125"/>
      <c r="BW9" s="125"/>
      <c r="BX9" s="125">
        <v>45</v>
      </c>
      <c r="BY9" s="125"/>
      <c r="BZ9" s="125"/>
      <c r="CA9" s="125"/>
      <c r="CB9" s="125"/>
      <c r="CC9" s="125"/>
      <c r="CD9" s="125"/>
      <c r="CE9" s="125"/>
      <c r="CF9" s="125"/>
      <c r="CG9" s="125"/>
      <c r="CH9" s="125"/>
      <c r="CI9" s="125"/>
      <c r="CJ9" s="125"/>
      <c r="CK9" s="125"/>
      <c r="CL9" s="125"/>
      <c r="CM9" s="125"/>
      <c r="CN9" s="125"/>
      <c r="CO9" s="125"/>
      <c r="CP9" s="125"/>
      <c r="CQ9" s="125"/>
      <c r="CR9" s="125"/>
      <c r="CS9" s="125"/>
      <c r="CT9" s="125"/>
      <c r="CU9" s="125"/>
      <c r="CV9" s="125"/>
      <c r="CW9" s="125"/>
      <c r="CX9" s="125"/>
      <c r="CY9" s="125"/>
      <c r="CZ9" s="125"/>
      <c r="DA9" s="125"/>
      <c r="DB9" s="125"/>
      <c r="DC9" s="125"/>
      <c r="DD9" s="125"/>
      <c r="DE9" s="125"/>
      <c r="DF9" s="125"/>
      <c r="DG9" s="125"/>
      <c r="DH9" s="125"/>
      <c r="DI9" s="125"/>
      <c r="DJ9" s="125"/>
      <c r="DK9" s="125"/>
      <c r="DL9" s="125"/>
      <c r="DM9" s="125"/>
      <c r="DN9" s="125"/>
      <c r="DO9" s="125"/>
      <c r="DP9" s="125"/>
      <c r="DQ9" s="125"/>
      <c r="DR9" s="125"/>
      <c r="DS9" s="125"/>
      <c r="DT9" s="125"/>
      <c r="DU9" s="125"/>
      <c r="DV9" s="125"/>
      <c r="DW9" s="125"/>
      <c r="DX9" s="125"/>
      <c r="DY9" s="125"/>
      <c r="DZ9" s="125"/>
      <c r="EA9" s="125"/>
      <c r="EB9" s="125"/>
      <c r="EC9" s="125"/>
      <c r="ED9" s="125"/>
      <c r="EE9" s="125"/>
      <c r="EF9" s="125"/>
      <c r="EG9" s="125"/>
      <c r="EH9" s="125"/>
      <c r="EI9" s="125"/>
      <c r="EJ9" s="125"/>
      <c r="EK9" s="125"/>
      <c r="EL9" s="125"/>
      <c r="EM9" s="125"/>
      <c r="EN9" s="125"/>
      <c r="EO9" s="125"/>
      <c r="EP9" s="125"/>
      <c r="EQ9" s="125"/>
      <c r="ER9" s="125"/>
      <c r="ES9" s="125"/>
      <c r="ET9" s="125"/>
      <c r="EU9" s="125"/>
      <c r="EV9" s="125"/>
      <c r="EW9" s="125"/>
      <c r="EX9" s="125"/>
      <c r="EY9" s="125"/>
      <c r="EZ9" s="125"/>
      <c r="FA9" s="125"/>
      <c r="FB9" s="125"/>
      <c r="FC9" s="125"/>
      <c r="FD9" s="125"/>
      <c r="FE9" s="125"/>
      <c r="FF9" s="125"/>
      <c r="FG9" s="125"/>
      <c r="FH9" s="125"/>
      <c r="FI9" s="125"/>
      <c r="FJ9" s="125"/>
      <c r="FK9" s="125"/>
      <c r="FL9" s="125"/>
      <c r="FM9" s="125"/>
      <c r="FN9" s="125"/>
      <c r="FO9" s="125"/>
      <c r="FP9" s="125"/>
      <c r="FQ9" s="125"/>
      <c r="FR9" s="125"/>
      <c r="FS9" s="125"/>
      <c r="FT9" s="125"/>
      <c r="FU9" s="125"/>
      <c r="FV9" s="125"/>
      <c r="FW9" s="125"/>
      <c r="FX9" s="125"/>
      <c r="FY9" s="125"/>
      <c r="FZ9" s="125"/>
      <c r="GA9" s="125"/>
      <c r="GB9" s="125"/>
      <c r="GC9" s="125"/>
      <c r="GD9" s="125"/>
      <c r="GE9" s="125"/>
      <c r="GF9" s="125"/>
      <c r="GG9" s="125"/>
      <c r="GH9" s="125"/>
      <c r="GI9" s="125"/>
      <c r="GJ9" s="125"/>
      <c r="GK9" s="125"/>
      <c r="GL9" s="125"/>
      <c r="GM9" s="125"/>
      <c r="GN9" s="125"/>
      <c r="GO9" s="125"/>
      <c r="GP9" s="125"/>
      <c r="GQ9" s="125"/>
      <c r="GR9" s="125"/>
      <c r="GS9" s="125"/>
      <c r="GT9" s="125"/>
      <c r="GU9" s="125"/>
      <c r="GV9" s="125"/>
      <c r="GW9" s="125"/>
      <c r="GX9" s="125"/>
      <c r="GY9" s="125"/>
      <c r="GZ9" s="125"/>
      <c r="HA9" s="125"/>
      <c r="HB9" s="125"/>
      <c r="HC9" s="125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IW9" s="125"/>
      <c r="IX9" s="125"/>
      <c r="IY9" s="125"/>
      <c r="IZ9" s="125"/>
      <c r="JA9" s="125"/>
      <c r="JB9" s="125"/>
      <c r="JC9" s="125"/>
      <c r="JD9" s="125"/>
      <c r="JE9" s="125"/>
      <c r="JF9" s="125"/>
      <c r="JG9" s="125"/>
      <c r="JH9" s="125"/>
      <c r="JI9" s="125"/>
      <c r="JJ9" s="125"/>
      <c r="JK9" s="125"/>
      <c r="JL9" s="125"/>
      <c r="JM9" s="125"/>
      <c r="JN9" s="125"/>
      <c r="JO9" s="125"/>
      <c r="JP9" s="125"/>
      <c r="JQ9" s="125"/>
      <c r="JR9" s="125"/>
      <c r="JS9" s="125"/>
      <c r="JT9" s="125"/>
      <c r="JU9" s="125"/>
      <c r="JV9" s="125"/>
      <c r="JW9" s="125"/>
      <c r="JX9" s="125"/>
      <c r="JY9" s="125"/>
      <c r="JZ9" s="125"/>
      <c r="KA9" s="125"/>
      <c r="KB9" s="125"/>
      <c r="KC9" s="125"/>
      <c r="KD9" s="125"/>
      <c r="KE9" s="125"/>
      <c r="KF9" s="125"/>
      <c r="KG9" s="125"/>
      <c r="KH9" s="125"/>
      <c r="KI9" s="125"/>
      <c r="KJ9" s="125"/>
      <c r="KK9" s="125"/>
      <c r="KL9" s="125"/>
      <c r="KM9" s="125"/>
      <c r="KN9" s="125"/>
      <c r="KO9" s="125"/>
      <c r="KP9" s="125"/>
      <c r="KQ9" s="125"/>
      <c r="KR9" s="125"/>
      <c r="KS9" s="125"/>
      <c r="KT9" s="125"/>
      <c r="KU9" s="125"/>
      <c r="KV9" s="125"/>
      <c r="KW9" s="125"/>
      <c r="KX9" s="125"/>
      <c r="KY9" s="125"/>
      <c r="KZ9" s="125"/>
      <c r="LA9" s="125"/>
      <c r="LB9" s="125"/>
      <c r="LC9" s="125"/>
      <c r="LD9" s="125"/>
      <c r="LE9" s="125"/>
      <c r="LF9" s="125"/>
      <c r="LG9" s="125"/>
      <c r="LH9" s="125"/>
      <c r="LI9" s="125"/>
      <c r="LJ9" s="125"/>
      <c r="LK9" s="125"/>
      <c r="LL9" s="125"/>
      <c r="LM9" s="125"/>
      <c r="LN9" s="125"/>
      <c r="LO9" s="125"/>
      <c r="LP9" s="125"/>
      <c r="LQ9" s="125"/>
      <c r="LR9" s="125"/>
      <c r="LS9" s="125"/>
      <c r="LT9" s="125"/>
      <c r="LU9" s="125"/>
      <c r="LV9" s="125"/>
      <c r="LW9" s="125"/>
      <c r="LX9" s="125"/>
      <c r="LY9" s="125"/>
      <c r="LZ9" s="125"/>
      <c r="MA9" s="125"/>
      <c r="MB9" s="125"/>
      <c r="MC9" s="125"/>
      <c r="MD9" s="125"/>
      <c r="ME9" s="125"/>
      <c r="MF9" s="125"/>
      <c r="MG9" s="125"/>
      <c r="MH9" s="125"/>
      <c r="MI9" s="125"/>
      <c r="MJ9" s="125"/>
      <c r="MK9" s="125"/>
      <c r="ML9" s="125"/>
      <c r="MM9" s="125">
        <v>30</v>
      </c>
      <c r="MN9" s="125"/>
      <c r="MO9" s="125"/>
      <c r="MP9" s="125"/>
      <c r="MQ9" s="125"/>
      <c r="MR9" s="125"/>
      <c r="MS9" s="125"/>
      <c r="MT9" s="125"/>
      <c r="MU9" s="125"/>
      <c r="MV9" s="125"/>
      <c r="MW9" s="125"/>
      <c r="MX9" s="125"/>
      <c r="MY9" s="125"/>
      <c r="MZ9" s="125"/>
      <c r="NA9" s="125"/>
      <c r="NB9" s="125"/>
      <c r="NC9" s="125"/>
      <c r="ND9" s="125"/>
      <c r="NE9" s="125"/>
      <c r="NF9" s="125"/>
      <c r="NG9" s="125"/>
      <c r="NH9" s="125"/>
      <c r="NI9" s="125"/>
      <c r="NJ9" s="125"/>
      <c r="NK9" s="125"/>
      <c r="NL9" s="125"/>
      <c r="NM9" s="125"/>
      <c r="NN9" s="125"/>
      <c r="NO9" s="125"/>
      <c r="NP9" s="125"/>
      <c r="NQ9" s="125"/>
      <c r="NR9" s="125"/>
      <c r="NS9" s="125"/>
      <c r="NT9" s="125"/>
      <c r="NU9" s="125"/>
      <c r="NV9" s="125"/>
      <c r="NW9" s="125">
        <v>1</v>
      </c>
      <c r="NX9" s="125"/>
      <c r="NY9" s="125"/>
      <c r="NZ9" s="125"/>
      <c r="OA9" s="125"/>
      <c r="OB9" s="125"/>
      <c r="OC9" s="125"/>
      <c r="OD9" s="125"/>
      <c r="OE9" s="125"/>
      <c r="OF9" s="125"/>
      <c r="OG9" s="125"/>
      <c r="OH9" s="125"/>
      <c r="OI9" s="125"/>
      <c r="OJ9" s="125"/>
      <c r="OK9" s="125"/>
      <c r="OL9" s="125"/>
      <c r="OM9" s="125"/>
      <c r="ON9" s="125"/>
      <c r="OO9" s="125"/>
      <c r="OP9" s="125"/>
      <c r="OQ9" s="125"/>
      <c r="OR9" s="125"/>
      <c r="OS9" s="125"/>
      <c r="OT9" s="125"/>
      <c r="OU9" s="125"/>
      <c r="OV9" s="125"/>
      <c r="OW9" s="125"/>
      <c r="OX9" s="125"/>
      <c r="OY9" s="125"/>
      <c r="OZ9" s="125"/>
      <c r="PA9" s="125"/>
      <c r="PB9" s="125"/>
      <c r="PC9" s="125"/>
      <c r="PD9" s="125"/>
      <c r="PE9" s="125"/>
      <c r="PF9" s="125"/>
      <c r="PG9" s="125"/>
      <c r="PH9" s="125"/>
      <c r="PI9" s="125"/>
      <c r="PJ9" s="125"/>
      <c r="PK9" s="125"/>
      <c r="PL9" s="125"/>
      <c r="PM9" s="125"/>
      <c r="PN9" s="125"/>
      <c r="PO9" s="125"/>
      <c r="PP9" s="125"/>
      <c r="PQ9" s="125"/>
      <c r="PR9" s="125"/>
      <c r="PS9" s="125"/>
      <c r="PT9" s="125"/>
      <c r="PU9" s="125"/>
      <c r="PV9" s="125"/>
      <c r="PW9" s="125"/>
      <c r="PX9" s="125"/>
      <c r="PY9" s="125"/>
      <c r="PZ9" s="125"/>
      <c r="QA9" s="125"/>
      <c r="QB9" s="125"/>
      <c r="QC9" s="125"/>
      <c r="QD9" s="125"/>
      <c r="QE9" s="125"/>
      <c r="QF9" s="125"/>
      <c r="QG9" s="125"/>
      <c r="QH9" s="125"/>
      <c r="QI9" s="125"/>
      <c r="QJ9" s="125"/>
      <c r="QK9" s="125"/>
      <c r="QL9" s="125"/>
      <c r="QM9" s="125"/>
      <c r="QN9" s="125"/>
      <c r="QO9" s="125"/>
      <c r="QP9" s="125"/>
      <c r="QQ9" s="125"/>
      <c r="QR9" s="125"/>
      <c r="QS9" s="125"/>
      <c r="QT9" s="125"/>
      <c r="QU9" s="125"/>
      <c r="QV9" s="125"/>
      <c r="QW9" s="125"/>
      <c r="QX9" s="125"/>
      <c r="QY9" s="125"/>
      <c r="QZ9" s="125"/>
      <c r="RA9" s="125"/>
      <c r="RB9" s="125"/>
      <c r="RC9" s="125"/>
      <c r="RD9" s="125"/>
      <c r="RE9" s="125"/>
      <c r="RF9" s="125"/>
      <c r="RG9" s="24">
        <f t="shared" si="0"/>
        <v>76</v>
      </c>
      <c r="RH9" s="60" t="s">
        <v>36</v>
      </c>
      <c r="RI9" s="121">
        <v>4621.6400000000003</v>
      </c>
      <c r="RJ9" s="77">
        <f>RM9+RN9+RO9</f>
        <v>0</v>
      </c>
      <c r="RK9" s="77">
        <v>2885.44</v>
      </c>
      <c r="RL9" s="121">
        <f t="shared" si="1"/>
        <v>4621.6400000000003</v>
      </c>
      <c r="RM9" s="145"/>
      <c r="RN9" s="145"/>
      <c r="RO9" s="145"/>
      <c r="RP9" s="104">
        <f t="shared" si="2"/>
        <v>1.6017106576466675</v>
      </c>
      <c r="RQ9" s="172" t="s">
        <v>574</v>
      </c>
    </row>
    <row r="10" spans="1:485" s="5" customFormat="1" ht="12.75" customHeight="1" x14ac:dyDescent="0.25">
      <c r="A10" s="61">
        <v>44959</v>
      </c>
      <c r="B10" s="112" t="s">
        <v>350</v>
      </c>
      <c r="C10" s="123"/>
      <c r="D10" s="123"/>
      <c r="E10" s="124"/>
      <c r="F10" s="124"/>
      <c r="G10" s="124"/>
      <c r="H10" s="124"/>
      <c r="I10" s="124"/>
      <c r="J10" s="124"/>
      <c r="K10" s="124"/>
      <c r="L10" s="124"/>
      <c r="M10" s="124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5"/>
      <c r="BA10" s="125"/>
      <c r="BB10" s="125"/>
      <c r="BC10" s="125"/>
      <c r="BD10" s="125"/>
      <c r="BE10" s="125"/>
      <c r="BF10" s="125"/>
      <c r="BG10" s="125"/>
      <c r="BH10" s="125"/>
      <c r="BI10" s="125"/>
      <c r="BJ10" s="125"/>
      <c r="BK10" s="125"/>
      <c r="BL10" s="125"/>
      <c r="BM10" s="125"/>
      <c r="BN10" s="125"/>
      <c r="BO10" s="125"/>
      <c r="BP10" s="125"/>
      <c r="BQ10" s="125"/>
      <c r="BR10" s="125"/>
      <c r="BS10" s="125"/>
      <c r="BT10" s="125"/>
      <c r="BU10" s="125"/>
      <c r="BV10" s="125"/>
      <c r="BW10" s="125"/>
      <c r="BX10" s="125"/>
      <c r="BY10" s="125"/>
      <c r="BZ10" s="125"/>
      <c r="CA10" s="125"/>
      <c r="CB10" s="125"/>
      <c r="CC10" s="125"/>
      <c r="CD10" s="125"/>
      <c r="CE10" s="125"/>
      <c r="CF10" s="125"/>
      <c r="CG10" s="125"/>
      <c r="CH10" s="125"/>
      <c r="CI10" s="125"/>
      <c r="CJ10" s="125"/>
      <c r="CK10" s="125"/>
      <c r="CL10" s="125"/>
      <c r="CM10" s="125"/>
      <c r="CN10" s="125"/>
      <c r="CO10" s="125"/>
      <c r="CP10" s="125"/>
      <c r="CQ10" s="125"/>
      <c r="CR10" s="125"/>
      <c r="CS10" s="125"/>
      <c r="CT10" s="125"/>
      <c r="CU10" s="125"/>
      <c r="CV10" s="125"/>
      <c r="CW10" s="125"/>
      <c r="CX10" s="125"/>
      <c r="CY10" s="125"/>
      <c r="CZ10" s="125"/>
      <c r="DA10" s="125"/>
      <c r="DB10" s="125"/>
      <c r="DC10" s="125"/>
      <c r="DD10" s="125"/>
      <c r="DE10" s="125"/>
      <c r="DF10" s="125"/>
      <c r="DG10" s="125"/>
      <c r="DH10" s="125"/>
      <c r="DI10" s="125"/>
      <c r="DJ10" s="125"/>
      <c r="DK10" s="125"/>
      <c r="DL10" s="125"/>
      <c r="DM10" s="125"/>
      <c r="DN10" s="125"/>
      <c r="DO10" s="125"/>
      <c r="DP10" s="125"/>
      <c r="DQ10" s="125"/>
      <c r="DR10" s="125"/>
      <c r="DS10" s="125"/>
      <c r="DT10" s="125"/>
      <c r="DU10" s="125"/>
      <c r="DV10" s="125"/>
      <c r="DW10" s="125"/>
      <c r="DX10" s="125"/>
      <c r="DY10" s="125"/>
      <c r="DZ10" s="125"/>
      <c r="EA10" s="125"/>
      <c r="EB10" s="125"/>
      <c r="EC10" s="125"/>
      <c r="ED10" s="125"/>
      <c r="EE10" s="125"/>
      <c r="EF10" s="125"/>
      <c r="EG10" s="125"/>
      <c r="EH10" s="125"/>
      <c r="EI10" s="125"/>
      <c r="EJ10" s="125"/>
      <c r="EK10" s="125"/>
      <c r="EL10" s="125"/>
      <c r="EM10" s="125"/>
      <c r="EN10" s="125"/>
      <c r="EO10" s="125"/>
      <c r="EP10" s="125"/>
      <c r="EQ10" s="125"/>
      <c r="ER10" s="125"/>
      <c r="ES10" s="125"/>
      <c r="ET10" s="125"/>
      <c r="EU10" s="125"/>
      <c r="EV10" s="125"/>
      <c r="EW10" s="125"/>
      <c r="EX10" s="125"/>
      <c r="EY10" s="125"/>
      <c r="EZ10" s="125"/>
      <c r="FA10" s="125"/>
      <c r="FB10" s="125"/>
      <c r="FC10" s="125"/>
      <c r="FD10" s="125"/>
      <c r="FE10" s="125"/>
      <c r="FF10" s="125"/>
      <c r="FG10" s="125"/>
      <c r="FH10" s="125"/>
      <c r="FI10" s="125"/>
      <c r="FJ10" s="125"/>
      <c r="FK10" s="125"/>
      <c r="FL10" s="125"/>
      <c r="FM10" s="125"/>
      <c r="FN10" s="125"/>
      <c r="FO10" s="125"/>
      <c r="FP10" s="125"/>
      <c r="FQ10" s="125"/>
      <c r="FR10" s="125"/>
      <c r="FS10" s="125"/>
      <c r="FT10" s="125"/>
      <c r="FU10" s="125"/>
      <c r="FV10" s="125"/>
      <c r="FW10" s="125"/>
      <c r="FX10" s="125"/>
      <c r="FY10" s="125"/>
      <c r="FZ10" s="125"/>
      <c r="GA10" s="125"/>
      <c r="GB10" s="125"/>
      <c r="GC10" s="125"/>
      <c r="GD10" s="125"/>
      <c r="GE10" s="125"/>
      <c r="GF10" s="125"/>
      <c r="GG10" s="125"/>
      <c r="GH10" s="125"/>
      <c r="GI10" s="125"/>
      <c r="GJ10" s="125"/>
      <c r="GK10" s="125"/>
      <c r="GL10" s="125"/>
      <c r="GM10" s="125"/>
      <c r="GN10" s="125"/>
      <c r="GO10" s="125"/>
      <c r="GP10" s="125"/>
      <c r="GQ10" s="125"/>
      <c r="GR10" s="125"/>
      <c r="GS10" s="125"/>
      <c r="GT10" s="125"/>
      <c r="GU10" s="125"/>
      <c r="GV10" s="125"/>
      <c r="GW10" s="125"/>
      <c r="GX10" s="125"/>
      <c r="GY10" s="125"/>
      <c r="GZ10" s="125"/>
      <c r="HA10" s="125"/>
      <c r="HB10" s="125"/>
      <c r="HC10" s="125"/>
      <c r="HD10" s="125"/>
      <c r="HE10" s="125"/>
      <c r="HF10" s="125"/>
      <c r="HG10" s="125"/>
      <c r="HH10" s="125"/>
      <c r="HI10" s="125"/>
      <c r="HJ10" s="125"/>
      <c r="HK10" s="125"/>
      <c r="HL10" s="125"/>
      <c r="HM10" s="125"/>
      <c r="HN10" s="125"/>
      <c r="HO10" s="125"/>
      <c r="HP10" s="125"/>
      <c r="HQ10" s="125"/>
      <c r="HR10" s="125"/>
      <c r="HS10" s="125"/>
      <c r="HT10" s="125"/>
      <c r="HU10" s="125"/>
      <c r="HV10" s="125"/>
      <c r="HW10" s="125"/>
      <c r="HX10" s="125"/>
      <c r="HY10" s="125"/>
      <c r="HZ10" s="125"/>
      <c r="IA10" s="125"/>
      <c r="IB10" s="125"/>
      <c r="IC10" s="125"/>
      <c r="ID10" s="125"/>
      <c r="IE10" s="125"/>
      <c r="IF10" s="125"/>
      <c r="IG10" s="125"/>
      <c r="IH10" s="125"/>
      <c r="II10" s="125"/>
      <c r="IJ10" s="125"/>
      <c r="IK10" s="125"/>
      <c r="IL10" s="125"/>
      <c r="IM10" s="125"/>
      <c r="IN10" s="125"/>
      <c r="IO10" s="125"/>
      <c r="IP10" s="125"/>
      <c r="IQ10" s="125"/>
      <c r="IR10" s="125"/>
      <c r="IS10" s="125"/>
      <c r="IT10" s="125"/>
      <c r="IU10" s="125"/>
      <c r="IV10" s="125"/>
      <c r="IW10" s="125"/>
      <c r="IX10" s="125">
        <v>80</v>
      </c>
      <c r="IY10" s="125"/>
      <c r="IZ10" s="125"/>
      <c r="JA10" s="125"/>
      <c r="JB10" s="125"/>
      <c r="JC10" s="125"/>
      <c r="JD10" s="125"/>
      <c r="JE10" s="125"/>
      <c r="JF10" s="125"/>
      <c r="JG10" s="125"/>
      <c r="JH10" s="125"/>
      <c r="JI10" s="125"/>
      <c r="JJ10" s="125"/>
      <c r="JK10" s="125"/>
      <c r="JL10" s="125"/>
      <c r="JM10" s="125"/>
      <c r="JN10" s="125"/>
      <c r="JO10" s="125"/>
      <c r="JP10" s="125"/>
      <c r="JQ10" s="125"/>
      <c r="JR10" s="125"/>
      <c r="JS10" s="125"/>
      <c r="JT10" s="125"/>
      <c r="JU10" s="125"/>
      <c r="JV10" s="125"/>
      <c r="JW10" s="125"/>
      <c r="JX10" s="125"/>
      <c r="JY10" s="125"/>
      <c r="JZ10" s="125"/>
      <c r="KA10" s="125"/>
      <c r="KB10" s="125"/>
      <c r="KC10" s="125"/>
      <c r="KD10" s="125"/>
      <c r="KE10" s="125"/>
      <c r="KF10" s="125"/>
      <c r="KG10" s="125"/>
      <c r="KH10" s="125"/>
      <c r="KI10" s="125"/>
      <c r="KJ10" s="125"/>
      <c r="KK10" s="125"/>
      <c r="KL10" s="125"/>
      <c r="KM10" s="125"/>
      <c r="KN10" s="125"/>
      <c r="KO10" s="125"/>
      <c r="KP10" s="125"/>
      <c r="KQ10" s="125"/>
      <c r="KR10" s="125"/>
      <c r="KS10" s="125"/>
      <c r="KT10" s="125"/>
      <c r="KU10" s="125"/>
      <c r="KV10" s="125"/>
      <c r="KW10" s="125"/>
      <c r="KX10" s="125"/>
      <c r="KY10" s="125"/>
      <c r="KZ10" s="125"/>
      <c r="LA10" s="125"/>
      <c r="LB10" s="125"/>
      <c r="LC10" s="125"/>
      <c r="LD10" s="125"/>
      <c r="LE10" s="125"/>
      <c r="LF10" s="125"/>
      <c r="LG10" s="125"/>
      <c r="LH10" s="125"/>
      <c r="LI10" s="125"/>
      <c r="LJ10" s="125"/>
      <c r="LK10" s="125"/>
      <c r="LL10" s="125"/>
      <c r="LM10" s="125"/>
      <c r="LN10" s="125"/>
      <c r="LO10" s="125"/>
      <c r="LP10" s="125"/>
      <c r="LQ10" s="125"/>
      <c r="LR10" s="125"/>
      <c r="LS10" s="125"/>
      <c r="LT10" s="125"/>
      <c r="LU10" s="125"/>
      <c r="LV10" s="125"/>
      <c r="LW10" s="125"/>
      <c r="LX10" s="125"/>
      <c r="LY10" s="125"/>
      <c r="LZ10" s="125"/>
      <c r="MA10" s="125"/>
      <c r="MB10" s="125"/>
      <c r="MC10" s="125"/>
      <c r="MD10" s="125"/>
      <c r="ME10" s="125"/>
      <c r="MF10" s="125"/>
      <c r="MG10" s="125"/>
      <c r="MH10" s="125"/>
      <c r="MI10" s="125"/>
      <c r="MJ10" s="125"/>
      <c r="MK10" s="125"/>
      <c r="ML10" s="125"/>
      <c r="MM10" s="125"/>
      <c r="MN10" s="125"/>
      <c r="MO10" s="125"/>
      <c r="MP10" s="125"/>
      <c r="MQ10" s="125"/>
      <c r="MR10" s="125"/>
      <c r="MS10" s="125"/>
      <c r="MT10" s="125"/>
      <c r="MU10" s="125"/>
      <c r="MV10" s="125"/>
      <c r="MW10" s="125"/>
      <c r="MX10" s="125"/>
      <c r="MY10" s="125"/>
      <c r="MZ10" s="125"/>
      <c r="NA10" s="125"/>
      <c r="NB10" s="125"/>
      <c r="NC10" s="125"/>
      <c r="ND10" s="125"/>
      <c r="NE10" s="125"/>
      <c r="NF10" s="125"/>
      <c r="NG10" s="125"/>
      <c r="NH10" s="125"/>
      <c r="NI10" s="125"/>
      <c r="NJ10" s="125"/>
      <c r="NK10" s="125"/>
      <c r="NL10" s="125"/>
      <c r="NM10" s="125"/>
      <c r="NN10" s="125"/>
      <c r="NO10" s="125"/>
      <c r="NP10" s="125"/>
      <c r="NQ10" s="125"/>
      <c r="NR10" s="125"/>
      <c r="NS10" s="125"/>
      <c r="NT10" s="125"/>
      <c r="NU10" s="125"/>
      <c r="NV10" s="125"/>
      <c r="NW10" s="125"/>
      <c r="NX10" s="125"/>
      <c r="NY10" s="125"/>
      <c r="NZ10" s="125"/>
      <c r="OA10" s="125"/>
      <c r="OB10" s="125"/>
      <c r="OC10" s="125"/>
      <c r="OD10" s="125"/>
      <c r="OE10" s="125"/>
      <c r="OF10" s="125"/>
      <c r="OG10" s="125"/>
      <c r="OH10" s="125"/>
      <c r="OI10" s="125"/>
      <c r="OJ10" s="125"/>
      <c r="OK10" s="125"/>
      <c r="OL10" s="125"/>
      <c r="OM10" s="125"/>
      <c r="ON10" s="125"/>
      <c r="OO10" s="125"/>
      <c r="OP10" s="125"/>
      <c r="OQ10" s="125"/>
      <c r="OR10" s="125"/>
      <c r="OS10" s="125"/>
      <c r="OT10" s="125"/>
      <c r="OU10" s="125"/>
      <c r="OV10" s="125"/>
      <c r="OW10" s="125"/>
      <c r="OX10" s="125"/>
      <c r="OY10" s="125"/>
      <c r="OZ10" s="125"/>
      <c r="PA10" s="125"/>
      <c r="PB10" s="125"/>
      <c r="PC10" s="125"/>
      <c r="PD10" s="125"/>
      <c r="PE10" s="125"/>
      <c r="PF10" s="125"/>
      <c r="PG10" s="125"/>
      <c r="PH10" s="125"/>
      <c r="PI10" s="125"/>
      <c r="PJ10" s="125"/>
      <c r="PK10" s="125"/>
      <c r="PL10" s="125"/>
      <c r="PM10" s="125"/>
      <c r="PN10" s="125"/>
      <c r="PO10" s="125"/>
      <c r="PP10" s="125"/>
      <c r="PQ10" s="125"/>
      <c r="PR10" s="125"/>
      <c r="PS10" s="125"/>
      <c r="PT10" s="125"/>
      <c r="PU10" s="125"/>
      <c r="PV10" s="125"/>
      <c r="PW10" s="125"/>
      <c r="PX10" s="125"/>
      <c r="PY10" s="125"/>
      <c r="PZ10" s="125"/>
      <c r="QA10" s="125"/>
      <c r="QB10" s="125"/>
      <c r="QC10" s="125"/>
      <c r="QD10" s="125"/>
      <c r="QE10" s="125"/>
      <c r="QF10" s="125"/>
      <c r="QG10" s="125"/>
      <c r="QH10" s="125"/>
      <c r="QI10" s="125"/>
      <c r="QJ10" s="125"/>
      <c r="QK10" s="125"/>
      <c r="QL10" s="125"/>
      <c r="QM10" s="125"/>
      <c r="QN10" s="125"/>
      <c r="QO10" s="125"/>
      <c r="QP10" s="125"/>
      <c r="QQ10" s="125"/>
      <c r="QR10" s="125"/>
      <c r="QS10" s="125"/>
      <c r="QT10" s="125"/>
      <c r="QU10" s="125"/>
      <c r="QV10" s="125"/>
      <c r="QW10" s="125"/>
      <c r="QX10" s="125"/>
      <c r="QY10" s="125"/>
      <c r="QZ10" s="125"/>
      <c r="RA10" s="125"/>
      <c r="RB10" s="125"/>
      <c r="RC10" s="125"/>
      <c r="RD10" s="125"/>
      <c r="RE10" s="125"/>
      <c r="RF10" s="125"/>
      <c r="RG10" s="24">
        <f t="shared" si="0"/>
        <v>80</v>
      </c>
      <c r="RH10" s="60" t="s">
        <v>36</v>
      </c>
      <c r="RI10" s="121">
        <v>7353.6</v>
      </c>
      <c r="RJ10" s="77">
        <f>RM10+RN10</f>
        <v>7353.5999999999995</v>
      </c>
      <c r="RK10" s="77">
        <v>4380.7</v>
      </c>
      <c r="RL10" s="121">
        <f t="shared" si="1"/>
        <v>0</v>
      </c>
      <c r="RM10" s="145">
        <v>967.2</v>
      </c>
      <c r="RN10" s="145">
        <v>6386.4</v>
      </c>
      <c r="RO10" s="145"/>
      <c r="RP10" s="104">
        <f t="shared" si="2"/>
        <v>1.6786358344556807</v>
      </c>
      <c r="RQ10" s="172" t="s">
        <v>572</v>
      </c>
    </row>
    <row r="11" spans="1:485" s="5" customFormat="1" ht="12.75" customHeight="1" x14ac:dyDescent="0.25">
      <c r="A11" s="61">
        <v>44960</v>
      </c>
      <c r="B11" s="102" t="s">
        <v>287</v>
      </c>
      <c r="C11" s="123"/>
      <c r="D11" s="123"/>
      <c r="E11" s="124"/>
      <c r="F11" s="124"/>
      <c r="G11" s="124"/>
      <c r="H11" s="124"/>
      <c r="I11" s="124"/>
      <c r="J11" s="124"/>
      <c r="K11" s="124"/>
      <c r="L11" s="124"/>
      <c r="M11" s="124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5"/>
      <c r="BN11" s="125"/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5"/>
      <c r="DZ11" s="125"/>
      <c r="EA11" s="125"/>
      <c r="EB11" s="125"/>
      <c r="EC11" s="125"/>
      <c r="ED11" s="125"/>
      <c r="EE11" s="125"/>
      <c r="EF11" s="125"/>
      <c r="EG11" s="125"/>
      <c r="EH11" s="125"/>
      <c r="EI11" s="125"/>
      <c r="EJ11" s="125"/>
      <c r="EK11" s="125"/>
      <c r="EL11" s="125"/>
      <c r="EM11" s="125"/>
      <c r="EN11" s="125"/>
      <c r="EO11" s="125"/>
      <c r="EP11" s="125"/>
      <c r="EQ11" s="125"/>
      <c r="ER11" s="125"/>
      <c r="ES11" s="125"/>
      <c r="ET11" s="125"/>
      <c r="EU11" s="125"/>
      <c r="EV11" s="125"/>
      <c r="EW11" s="125"/>
      <c r="EX11" s="125"/>
      <c r="EY11" s="125"/>
      <c r="EZ11" s="125"/>
      <c r="FA11" s="125"/>
      <c r="FB11" s="125"/>
      <c r="FC11" s="125"/>
      <c r="FD11" s="125"/>
      <c r="FE11" s="125"/>
      <c r="FF11" s="125"/>
      <c r="FG11" s="125"/>
      <c r="FH11" s="125"/>
      <c r="FI11" s="125"/>
      <c r="FJ11" s="125"/>
      <c r="FK11" s="125"/>
      <c r="FL11" s="125"/>
      <c r="FM11" s="125"/>
      <c r="FN11" s="125"/>
      <c r="FO11" s="125"/>
      <c r="FP11" s="125"/>
      <c r="FQ11" s="125"/>
      <c r="FR11" s="125"/>
      <c r="FS11" s="125"/>
      <c r="FT11" s="125"/>
      <c r="FU11" s="125"/>
      <c r="FV11" s="125"/>
      <c r="FW11" s="125"/>
      <c r="FX11" s="125"/>
      <c r="FY11" s="125"/>
      <c r="FZ11" s="125"/>
      <c r="GA11" s="125"/>
      <c r="GB11" s="125"/>
      <c r="GC11" s="125"/>
      <c r="GD11" s="125"/>
      <c r="GE11" s="125"/>
      <c r="GF11" s="125"/>
      <c r="GG11" s="125"/>
      <c r="GH11" s="125"/>
      <c r="GI11" s="125"/>
      <c r="GJ11" s="125"/>
      <c r="GK11" s="125"/>
      <c r="GL11" s="125"/>
      <c r="GM11" s="125"/>
      <c r="GN11" s="125"/>
      <c r="GO11" s="125"/>
      <c r="GP11" s="125"/>
      <c r="GQ11" s="125"/>
      <c r="GR11" s="125"/>
      <c r="GS11" s="125"/>
      <c r="GT11" s="125"/>
      <c r="GU11" s="125"/>
      <c r="GV11" s="125"/>
      <c r="GW11" s="125"/>
      <c r="GX11" s="125"/>
      <c r="GY11" s="125"/>
      <c r="GZ11" s="125"/>
      <c r="HA11" s="125"/>
      <c r="HB11" s="125"/>
      <c r="HC11" s="125"/>
      <c r="HD11" s="125"/>
      <c r="HE11" s="125"/>
      <c r="HF11" s="125"/>
      <c r="HG11" s="125"/>
      <c r="HH11" s="125"/>
      <c r="HI11" s="125"/>
      <c r="HJ11" s="125"/>
      <c r="HK11" s="125"/>
      <c r="HL11" s="125"/>
      <c r="HM11" s="125"/>
      <c r="HN11" s="125"/>
      <c r="HO11" s="125"/>
      <c r="HP11" s="125"/>
      <c r="HQ11" s="125"/>
      <c r="HR11" s="125"/>
      <c r="HS11" s="125"/>
      <c r="HT11" s="125"/>
      <c r="HU11" s="125"/>
      <c r="HV11" s="125"/>
      <c r="HW11" s="125"/>
      <c r="HX11" s="125"/>
      <c r="HY11" s="125"/>
      <c r="HZ11" s="125"/>
      <c r="IA11" s="125"/>
      <c r="IB11" s="125"/>
      <c r="IC11" s="125"/>
      <c r="ID11" s="125"/>
      <c r="IE11" s="125"/>
      <c r="IF11" s="125"/>
      <c r="IG11" s="125"/>
      <c r="IH11" s="125"/>
      <c r="II11" s="125"/>
      <c r="IJ11" s="125"/>
      <c r="IK11" s="125"/>
      <c r="IL11" s="125"/>
      <c r="IM11" s="125"/>
      <c r="IN11" s="125"/>
      <c r="IO11" s="125"/>
      <c r="IP11" s="125"/>
      <c r="IQ11" s="125"/>
      <c r="IR11" s="125"/>
      <c r="IS11" s="125">
        <v>11</v>
      </c>
      <c r="IT11" s="125"/>
      <c r="IU11" s="125"/>
      <c r="IV11" s="125"/>
      <c r="IW11" s="125"/>
      <c r="IX11" s="125"/>
      <c r="IY11" s="125"/>
      <c r="IZ11" s="125"/>
      <c r="JA11" s="125"/>
      <c r="JB11" s="125"/>
      <c r="JC11" s="125"/>
      <c r="JD11" s="125"/>
      <c r="JE11" s="125"/>
      <c r="JF11" s="125"/>
      <c r="JG11" s="125"/>
      <c r="JH11" s="125"/>
      <c r="JI11" s="125"/>
      <c r="JJ11" s="125"/>
      <c r="JK11" s="125"/>
      <c r="JL11" s="125"/>
      <c r="JM11" s="125"/>
      <c r="JN11" s="125"/>
      <c r="JO11" s="125"/>
      <c r="JP11" s="125"/>
      <c r="JQ11" s="125"/>
      <c r="JR11" s="125"/>
      <c r="JS11" s="125"/>
      <c r="JT11" s="125"/>
      <c r="JU11" s="125"/>
      <c r="JV11" s="125"/>
      <c r="JW11" s="125"/>
      <c r="JX11" s="125"/>
      <c r="JY11" s="125"/>
      <c r="JZ11" s="125"/>
      <c r="KA11" s="125"/>
      <c r="KB11" s="125"/>
      <c r="KC11" s="125"/>
      <c r="KD11" s="125"/>
      <c r="KE11" s="125"/>
      <c r="KF11" s="125"/>
      <c r="KG11" s="125"/>
      <c r="KH11" s="125"/>
      <c r="KI11" s="125"/>
      <c r="KJ11" s="125"/>
      <c r="KK11" s="125"/>
      <c r="KL11" s="125"/>
      <c r="KM11" s="125"/>
      <c r="KN11" s="125"/>
      <c r="KO11" s="125"/>
      <c r="KP11" s="125"/>
      <c r="KQ11" s="125"/>
      <c r="KR11" s="125"/>
      <c r="KS11" s="125"/>
      <c r="KT11" s="125"/>
      <c r="KU11" s="125"/>
      <c r="KV11" s="125"/>
      <c r="KW11" s="125"/>
      <c r="KX11" s="125"/>
      <c r="KY11" s="125"/>
      <c r="KZ11" s="125"/>
      <c r="LA11" s="125"/>
      <c r="LB11" s="125"/>
      <c r="LC11" s="125"/>
      <c r="LD11" s="125"/>
      <c r="LE11" s="125"/>
      <c r="LF11" s="125"/>
      <c r="LG11" s="125"/>
      <c r="LH11" s="125"/>
      <c r="LI11" s="125"/>
      <c r="LJ11" s="125"/>
      <c r="LK11" s="125"/>
      <c r="LL11" s="125"/>
      <c r="LM11" s="125"/>
      <c r="LN11" s="125"/>
      <c r="LO11" s="125"/>
      <c r="LP11" s="125"/>
      <c r="LQ11" s="125"/>
      <c r="LR11" s="125"/>
      <c r="LS11" s="125"/>
      <c r="LT11" s="125"/>
      <c r="LU11" s="125"/>
      <c r="LV11" s="125"/>
      <c r="LW11" s="125"/>
      <c r="LX11" s="125"/>
      <c r="LY11" s="125"/>
      <c r="LZ11" s="125"/>
      <c r="MA11" s="125"/>
      <c r="MB11" s="125"/>
      <c r="MC11" s="125"/>
      <c r="MD11" s="125"/>
      <c r="ME11" s="125"/>
      <c r="MF11" s="125"/>
      <c r="MG11" s="125"/>
      <c r="MH11" s="125"/>
      <c r="MI11" s="125"/>
      <c r="MJ11" s="125"/>
      <c r="MK11" s="125"/>
      <c r="ML11" s="125"/>
      <c r="MM11" s="125"/>
      <c r="MN11" s="125"/>
      <c r="MO11" s="125"/>
      <c r="MP11" s="125"/>
      <c r="MQ11" s="125"/>
      <c r="MR11" s="125"/>
      <c r="MS11" s="125"/>
      <c r="MT11" s="125"/>
      <c r="MU11" s="125"/>
      <c r="MV11" s="125"/>
      <c r="MW11" s="125"/>
      <c r="MX11" s="125"/>
      <c r="MY11" s="125"/>
      <c r="MZ11" s="125"/>
      <c r="NA11" s="125"/>
      <c r="NB11" s="125"/>
      <c r="NC11" s="125"/>
      <c r="ND11" s="125"/>
      <c r="NE11" s="125"/>
      <c r="NF11" s="125"/>
      <c r="NG11" s="125"/>
      <c r="NH11" s="125"/>
      <c r="NI11" s="125"/>
      <c r="NJ11" s="125"/>
      <c r="NK11" s="125"/>
      <c r="NL11" s="125"/>
      <c r="NM11" s="125"/>
      <c r="NN11" s="125"/>
      <c r="NO11" s="125"/>
      <c r="NP11" s="125"/>
      <c r="NQ11" s="125"/>
      <c r="NR11" s="125"/>
      <c r="NS11" s="125"/>
      <c r="NT11" s="125"/>
      <c r="NU11" s="125"/>
      <c r="NV11" s="125"/>
      <c r="NW11" s="125"/>
      <c r="NX11" s="125"/>
      <c r="NY11" s="125"/>
      <c r="NZ11" s="125"/>
      <c r="OA11" s="125"/>
      <c r="OB11" s="125"/>
      <c r="OC11" s="125"/>
      <c r="OD11" s="125"/>
      <c r="OE11" s="125"/>
      <c r="OF11" s="125"/>
      <c r="OG11" s="125"/>
      <c r="OH11" s="125"/>
      <c r="OI11" s="125"/>
      <c r="OJ11" s="125"/>
      <c r="OK11" s="125"/>
      <c r="OL11" s="125"/>
      <c r="OM11" s="125"/>
      <c r="ON11" s="125"/>
      <c r="OO11" s="125"/>
      <c r="OP11" s="125"/>
      <c r="OQ11" s="125"/>
      <c r="OR11" s="125"/>
      <c r="OS11" s="125"/>
      <c r="OT11" s="125"/>
      <c r="OU11" s="125"/>
      <c r="OV11" s="125"/>
      <c r="OW11" s="125"/>
      <c r="OX11" s="125"/>
      <c r="OY11" s="125"/>
      <c r="OZ11" s="125"/>
      <c r="PA11" s="125"/>
      <c r="PB11" s="125"/>
      <c r="PC11" s="125"/>
      <c r="PD11" s="125"/>
      <c r="PE11" s="125"/>
      <c r="PF11" s="125"/>
      <c r="PG11" s="125"/>
      <c r="PH11" s="125"/>
      <c r="PI11" s="125"/>
      <c r="PJ11" s="125"/>
      <c r="PK11" s="125"/>
      <c r="PL11" s="125"/>
      <c r="PM11" s="125"/>
      <c r="PN11" s="125"/>
      <c r="PO11" s="125"/>
      <c r="PP11" s="125"/>
      <c r="PQ11" s="125"/>
      <c r="PR11" s="125"/>
      <c r="PS11" s="125"/>
      <c r="PT11" s="125"/>
      <c r="PU11" s="125"/>
      <c r="PV11" s="125"/>
      <c r="PW11" s="125"/>
      <c r="PX11" s="125"/>
      <c r="PY11" s="125"/>
      <c r="PZ11" s="125"/>
      <c r="QA11" s="125"/>
      <c r="QB11" s="125"/>
      <c r="QC11" s="125"/>
      <c r="QD11" s="125"/>
      <c r="QE11" s="125"/>
      <c r="QF11" s="125"/>
      <c r="QG11" s="125"/>
      <c r="QH11" s="125"/>
      <c r="QI11" s="125"/>
      <c r="QJ11" s="125"/>
      <c r="QK11" s="125"/>
      <c r="QL11" s="125"/>
      <c r="QM11" s="125"/>
      <c r="QN11" s="125"/>
      <c r="QO11" s="125"/>
      <c r="QP11" s="125"/>
      <c r="QQ11" s="125"/>
      <c r="QR11" s="125"/>
      <c r="QS11" s="125"/>
      <c r="QT11" s="125"/>
      <c r="QU11" s="125"/>
      <c r="QV11" s="125"/>
      <c r="QW11" s="125"/>
      <c r="QX11" s="125"/>
      <c r="QY11" s="125"/>
      <c r="QZ11" s="125"/>
      <c r="RA11" s="125"/>
      <c r="RB11" s="125"/>
      <c r="RC11" s="125"/>
      <c r="RD11" s="125"/>
      <c r="RE11" s="125"/>
      <c r="RF11" s="125"/>
      <c r="RG11" s="24">
        <f t="shared" si="0"/>
        <v>11</v>
      </c>
      <c r="RH11" s="60" t="s">
        <v>36</v>
      </c>
      <c r="RI11" s="121">
        <v>488.4</v>
      </c>
      <c r="RJ11" s="77">
        <f>RM11+RN11+RO11</f>
        <v>0</v>
      </c>
      <c r="RK11" s="77">
        <v>316.90999999999997</v>
      </c>
      <c r="RL11" s="121">
        <f t="shared" si="1"/>
        <v>488.4</v>
      </c>
      <c r="RM11" s="145"/>
      <c r="RN11" s="145"/>
      <c r="RO11" s="145"/>
      <c r="RP11" s="104">
        <f t="shared" si="2"/>
        <v>1.5411315515446027</v>
      </c>
      <c r="RQ11" s="172" t="s">
        <v>556</v>
      </c>
    </row>
    <row r="12" spans="1:485" s="5" customFormat="1" ht="12.75" customHeight="1" x14ac:dyDescent="0.25">
      <c r="A12" s="61">
        <v>44960</v>
      </c>
      <c r="B12" s="102" t="s">
        <v>137</v>
      </c>
      <c r="C12" s="123"/>
      <c r="D12" s="123"/>
      <c r="E12" s="124"/>
      <c r="F12" s="124"/>
      <c r="G12" s="124"/>
      <c r="H12" s="124"/>
      <c r="I12" s="124"/>
      <c r="J12" s="124"/>
      <c r="K12" s="124"/>
      <c r="L12" s="124"/>
      <c r="M12" s="124"/>
      <c r="N12" s="125"/>
      <c r="O12" s="125"/>
      <c r="P12" s="125"/>
      <c r="Q12" s="125">
        <v>10</v>
      </c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G12" s="125"/>
      <c r="BH12" s="125"/>
      <c r="BI12" s="125"/>
      <c r="BJ12" s="125"/>
      <c r="BK12" s="125"/>
      <c r="BL12" s="125"/>
      <c r="BM12" s="125"/>
      <c r="BN12" s="125"/>
      <c r="BO12" s="125"/>
      <c r="BP12" s="125"/>
      <c r="BQ12" s="125"/>
      <c r="BR12" s="125"/>
      <c r="BS12" s="125"/>
      <c r="BT12" s="125"/>
      <c r="BU12" s="125"/>
      <c r="BV12" s="125"/>
      <c r="BW12" s="125"/>
      <c r="BX12" s="125"/>
      <c r="BY12" s="125"/>
      <c r="BZ12" s="125"/>
      <c r="CA12" s="125"/>
      <c r="CB12" s="125"/>
      <c r="CC12" s="125"/>
      <c r="CD12" s="125"/>
      <c r="CE12" s="125"/>
      <c r="CF12" s="125"/>
      <c r="CG12" s="125"/>
      <c r="CH12" s="125"/>
      <c r="CI12" s="125"/>
      <c r="CJ12" s="125"/>
      <c r="CK12" s="125"/>
      <c r="CL12" s="125"/>
      <c r="CM12" s="125"/>
      <c r="CN12" s="125"/>
      <c r="CO12" s="125"/>
      <c r="CP12" s="125"/>
      <c r="CQ12" s="125"/>
      <c r="CR12" s="125"/>
      <c r="CS12" s="125"/>
      <c r="CT12" s="125"/>
      <c r="CU12" s="125"/>
      <c r="CV12" s="125"/>
      <c r="CW12" s="125"/>
      <c r="CX12" s="125"/>
      <c r="CY12" s="125"/>
      <c r="CZ12" s="125"/>
      <c r="DA12" s="125"/>
      <c r="DB12" s="125"/>
      <c r="DC12" s="125"/>
      <c r="DD12" s="125"/>
      <c r="DE12" s="125"/>
      <c r="DF12" s="125"/>
      <c r="DG12" s="125"/>
      <c r="DH12" s="125"/>
      <c r="DI12" s="125"/>
      <c r="DJ12" s="125"/>
      <c r="DK12" s="125"/>
      <c r="DL12" s="125"/>
      <c r="DM12" s="125"/>
      <c r="DN12" s="125"/>
      <c r="DO12" s="125"/>
      <c r="DP12" s="125"/>
      <c r="DQ12" s="125"/>
      <c r="DR12" s="125"/>
      <c r="DS12" s="125"/>
      <c r="DT12" s="125"/>
      <c r="DU12" s="125"/>
      <c r="DV12" s="125"/>
      <c r="DW12" s="125"/>
      <c r="DX12" s="125"/>
      <c r="DY12" s="125"/>
      <c r="DZ12" s="125"/>
      <c r="EA12" s="125"/>
      <c r="EB12" s="125"/>
      <c r="EC12" s="125"/>
      <c r="ED12" s="125"/>
      <c r="EE12" s="125"/>
      <c r="EF12" s="125"/>
      <c r="EG12" s="125"/>
      <c r="EH12" s="125"/>
      <c r="EI12" s="125"/>
      <c r="EJ12" s="125"/>
      <c r="EK12" s="125"/>
      <c r="EL12" s="125"/>
      <c r="EM12" s="125"/>
      <c r="EN12" s="125"/>
      <c r="EO12" s="125"/>
      <c r="EP12" s="125"/>
      <c r="EQ12" s="125"/>
      <c r="ER12" s="125"/>
      <c r="ES12" s="125"/>
      <c r="ET12" s="125"/>
      <c r="EU12" s="125"/>
      <c r="EV12" s="125"/>
      <c r="EW12" s="125"/>
      <c r="EX12" s="125"/>
      <c r="EY12" s="125"/>
      <c r="EZ12" s="125"/>
      <c r="FA12" s="125"/>
      <c r="FB12" s="125"/>
      <c r="FC12" s="125"/>
      <c r="FD12" s="125"/>
      <c r="FE12" s="125"/>
      <c r="FF12" s="125"/>
      <c r="FG12" s="125"/>
      <c r="FH12" s="125"/>
      <c r="FI12" s="125"/>
      <c r="FJ12" s="125"/>
      <c r="FK12" s="125"/>
      <c r="FL12" s="125"/>
      <c r="FM12" s="125"/>
      <c r="FN12" s="125"/>
      <c r="FO12" s="125"/>
      <c r="FP12" s="125"/>
      <c r="FQ12" s="125"/>
      <c r="FR12" s="125"/>
      <c r="FS12" s="125"/>
      <c r="FT12" s="125"/>
      <c r="FU12" s="125"/>
      <c r="FV12" s="125"/>
      <c r="FW12" s="125"/>
      <c r="FX12" s="125"/>
      <c r="FY12" s="125"/>
      <c r="FZ12" s="125"/>
      <c r="GA12" s="125"/>
      <c r="GB12" s="125"/>
      <c r="GC12" s="125"/>
      <c r="GD12" s="125"/>
      <c r="GE12" s="125"/>
      <c r="GF12" s="125"/>
      <c r="GG12" s="125"/>
      <c r="GH12" s="125"/>
      <c r="GI12" s="125"/>
      <c r="GJ12" s="125"/>
      <c r="GK12" s="125"/>
      <c r="GL12" s="125"/>
      <c r="GM12" s="125"/>
      <c r="GN12" s="125"/>
      <c r="GO12" s="125"/>
      <c r="GP12" s="125"/>
      <c r="GQ12" s="125">
        <v>20</v>
      </c>
      <c r="GR12" s="125"/>
      <c r="GS12" s="125"/>
      <c r="GT12" s="125"/>
      <c r="GU12" s="125"/>
      <c r="GV12" s="125"/>
      <c r="GW12" s="125"/>
      <c r="GX12" s="125"/>
      <c r="GY12" s="125"/>
      <c r="GZ12" s="125"/>
      <c r="HA12" s="125"/>
      <c r="HB12" s="125"/>
      <c r="HC12" s="125"/>
      <c r="HD12" s="125"/>
      <c r="HE12" s="125"/>
      <c r="HF12" s="125"/>
      <c r="HG12" s="125"/>
      <c r="HH12" s="125"/>
      <c r="HI12" s="125"/>
      <c r="HJ12" s="125"/>
      <c r="HK12" s="125"/>
      <c r="HL12" s="125"/>
      <c r="HM12" s="125"/>
      <c r="HN12" s="125"/>
      <c r="HO12" s="125"/>
      <c r="HP12" s="125"/>
      <c r="HQ12" s="125"/>
      <c r="HR12" s="125"/>
      <c r="HS12" s="125"/>
      <c r="HT12" s="125"/>
      <c r="HU12" s="125"/>
      <c r="HV12" s="125"/>
      <c r="HW12" s="125"/>
      <c r="HX12" s="125"/>
      <c r="HY12" s="125"/>
      <c r="HZ12" s="125"/>
      <c r="IA12" s="125"/>
      <c r="IB12" s="125"/>
      <c r="IC12" s="125"/>
      <c r="ID12" s="125"/>
      <c r="IE12" s="125"/>
      <c r="IF12" s="125"/>
      <c r="IG12" s="125"/>
      <c r="IH12" s="125"/>
      <c r="II12" s="125"/>
      <c r="IJ12" s="125"/>
      <c r="IK12" s="125"/>
      <c r="IL12" s="125"/>
      <c r="IM12" s="125"/>
      <c r="IN12" s="125"/>
      <c r="IO12" s="125"/>
      <c r="IP12" s="125"/>
      <c r="IQ12" s="125"/>
      <c r="IR12" s="125"/>
      <c r="IS12" s="125"/>
      <c r="IT12" s="125"/>
      <c r="IU12" s="125"/>
      <c r="IV12" s="125"/>
      <c r="IW12" s="125"/>
      <c r="IX12" s="125"/>
      <c r="IY12" s="125"/>
      <c r="IZ12" s="125"/>
      <c r="JA12" s="125"/>
      <c r="JB12" s="125"/>
      <c r="JC12" s="125"/>
      <c r="JD12" s="125"/>
      <c r="JE12" s="125"/>
      <c r="JF12" s="125"/>
      <c r="JG12" s="125"/>
      <c r="JH12" s="125"/>
      <c r="JI12" s="125"/>
      <c r="JJ12" s="125"/>
      <c r="JK12" s="125"/>
      <c r="JL12" s="125"/>
      <c r="JM12" s="125"/>
      <c r="JN12" s="125"/>
      <c r="JO12" s="125"/>
      <c r="JP12" s="125"/>
      <c r="JQ12" s="125"/>
      <c r="JR12" s="125"/>
      <c r="JS12" s="125"/>
      <c r="JT12" s="125"/>
      <c r="JU12" s="125"/>
      <c r="JV12" s="125"/>
      <c r="JW12" s="125"/>
      <c r="JX12" s="125"/>
      <c r="JY12" s="125"/>
      <c r="JZ12" s="125"/>
      <c r="KA12" s="125"/>
      <c r="KB12" s="125"/>
      <c r="KC12" s="125"/>
      <c r="KD12" s="125"/>
      <c r="KE12" s="125"/>
      <c r="KF12" s="125"/>
      <c r="KG12" s="125"/>
      <c r="KH12" s="125"/>
      <c r="KI12" s="125"/>
      <c r="KJ12" s="125"/>
      <c r="KK12" s="125"/>
      <c r="KL12" s="125"/>
      <c r="KM12" s="125"/>
      <c r="KN12" s="125"/>
      <c r="KO12" s="125"/>
      <c r="KP12" s="125"/>
      <c r="KQ12" s="125"/>
      <c r="KR12" s="125"/>
      <c r="KS12" s="125"/>
      <c r="KT12" s="125"/>
      <c r="KU12" s="125"/>
      <c r="KV12" s="125"/>
      <c r="KW12" s="125"/>
      <c r="KX12" s="125"/>
      <c r="KY12" s="125"/>
      <c r="KZ12" s="125"/>
      <c r="LA12" s="125"/>
      <c r="LB12" s="125"/>
      <c r="LC12" s="125"/>
      <c r="LD12" s="125"/>
      <c r="LE12" s="125"/>
      <c r="LF12" s="125"/>
      <c r="LG12" s="125"/>
      <c r="LH12" s="125"/>
      <c r="LI12" s="125"/>
      <c r="LJ12" s="125"/>
      <c r="LK12" s="125"/>
      <c r="LL12" s="125"/>
      <c r="LM12" s="125"/>
      <c r="LN12" s="125"/>
      <c r="LO12" s="125"/>
      <c r="LP12" s="125"/>
      <c r="LQ12" s="125"/>
      <c r="LR12" s="125"/>
      <c r="LS12" s="125"/>
      <c r="LT12" s="125"/>
      <c r="LU12" s="125"/>
      <c r="LV12" s="125"/>
      <c r="LW12" s="125"/>
      <c r="LX12" s="125"/>
      <c r="LY12" s="125"/>
      <c r="LZ12" s="125"/>
      <c r="MA12" s="125"/>
      <c r="MB12" s="125"/>
      <c r="MC12" s="125"/>
      <c r="MD12" s="125"/>
      <c r="ME12" s="125"/>
      <c r="MF12" s="125"/>
      <c r="MG12" s="125"/>
      <c r="MH12" s="125"/>
      <c r="MI12" s="125"/>
      <c r="MJ12" s="125"/>
      <c r="MK12" s="125"/>
      <c r="ML12" s="125"/>
      <c r="MM12" s="125"/>
      <c r="MN12" s="125"/>
      <c r="MO12" s="125"/>
      <c r="MP12" s="125"/>
      <c r="MQ12" s="125"/>
      <c r="MR12" s="125"/>
      <c r="MS12" s="125"/>
      <c r="MT12" s="125"/>
      <c r="MU12" s="125"/>
      <c r="MV12" s="125"/>
      <c r="MW12" s="125"/>
      <c r="MX12" s="125"/>
      <c r="MY12" s="125"/>
      <c r="MZ12" s="125"/>
      <c r="NA12" s="125"/>
      <c r="NB12" s="125"/>
      <c r="NC12" s="125"/>
      <c r="ND12" s="125"/>
      <c r="NE12" s="125"/>
      <c r="NF12" s="125"/>
      <c r="NG12" s="125"/>
      <c r="NH12" s="125"/>
      <c r="NI12" s="125"/>
      <c r="NJ12" s="125"/>
      <c r="NK12" s="125"/>
      <c r="NL12" s="125"/>
      <c r="NM12" s="125"/>
      <c r="NN12" s="125"/>
      <c r="NO12" s="125"/>
      <c r="NP12" s="125"/>
      <c r="NQ12" s="125"/>
      <c r="NR12" s="125"/>
      <c r="NS12" s="125"/>
      <c r="NT12" s="125"/>
      <c r="NU12" s="125"/>
      <c r="NV12" s="125"/>
      <c r="NW12" s="125"/>
      <c r="NX12" s="125"/>
      <c r="NY12" s="125"/>
      <c r="NZ12" s="125"/>
      <c r="OA12" s="125"/>
      <c r="OB12" s="125"/>
      <c r="OC12" s="125"/>
      <c r="OD12" s="125"/>
      <c r="OE12" s="125"/>
      <c r="OF12" s="125"/>
      <c r="OG12" s="125"/>
      <c r="OH12" s="125"/>
      <c r="OI12" s="125"/>
      <c r="OJ12" s="125"/>
      <c r="OK12" s="125"/>
      <c r="OL12" s="125"/>
      <c r="OM12" s="125"/>
      <c r="ON12" s="125"/>
      <c r="OO12" s="125"/>
      <c r="OP12" s="125"/>
      <c r="OQ12" s="125"/>
      <c r="OR12" s="125"/>
      <c r="OS12" s="125"/>
      <c r="OT12" s="125"/>
      <c r="OU12" s="125"/>
      <c r="OV12" s="125"/>
      <c r="OW12" s="125"/>
      <c r="OX12" s="125"/>
      <c r="OY12" s="125"/>
      <c r="OZ12" s="125"/>
      <c r="PA12" s="125"/>
      <c r="PB12" s="125"/>
      <c r="PC12" s="125"/>
      <c r="PD12" s="125"/>
      <c r="PE12" s="125"/>
      <c r="PF12" s="125"/>
      <c r="PG12" s="125"/>
      <c r="PH12" s="125"/>
      <c r="PI12" s="125"/>
      <c r="PJ12" s="125"/>
      <c r="PK12" s="125"/>
      <c r="PL12" s="125"/>
      <c r="PM12" s="125"/>
      <c r="PN12" s="125"/>
      <c r="PO12" s="125"/>
      <c r="PP12" s="125"/>
      <c r="PQ12" s="125"/>
      <c r="PR12" s="125"/>
      <c r="PS12" s="125"/>
      <c r="PT12" s="125"/>
      <c r="PU12" s="125"/>
      <c r="PV12" s="125"/>
      <c r="PW12" s="125"/>
      <c r="PX12" s="125"/>
      <c r="PY12" s="125"/>
      <c r="PZ12" s="125"/>
      <c r="QA12" s="125"/>
      <c r="QB12" s="125"/>
      <c r="QC12" s="125"/>
      <c r="QD12" s="125"/>
      <c r="QE12" s="125"/>
      <c r="QF12" s="125"/>
      <c r="QG12" s="125"/>
      <c r="QH12" s="125"/>
      <c r="QI12" s="125"/>
      <c r="QJ12" s="125"/>
      <c r="QK12" s="125"/>
      <c r="QL12" s="125"/>
      <c r="QM12" s="125"/>
      <c r="QN12" s="125"/>
      <c r="QO12" s="125"/>
      <c r="QP12" s="125"/>
      <c r="QQ12" s="125"/>
      <c r="QR12" s="125"/>
      <c r="QS12" s="125"/>
      <c r="QT12" s="125"/>
      <c r="QU12" s="125"/>
      <c r="QV12" s="125"/>
      <c r="QW12" s="125"/>
      <c r="QX12" s="125"/>
      <c r="QY12" s="125"/>
      <c r="QZ12" s="125"/>
      <c r="RA12" s="125"/>
      <c r="RB12" s="125"/>
      <c r="RC12" s="125"/>
      <c r="RD12" s="125"/>
      <c r="RE12" s="125"/>
      <c r="RF12" s="125"/>
      <c r="RG12" s="24">
        <f t="shared" si="0"/>
        <v>30</v>
      </c>
      <c r="RH12" s="60" t="s">
        <v>36</v>
      </c>
      <c r="RI12" s="121">
        <v>1603.2</v>
      </c>
      <c r="RJ12" s="77">
        <f>RM12+RN12</f>
        <v>1603.2</v>
      </c>
      <c r="RK12" s="77">
        <v>1010.2</v>
      </c>
      <c r="RL12" s="121">
        <f t="shared" si="1"/>
        <v>0</v>
      </c>
      <c r="RM12" s="145"/>
      <c r="RN12" s="145">
        <f>603.2+500+500</f>
        <v>1603.2</v>
      </c>
      <c r="RO12" s="145"/>
      <c r="RP12" s="104">
        <f t="shared" si="2"/>
        <v>1.5870124727776678</v>
      </c>
      <c r="RQ12" s="172" t="s">
        <v>571</v>
      </c>
    </row>
    <row r="13" spans="1:485" s="5" customFormat="1" ht="12.75" customHeight="1" x14ac:dyDescent="0.25">
      <c r="A13" s="61">
        <v>44963</v>
      </c>
      <c r="B13" s="112" t="s">
        <v>396</v>
      </c>
      <c r="C13" s="123"/>
      <c r="D13" s="123"/>
      <c r="E13" s="124"/>
      <c r="F13" s="124"/>
      <c r="G13" s="124"/>
      <c r="H13" s="124"/>
      <c r="I13" s="124"/>
      <c r="J13" s="124"/>
      <c r="K13" s="124"/>
      <c r="L13" s="124"/>
      <c r="M13" s="124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5"/>
      <c r="BC13" s="125"/>
      <c r="BD13" s="125">
        <v>10</v>
      </c>
      <c r="BE13" s="125"/>
      <c r="BF13" s="125"/>
      <c r="BG13" s="125"/>
      <c r="BH13" s="125"/>
      <c r="BI13" s="125"/>
      <c r="BJ13" s="125"/>
      <c r="BK13" s="125"/>
      <c r="BL13" s="125"/>
      <c r="BM13" s="125"/>
      <c r="BN13" s="125"/>
      <c r="BO13" s="125"/>
      <c r="BP13" s="125"/>
      <c r="BQ13" s="125"/>
      <c r="BR13" s="125"/>
      <c r="BS13" s="125"/>
      <c r="BT13" s="125"/>
      <c r="BU13" s="125"/>
      <c r="BV13" s="125"/>
      <c r="BW13" s="125"/>
      <c r="BX13" s="125"/>
      <c r="BY13" s="125"/>
      <c r="BZ13" s="125"/>
      <c r="CA13" s="125"/>
      <c r="CB13" s="125"/>
      <c r="CC13" s="125"/>
      <c r="CD13" s="125"/>
      <c r="CE13" s="125"/>
      <c r="CF13" s="125"/>
      <c r="CG13" s="125"/>
      <c r="CH13" s="125"/>
      <c r="CI13" s="125"/>
      <c r="CJ13" s="125"/>
      <c r="CK13" s="125"/>
      <c r="CL13" s="125"/>
      <c r="CM13" s="125"/>
      <c r="CN13" s="125"/>
      <c r="CO13" s="125"/>
      <c r="CP13" s="125"/>
      <c r="CQ13" s="125"/>
      <c r="CR13" s="125"/>
      <c r="CS13" s="125"/>
      <c r="CT13" s="125"/>
      <c r="CU13" s="125"/>
      <c r="CV13" s="125"/>
      <c r="CW13" s="125"/>
      <c r="CX13" s="125"/>
      <c r="CY13" s="125"/>
      <c r="CZ13" s="125"/>
      <c r="DA13" s="125"/>
      <c r="DB13" s="125"/>
      <c r="DC13" s="125"/>
      <c r="DD13" s="125"/>
      <c r="DE13" s="125"/>
      <c r="DF13" s="125"/>
      <c r="DG13" s="125"/>
      <c r="DH13" s="125"/>
      <c r="DI13" s="125"/>
      <c r="DJ13" s="125"/>
      <c r="DK13" s="125"/>
      <c r="DL13" s="125"/>
      <c r="DM13" s="125"/>
      <c r="DN13" s="125"/>
      <c r="DO13" s="125"/>
      <c r="DP13" s="125"/>
      <c r="DQ13" s="125"/>
      <c r="DR13" s="125"/>
      <c r="DS13" s="125"/>
      <c r="DT13" s="125"/>
      <c r="DU13" s="125"/>
      <c r="DV13" s="125"/>
      <c r="DW13" s="125"/>
      <c r="DX13" s="125"/>
      <c r="DY13" s="125"/>
      <c r="DZ13" s="125"/>
      <c r="EA13" s="125"/>
      <c r="EB13" s="125"/>
      <c r="EC13" s="125"/>
      <c r="ED13" s="125"/>
      <c r="EE13" s="125"/>
      <c r="EF13" s="125"/>
      <c r="EG13" s="125"/>
      <c r="EH13" s="125"/>
      <c r="EI13" s="125"/>
      <c r="EJ13" s="125"/>
      <c r="EK13" s="125"/>
      <c r="EL13" s="125"/>
      <c r="EM13" s="125"/>
      <c r="EN13" s="125"/>
      <c r="EO13" s="125"/>
      <c r="EP13" s="125"/>
      <c r="EQ13" s="125"/>
      <c r="ER13" s="125"/>
      <c r="ES13" s="125"/>
      <c r="ET13" s="125"/>
      <c r="EU13" s="125"/>
      <c r="EV13" s="125"/>
      <c r="EW13" s="125"/>
      <c r="EX13" s="125"/>
      <c r="EY13" s="125"/>
      <c r="EZ13" s="125"/>
      <c r="FA13" s="125"/>
      <c r="FB13" s="125"/>
      <c r="FC13" s="125"/>
      <c r="FD13" s="125"/>
      <c r="FE13" s="125"/>
      <c r="FF13" s="125"/>
      <c r="FG13" s="125"/>
      <c r="FH13" s="125"/>
      <c r="FI13" s="125"/>
      <c r="FJ13" s="125"/>
      <c r="FK13" s="125"/>
      <c r="FL13" s="125"/>
      <c r="FM13" s="125"/>
      <c r="FN13" s="125"/>
      <c r="FO13" s="125"/>
      <c r="FP13" s="125"/>
      <c r="FQ13" s="125"/>
      <c r="FR13" s="125"/>
      <c r="FS13" s="125"/>
      <c r="FT13" s="125"/>
      <c r="FU13" s="125"/>
      <c r="FV13" s="125"/>
      <c r="FW13" s="125"/>
      <c r="FX13" s="125"/>
      <c r="FY13" s="125"/>
      <c r="FZ13" s="125"/>
      <c r="GA13" s="125"/>
      <c r="GB13" s="125"/>
      <c r="GC13" s="125"/>
      <c r="GD13" s="125"/>
      <c r="GE13" s="125"/>
      <c r="GF13" s="125"/>
      <c r="GG13" s="125"/>
      <c r="GH13" s="125"/>
      <c r="GI13" s="125"/>
      <c r="GJ13" s="125"/>
      <c r="GK13" s="125"/>
      <c r="GL13" s="125"/>
      <c r="GM13" s="125"/>
      <c r="GN13" s="125"/>
      <c r="GO13" s="125"/>
      <c r="GP13" s="125"/>
      <c r="GQ13" s="125"/>
      <c r="GR13" s="125"/>
      <c r="GS13" s="125"/>
      <c r="GT13" s="125"/>
      <c r="GU13" s="125"/>
      <c r="GV13" s="125"/>
      <c r="GW13" s="125"/>
      <c r="GX13" s="125"/>
      <c r="GY13" s="125"/>
      <c r="GZ13" s="125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25"/>
      <c r="JD13" s="125"/>
      <c r="JE13" s="125"/>
      <c r="JF13" s="125"/>
      <c r="JG13" s="125"/>
      <c r="JH13" s="125"/>
      <c r="JI13" s="125"/>
      <c r="JJ13" s="125"/>
      <c r="JK13" s="125"/>
      <c r="JL13" s="125"/>
      <c r="JM13" s="125"/>
      <c r="JN13" s="125"/>
      <c r="JO13" s="125"/>
      <c r="JP13" s="125"/>
      <c r="JQ13" s="125"/>
      <c r="JR13" s="125"/>
      <c r="JS13" s="125"/>
      <c r="JT13" s="125"/>
      <c r="JU13" s="125"/>
      <c r="JV13" s="125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5"/>
      <c r="LK13" s="125"/>
      <c r="LL13" s="125"/>
      <c r="LM13" s="125"/>
      <c r="LN13" s="125"/>
      <c r="LO13" s="125"/>
      <c r="LP13" s="125"/>
      <c r="LQ13" s="125"/>
      <c r="LR13" s="125"/>
      <c r="LS13" s="125"/>
      <c r="LT13" s="125"/>
      <c r="LU13" s="125"/>
      <c r="LV13" s="125"/>
      <c r="LW13" s="125"/>
      <c r="LX13" s="125"/>
      <c r="LY13" s="125"/>
      <c r="LZ13" s="125"/>
      <c r="MA13" s="125"/>
      <c r="MB13" s="125"/>
      <c r="MC13" s="125"/>
      <c r="MD13" s="125"/>
      <c r="ME13" s="125"/>
      <c r="MF13" s="125"/>
      <c r="MG13" s="125"/>
      <c r="MH13" s="125"/>
      <c r="MI13" s="125"/>
      <c r="MJ13" s="125"/>
      <c r="MK13" s="125"/>
      <c r="ML13" s="125"/>
      <c r="MM13" s="125"/>
      <c r="MN13" s="125"/>
      <c r="MO13" s="125"/>
      <c r="MP13" s="125"/>
      <c r="MQ13" s="125"/>
      <c r="MR13" s="125"/>
      <c r="MS13" s="125"/>
      <c r="MT13" s="125"/>
      <c r="MU13" s="125"/>
      <c r="MV13" s="125"/>
      <c r="MW13" s="125"/>
      <c r="MX13" s="125"/>
      <c r="MY13" s="125"/>
      <c r="MZ13" s="125"/>
      <c r="NA13" s="125"/>
      <c r="NB13" s="125"/>
      <c r="NC13" s="125"/>
      <c r="ND13" s="125"/>
      <c r="NE13" s="125"/>
      <c r="NF13" s="125"/>
      <c r="NG13" s="125"/>
      <c r="NH13" s="125"/>
      <c r="NI13" s="125"/>
      <c r="NJ13" s="125"/>
      <c r="NK13" s="125"/>
      <c r="NL13" s="125"/>
      <c r="NM13" s="125"/>
      <c r="NN13" s="125"/>
      <c r="NO13" s="125"/>
      <c r="NP13" s="125"/>
      <c r="NQ13" s="125"/>
      <c r="NR13" s="125"/>
      <c r="NS13" s="125"/>
      <c r="NT13" s="125"/>
      <c r="NU13" s="125"/>
      <c r="NV13" s="125"/>
      <c r="NW13" s="125"/>
      <c r="NX13" s="125"/>
      <c r="NY13" s="125"/>
      <c r="NZ13" s="125"/>
      <c r="OA13" s="125"/>
      <c r="OB13" s="125"/>
      <c r="OC13" s="125"/>
      <c r="OD13" s="125"/>
      <c r="OE13" s="125"/>
      <c r="OF13" s="125"/>
      <c r="OG13" s="125"/>
      <c r="OH13" s="125"/>
      <c r="OI13" s="125"/>
      <c r="OJ13" s="125"/>
      <c r="OK13" s="125"/>
      <c r="OL13" s="125"/>
      <c r="OM13" s="125"/>
      <c r="ON13" s="125"/>
      <c r="OO13" s="125"/>
      <c r="OP13" s="125"/>
      <c r="OQ13" s="125"/>
      <c r="OR13" s="125"/>
      <c r="OS13" s="125"/>
      <c r="OT13" s="125"/>
      <c r="OU13" s="125"/>
      <c r="OV13" s="125"/>
      <c r="OW13" s="125"/>
      <c r="OX13" s="125"/>
      <c r="OY13" s="125">
        <v>50</v>
      </c>
      <c r="OZ13" s="125"/>
      <c r="PA13" s="125"/>
      <c r="PB13" s="125"/>
      <c r="PC13" s="125"/>
      <c r="PD13" s="125"/>
      <c r="PE13" s="125"/>
      <c r="PF13" s="125"/>
      <c r="PG13" s="125"/>
      <c r="PH13" s="125"/>
      <c r="PI13" s="125"/>
      <c r="PJ13" s="125"/>
      <c r="PK13" s="125"/>
      <c r="PL13" s="125"/>
      <c r="PM13" s="125"/>
      <c r="PN13" s="125"/>
      <c r="PO13" s="125"/>
      <c r="PP13" s="125"/>
      <c r="PQ13" s="125"/>
      <c r="PR13" s="125"/>
      <c r="PS13" s="125"/>
      <c r="PT13" s="125"/>
      <c r="PU13" s="125"/>
      <c r="PV13" s="125"/>
      <c r="PW13" s="125"/>
      <c r="PX13" s="125"/>
      <c r="PY13" s="125"/>
      <c r="PZ13" s="125"/>
      <c r="QA13" s="125"/>
      <c r="QB13" s="125"/>
      <c r="QC13" s="125"/>
      <c r="QD13" s="125"/>
      <c r="QE13" s="125"/>
      <c r="QF13" s="125"/>
      <c r="QG13" s="125"/>
      <c r="QH13" s="125"/>
      <c r="QI13" s="125"/>
      <c r="QJ13" s="125"/>
      <c r="QK13" s="125"/>
      <c r="QL13" s="125"/>
      <c r="QM13" s="125"/>
      <c r="QN13" s="125"/>
      <c r="QO13" s="125"/>
      <c r="QP13" s="125"/>
      <c r="QQ13" s="125"/>
      <c r="QR13" s="125"/>
      <c r="QS13" s="125"/>
      <c r="QT13" s="125"/>
      <c r="QU13" s="125"/>
      <c r="QV13" s="125"/>
      <c r="QW13" s="125"/>
      <c r="QX13" s="125"/>
      <c r="QY13" s="125"/>
      <c r="QZ13" s="125"/>
      <c r="RA13" s="125"/>
      <c r="RB13" s="125"/>
      <c r="RC13" s="125"/>
      <c r="RD13" s="125"/>
      <c r="RE13" s="125"/>
      <c r="RF13" s="125"/>
      <c r="RG13" s="24">
        <f t="shared" si="0"/>
        <v>60</v>
      </c>
      <c r="RH13" s="60" t="s">
        <v>36</v>
      </c>
      <c r="RI13" s="121">
        <v>1818</v>
      </c>
      <c r="RJ13" s="77">
        <f>RM13+RN13+RO13</f>
        <v>1818</v>
      </c>
      <c r="RK13" s="77">
        <v>1337.4</v>
      </c>
      <c r="RL13" s="121">
        <f t="shared" si="1"/>
        <v>0</v>
      </c>
      <c r="RM13" s="145"/>
      <c r="RN13" s="145">
        <v>1818</v>
      </c>
      <c r="RO13" s="145"/>
      <c r="RP13" s="104">
        <f t="shared" si="2"/>
        <v>1.3593539703903095</v>
      </c>
      <c r="RQ13" s="172" t="s">
        <v>541</v>
      </c>
    </row>
    <row r="14" spans="1:485" s="5" customFormat="1" ht="12.75" customHeight="1" x14ac:dyDescent="0.25">
      <c r="A14" s="61">
        <v>44964</v>
      </c>
      <c r="B14" s="112" t="s">
        <v>579</v>
      </c>
      <c r="C14" s="123"/>
      <c r="D14" s="123"/>
      <c r="E14" s="124"/>
      <c r="F14" s="124"/>
      <c r="G14" s="124"/>
      <c r="H14" s="124"/>
      <c r="I14" s="124"/>
      <c r="J14" s="124"/>
      <c r="K14" s="124"/>
      <c r="L14" s="124"/>
      <c r="M14" s="124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/>
      <c r="GQ14" s="125"/>
      <c r="GR14" s="125"/>
      <c r="GS14" s="125"/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  <c r="HD14" s="125"/>
      <c r="HE14" s="125"/>
      <c r="HF14" s="125"/>
      <c r="HG14" s="125"/>
      <c r="HH14" s="125"/>
      <c r="HI14" s="125"/>
      <c r="HJ14" s="125"/>
      <c r="HK14" s="125"/>
      <c r="HL14" s="125"/>
      <c r="HM14" s="125"/>
      <c r="HN14" s="125"/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/>
      <c r="IG14" s="125"/>
      <c r="IH14" s="125"/>
      <c r="II14" s="125"/>
      <c r="IJ14" s="125"/>
      <c r="IK14" s="125"/>
      <c r="IL14" s="125"/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/>
      <c r="JG14" s="125"/>
      <c r="JH14" s="125"/>
      <c r="JI14" s="125"/>
      <c r="JJ14" s="125"/>
      <c r="JK14" s="125"/>
      <c r="JL14" s="125"/>
      <c r="JM14" s="125"/>
      <c r="JN14" s="125"/>
      <c r="JO14" s="125"/>
      <c r="JP14" s="125"/>
      <c r="JQ14" s="125"/>
      <c r="JR14" s="125"/>
      <c r="JS14" s="125"/>
      <c r="JT14" s="125"/>
      <c r="JU14" s="125"/>
      <c r="JV14" s="125"/>
      <c r="JW14" s="125"/>
      <c r="JX14" s="125"/>
      <c r="JY14" s="125"/>
      <c r="JZ14" s="125"/>
      <c r="KA14" s="125"/>
      <c r="KB14" s="125"/>
      <c r="KC14" s="125"/>
      <c r="KD14" s="125"/>
      <c r="KE14" s="125"/>
      <c r="KF14" s="125"/>
      <c r="KG14" s="125"/>
      <c r="KH14" s="125"/>
      <c r="KI14" s="125"/>
      <c r="KJ14" s="125"/>
      <c r="KK14" s="125"/>
      <c r="KL14" s="125"/>
      <c r="KM14" s="125"/>
      <c r="KN14" s="125"/>
      <c r="KO14" s="125"/>
      <c r="KP14" s="125"/>
      <c r="KQ14" s="125"/>
      <c r="KR14" s="125"/>
      <c r="KS14" s="125"/>
      <c r="KT14" s="125"/>
      <c r="KU14" s="125"/>
      <c r="KV14" s="125"/>
      <c r="KW14" s="125"/>
      <c r="KX14" s="125"/>
      <c r="KY14" s="125"/>
      <c r="KZ14" s="125"/>
      <c r="LA14" s="125"/>
      <c r="LB14" s="125"/>
      <c r="LC14" s="125"/>
      <c r="LD14" s="125"/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125"/>
      <c r="LP14" s="125"/>
      <c r="LQ14" s="125"/>
      <c r="LR14" s="125"/>
      <c r="LS14" s="125"/>
      <c r="LT14" s="125"/>
      <c r="LU14" s="125"/>
      <c r="LV14" s="125"/>
      <c r="LW14" s="125"/>
      <c r="LX14" s="125"/>
      <c r="LY14" s="125"/>
      <c r="LZ14" s="125"/>
      <c r="MA14" s="125"/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/>
      <c r="MU14" s="125"/>
      <c r="MV14" s="125"/>
      <c r="MW14" s="125"/>
      <c r="MX14" s="125"/>
      <c r="MY14" s="125"/>
      <c r="MZ14" s="125"/>
      <c r="NA14" s="125"/>
      <c r="NB14" s="125"/>
      <c r="NC14" s="125"/>
      <c r="ND14" s="125"/>
      <c r="NE14" s="125"/>
      <c r="NF14" s="125"/>
      <c r="NG14" s="125"/>
      <c r="NH14" s="125"/>
      <c r="NI14" s="125"/>
      <c r="NJ14" s="125"/>
      <c r="NK14" s="125"/>
      <c r="NL14" s="125"/>
      <c r="NM14" s="125"/>
      <c r="NN14" s="125"/>
      <c r="NO14" s="125"/>
      <c r="NP14" s="125"/>
      <c r="NQ14" s="125"/>
      <c r="NR14" s="125"/>
      <c r="NS14" s="125"/>
      <c r="NT14" s="125"/>
      <c r="NU14" s="125"/>
      <c r="NV14" s="125"/>
      <c r="NW14" s="125"/>
      <c r="NX14" s="125"/>
      <c r="NY14" s="125"/>
      <c r="NZ14" s="125"/>
      <c r="OA14" s="125"/>
      <c r="OB14" s="125"/>
      <c r="OC14" s="125"/>
      <c r="OD14" s="125"/>
      <c r="OE14" s="125"/>
      <c r="OF14" s="125"/>
      <c r="OG14" s="125"/>
      <c r="OH14" s="125"/>
      <c r="OI14" s="125"/>
      <c r="OJ14" s="125"/>
      <c r="OK14" s="125"/>
      <c r="OL14" s="125"/>
      <c r="OM14" s="125"/>
      <c r="ON14" s="125"/>
      <c r="OO14" s="125"/>
      <c r="OP14" s="125"/>
      <c r="OQ14" s="125"/>
      <c r="OR14" s="125"/>
      <c r="OS14" s="125"/>
      <c r="OT14" s="125"/>
      <c r="OU14" s="125"/>
      <c r="OV14" s="125"/>
      <c r="OW14" s="125"/>
      <c r="OX14" s="125"/>
      <c r="OY14" s="125"/>
      <c r="OZ14" s="125"/>
      <c r="PA14" s="125"/>
      <c r="PB14" s="125"/>
      <c r="PC14" s="125"/>
      <c r="PD14" s="125"/>
      <c r="PE14" s="125"/>
      <c r="PF14" s="125"/>
      <c r="PG14" s="125"/>
      <c r="PH14" s="125"/>
      <c r="PI14" s="125"/>
      <c r="PJ14" s="125"/>
      <c r="PK14" s="125"/>
      <c r="PL14" s="125"/>
      <c r="PM14" s="125"/>
      <c r="PN14" s="125"/>
      <c r="PO14" s="125"/>
      <c r="PP14" s="125"/>
      <c r="PQ14" s="125"/>
      <c r="PR14" s="125"/>
      <c r="PS14" s="125"/>
      <c r="PT14" s="125"/>
      <c r="PU14" s="125"/>
      <c r="PV14" s="125"/>
      <c r="PW14" s="125"/>
      <c r="PX14" s="125"/>
      <c r="PY14" s="125"/>
      <c r="PZ14" s="125"/>
      <c r="QA14" s="125"/>
      <c r="QB14" s="125"/>
      <c r="QC14" s="125"/>
      <c r="QD14" s="125"/>
      <c r="QE14" s="125"/>
      <c r="QF14" s="125"/>
      <c r="QG14" s="125"/>
      <c r="QH14" s="125"/>
      <c r="QI14" s="125"/>
      <c r="QJ14" s="125"/>
      <c r="QK14" s="125"/>
      <c r="QL14" s="125"/>
      <c r="QM14" s="125"/>
      <c r="QN14" s="125"/>
      <c r="QO14" s="125"/>
      <c r="QP14" s="125"/>
      <c r="QQ14" s="125"/>
      <c r="QR14" s="125"/>
      <c r="QS14" s="125"/>
      <c r="QT14" s="125"/>
      <c r="QU14" s="125"/>
      <c r="QV14" s="125"/>
      <c r="QW14" s="125"/>
      <c r="QX14" s="125">
        <v>4</v>
      </c>
      <c r="QY14" s="125"/>
      <c r="QZ14" s="125"/>
      <c r="RA14" s="125"/>
      <c r="RB14" s="125"/>
      <c r="RC14" s="125"/>
      <c r="RD14" s="125"/>
      <c r="RE14" s="125"/>
      <c r="RF14" s="125"/>
      <c r="RG14" s="24">
        <f t="shared" si="0"/>
        <v>4</v>
      </c>
      <c r="RH14" s="60" t="s">
        <v>69</v>
      </c>
      <c r="RI14" s="121">
        <v>353.09</v>
      </c>
      <c r="RJ14" s="77">
        <f>RM14+RN14</f>
        <v>353.09</v>
      </c>
      <c r="RK14" s="77">
        <v>268.16000000000003</v>
      </c>
      <c r="RL14" s="121">
        <f t="shared" si="1"/>
        <v>0</v>
      </c>
      <c r="RM14" s="145"/>
      <c r="RN14" s="145">
        <v>353.09</v>
      </c>
      <c r="RO14" s="145"/>
      <c r="RP14" s="104">
        <f t="shared" si="2"/>
        <v>1.3167139021479712</v>
      </c>
      <c r="RQ14" s="172"/>
    </row>
    <row r="15" spans="1:485" s="5" customFormat="1" ht="12.75" customHeight="1" x14ac:dyDescent="0.25">
      <c r="A15" s="61">
        <v>44964</v>
      </c>
      <c r="B15" s="165" t="s">
        <v>575</v>
      </c>
      <c r="C15" s="123"/>
      <c r="D15" s="123"/>
      <c r="E15" s="124"/>
      <c r="F15" s="124"/>
      <c r="G15" s="124"/>
      <c r="H15" s="124"/>
      <c r="I15" s="124"/>
      <c r="J15" s="124"/>
      <c r="K15" s="124"/>
      <c r="L15" s="124"/>
      <c r="M15" s="124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>
        <v>0.9</v>
      </c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>
        <v>30</v>
      </c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25"/>
      <c r="BP15" s="125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5"/>
      <c r="CJ15" s="125"/>
      <c r="CK15" s="125"/>
      <c r="CL15" s="125"/>
      <c r="CM15" s="125"/>
      <c r="CN15" s="125"/>
      <c r="CO15" s="125"/>
      <c r="CP15" s="125"/>
      <c r="CQ15" s="125"/>
      <c r="CR15" s="125"/>
      <c r="CS15" s="125"/>
      <c r="CT15" s="125"/>
      <c r="CU15" s="125"/>
      <c r="CV15" s="125"/>
      <c r="CW15" s="125"/>
      <c r="CX15" s="125"/>
      <c r="CY15" s="125"/>
      <c r="CZ15" s="125"/>
      <c r="DA15" s="125"/>
      <c r="DB15" s="125"/>
      <c r="DC15" s="125"/>
      <c r="DD15" s="125"/>
      <c r="DE15" s="125"/>
      <c r="DF15" s="125"/>
      <c r="DG15" s="125"/>
      <c r="DH15" s="125"/>
      <c r="DI15" s="125"/>
      <c r="DJ15" s="125"/>
      <c r="DK15" s="125"/>
      <c r="DL15" s="125"/>
      <c r="DM15" s="125"/>
      <c r="DN15" s="125"/>
      <c r="DO15" s="125"/>
      <c r="DP15" s="125"/>
      <c r="DQ15" s="125"/>
      <c r="DR15" s="125"/>
      <c r="DS15" s="125"/>
      <c r="DT15" s="125"/>
      <c r="DU15" s="125"/>
      <c r="DV15" s="125"/>
      <c r="DW15" s="125"/>
      <c r="DX15" s="125"/>
      <c r="DY15" s="125"/>
      <c r="DZ15" s="125"/>
      <c r="EA15" s="125"/>
      <c r="EB15" s="125"/>
      <c r="EC15" s="125"/>
      <c r="ED15" s="125"/>
      <c r="EE15" s="125"/>
      <c r="EF15" s="125"/>
      <c r="EG15" s="125"/>
      <c r="EH15" s="125"/>
      <c r="EI15" s="125"/>
      <c r="EJ15" s="125"/>
      <c r="EK15" s="125"/>
      <c r="EL15" s="125"/>
      <c r="EM15" s="125"/>
      <c r="EN15" s="125"/>
      <c r="EO15" s="125"/>
      <c r="EP15" s="125"/>
      <c r="EQ15" s="125"/>
      <c r="ER15" s="125"/>
      <c r="ES15" s="125"/>
      <c r="ET15" s="125"/>
      <c r="EU15" s="125"/>
      <c r="EV15" s="125"/>
      <c r="EW15" s="125"/>
      <c r="EX15" s="125"/>
      <c r="EY15" s="125"/>
      <c r="EZ15" s="125"/>
      <c r="FA15" s="125"/>
      <c r="FB15" s="125"/>
      <c r="FC15" s="125"/>
      <c r="FD15" s="125"/>
      <c r="FE15" s="125"/>
      <c r="FF15" s="125"/>
      <c r="FG15" s="125"/>
      <c r="FH15" s="125"/>
      <c r="FI15" s="125"/>
      <c r="FJ15" s="125"/>
      <c r="FK15" s="125"/>
      <c r="FL15" s="125"/>
      <c r="FM15" s="125"/>
      <c r="FN15" s="125"/>
      <c r="FO15" s="125"/>
      <c r="FP15" s="125"/>
      <c r="FQ15" s="125"/>
      <c r="FR15" s="125"/>
      <c r="FS15" s="125"/>
      <c r="FT15" s="125"/>
      <c r="FU15" s="125"/>
      <c r="FV15" s="125"/>
      <c r="FW15" s="125"/>
      <c r="FX15" s="125"/>
      <c r="FY15" s="125"/>
      <c r="FZ15" s="125"/>
      <c r="GA15" s="125"/>
      <c r="GB15" s="125"/>
      <c r="GC15" s="125"/>
      <c r="GD15" s="125"/>
      <c r="GE15" s="125"/>
      <c r="GF15" s="125"/>
      <c r="GG15" s="125"/>
      <c r="GH15" s="125"/>
      <c r="GI15" s="125"/>
      <c r="GJ15" s="125"/>
      <c r="GK15" s="125"/>
      <c r="GL15" s="125"/>
      <c r="GM15" s="125"/>
      <c r="GN15" s="125"/>
      <c r="GO15" s="125"/>
      <c r="GP15" s="125"/>
      <c r="GQ15" s="125"/>
      <c r="GR15" s="125"/>
      <c r="GS15" s="125"/>
      <c r="GT15" s="125"/>
      <c r="GU15" s="125"/>
      <c r="GV15" s="125"/>
      <c r="GW15" s="125"/>
      <c r="GX15" s="125"/>
      <c r="GY15" s="125"/>
      <c r="GZ15" s="125"/>
      <c r="HA15" s="125"/>
      <c r="HB15" s="125"/>
      <c r="HC15" s="125"/>
      <c r="HD15" s="125"/>
      <c r="HE15" s="125"/>
      <c r="HF15" s="125"/>
      <c r="HG15" s="125"/>
      <c r="HH15" s="125"/>
      <c r="HI15" s="125"/>
      <c r="HJ15" s="125"/>
      <c r="HK15" s="125"/>
      <c r="HL15" s="125"/>
      <c r="HM15" s="125"/>
      <c r="HN15" s="125"/>
      <c r="HO15" s="125"/>
      <c r="HP15" s="125"/>
      <c r="HQ15" s="125"/>
      <c r="HR15" s="125"/>
      <c r="HS15" s="125"/>
      <c r="HT15" s="125"/>
      <c r="HU15" s="125"/>
      <c r="HV15" s="125"/>
      <c r="HW15" s="125"/>
      <c r="HX15" s="125"/>
      <c r="HY15" s="125"/>
      <c r="HZ15" s="125"/>
      <c r="IA15" s="125"/>
      <c r="IB15" s="125"/>
      <c r="IC15" s="125"/>
      <c r="ID15" s="125"/>
      <c r="IE15" s="125"/>
      <c r="IF15" s="125"/>
      <c r="IG15" s="125"/>
      <c r="IH15" s="125"/>
      <c r="II15" s="125"/>
      <c r="IJ15" s="125"/>
      <c r="IK15" s="125"/>
      <c r="IL15" s="125"/>
      <c r="IM15" s="125"/>
      <c r="IN15" s="125"/>
      <c r="IO15" s="125"/>
      <c r="IP15" s="125"/>
      <c r="IQ15" s="125"/>
      <c r="IR15" s="125"/>
      <c r="IS15" s="125"/>
      <c r="IT15" s="125"/>
      <c r="IU15" s="125"/>
      <c r="IV15" s="125"/>
      <c r="IW15" s="125"/>
      <c r="IX15" s="125"/>
      <c r="IY15" s="125"/>
      <c r="IZ15" s="125"/>
      <c r="JA15" s="125"/>
      <c r="JB15" s="125"/>
      <c r="JC15" s="125"/>
      <c r="JD15" s="125"/>
      <c r="JE15" s="125"/>
      <c r="JF15" s="125"/>
      <c r="JG15" s="125"/>
      <c r="JH15" s="125"/>
      <c r="JI15" s="125"/>
      <c r="JJ15" s="125"/>
      <c r="JK15" s="125"/>
      <c r="JL15" s="125"/>
      <c r="JM15" s="125"/>
      <c r="JN15" s="125"/>
      <c r="JO15" s="125"/>
      <c r="JP15" s="125"/>
      <c r="JQ15" s="125"/>
      <c r="JR15" s="125"/>
      <c r="JS15" s="125"/>
      <c r="JT15" s="125"/>
      <c r="JU15" s="125"/>
      <c r="JV15" s="125"/>
      <c r="JW15" s="125"/>
      <c r="JX15" s="125"/>
      <c r="JY15" s="125"/>
      <c r="JZ15" s="125"/>
      <c r="KA15" s="125"/>
      <c r="KB15" s="125"/>
      <c r="KC15" s="125"/>
      <c r="KD15" s="125"/>
      <c r="KE15" s="125"/>
      <c r="KF15" s="125"/>
      <c r="KG15" s="125"/>
      <c r="KH15" s="125"/>
      <c r="KI15" s="125"/>
      <c r="KJ15" s="125"/>
      <c r="KK15" s="125"/>
      <c r="KL15" s="125"/>
      <c r="KM15" s="125"/>
      <c r="KN15" s="125"/>
      <c r="KO15" s="125"/>
      <c r="KP15" s="125"/>
      <c r="KQ15" s="125"/>
      <c r="KR15" s="125"/>
      <c r="KS15" s="125"/>
      <c r="KT15" s="125"/>
      <c r="KU15" s="125"/>
      <c r="KV15" s="125"/>
      <c r="KW15" s="125"/>
      <c r="KX15" s="125"/>
      <c r="KY15" s="125"/>
      <c r="KZ15" s="125"/>
      <c r="LA15" s="125"/>
      <c r="LB15" s="125"/>
      <c r="LC15" s="125"/>
      <c r="LD15" s="125"/>
      <c r="LE15" s="125"/>
      <c r="LF15" s="125"/>
      <c r="LG15" s="125"/>
      <c r="LH15" s="125"/>
      <c r="LI15" s="125"/>
      <c r="LJ15" s="125"/>
      <c r="LK15" s="125"/>
      <c r="LL15" s="125"/>
      <c r="LM15" s="125"/>
      <c r="LN15" s="125"/>
      <c r="LO15" s="125"/>
      <c r="LP15" s="125"/>
      <c r="LQ15" s="125"/>
      <c r="LR15" s="125"/>
      <c r="LS15" s="125"/>
      <c r="LT15" s="125"/>
      <c r="LU15" s="125"/>
      <c r="LV15" s="125"/>
      <c r="LW15" s="125"/>
      <c r="LX15" s="125"/>
      <c r="LY15" s="125"/>
      <c r="LZ15" s="125"/>
      <c r="MA15" s="125"/>
      <c r="MB15" s="125"/>
      <c r="MC15" s="125"/>
      <c r="MD15" s="125"/>
      <c r="ME15" s="125"/>
      <c r="MF15" s="125"/>
      <c r="MG15" s="125"/>
      <c r="MH15" s="125"/>
      <c r="MI15" s="125"/>
      <c r="MJ15" s="125"/>
      <c r="MK15" s="125"/>
      <c r="ML15" s="125"/>
      <c r="MM15" s="125"/>
      <c r="MN15" s="125"/>
      <c r="MO15" s="125"/>
      <c r="MP15" s="125"/>
      <c r="MQ15" s="125"/>
      <c r="MR15" s="125"/>
      <c r="MS15" s="125"/>
      <c r="MT15" s="125"/>
      <c r="MU15" s="125"/>
      <c r="MV15" s="125"/>
      <c r="MW15" s="125"/>
      <c r="MX15" s="125"/>
      <c r="MY15" s="125"/>
      <c r="MZ15" s="125"/>
      <c r="NA15" s="125"/>
      <c r="NB15" s="125"/>
      <c r="NC15" s="125"/>
      <c r="ND15" s="125"/>
      <c r="NE15" s="125"/>
      <c r="NF15" s="125"/>
      <c r="NG15" s="125"/>
      <c r="NH15" s="125"/>
      <c r="NI15" s="125"/>
      <c r="NJ15" s="125"/>
      <c r="NK15" s="125"/>
      <c r="NL15" s="125"/>
      <c r="NM15" s="125"/>
      <c r="NN15" s="125"/>
      <c r="NO15" s="125"/>
      <c r="NP15" s="125"/>
      <c r="NQ15" s="125"/>
      <c r="NR15" s="125"/>
      <c r="NS15" s="125"/>
      <c r="NT15" s="125"/>
      <c r="NU15" s="125"/>
      <c r="NV15" s="125"/>
      <c r="NW15" s="125"/>
      <c r="NX15" s="125"/>
      <c r="NY15" s="125"/>
      <c r="NZ15" s="125"/>
      <c r="OA15" s="125"/>
      <c r="OB15" s="125"/>
      <c r="OC15" s="125"/>
      <c r="OD15" s="125"/>
      <c r="OE15" s="125"/>
      <c r="OF15" s="125"/>
      <c r="OG15" s="125"/>
      <c r="OH15" s="125"/>
      <c r="OI15" s="125"/>
      <c r="OJ15" s="125"/>
      <c r="OK15" s="125"/>
      <c r="OL15" s="125"/>
      <c r="OM15" s="125"/>
      <c r="ON15" s="125"/>
      <c r="OO15" s="125"/>
      <c r="OP15" s="125"/>
      <c r="OQ15" s="125"/>
      <c r="OR15" s="125"/>
      <c r="OS15" s="125"/>
      <c r="OT15" s="125"/>
      <c r="OU15" s="125"/>
      <c r="OV15" s="125"/>
      <c r="OW15" s="125"/>
      <c r="OX15" s="125"/>
      <c r="OY15" s="125"/>
      <c r="OZ15" s="125"/>
      <c r="PA15" s="125"/>
      <c r="PB15" s="125"/>
      <c r="PC15" s="125"/>
      <c r="PD15" s="125"/>
      <c r="PE15" s="125"/>
      <c r="PF15" s="125"/>
      <c r="PG15" s="125"/>
      <c r="PH15" s="125"/>
      <c r="PI15" s="125"/>
      <c r="PJ15" s="125"/>
      <c r="PK15" s="125"/>
      <c r="PL15" s="125"/>
      <c r="PM15" s="125"/>
      <c r="PN15" s="125"/>
      <c r="PO15" s="125"/>
      <c r="PP15" s="125"/>
      <c r="PQ15" s="125"/>
      <c r="PR15" s="125"/>
      <c r="PS15" s="125"/>
      <c r="PT15" s="125"/>
      <c r="PU15" s="125"/>
      <c r="PV15" s="125"/>
      <c r="PW15" s="125"/>
      <c r="PX15" s="125"/>
      <c r="PY15" s="125"/>
      <c r="PZ15" s="125"/>
      <c r="QA15" s="125"/>
      <c r="QB15" s="125"/>
      <c r="QC15" s="125"/>
      <c r="QD15" s="125"/>
      <c r="QE15" s="125"/>
      <c r="QF15" s="125"/>
      <c r="QG15" s="125"/>
      <c r="QH15" s="125"/>
      <c r="QI15" s="125"/>
      <c r="QJ15" s="125"/>
      <c r="QK15" s="125"/>
      <c r="QL15" s="125"/>
      <c r="QM15" s="125"/>
      <c r="QN15" s="125"/>
      <c r="QO15" s="125"/>
      <c r="QP15" s="125"/>
      <c r="QQ15" s="125"/>
      <c r="QR15" s="125"/>
      <c r="QS15" s="125"/>
      <c r="QT15" s="125"/>
      <c r="QU15" s="125"/>
      <c r="QV15" s="125"/>
      <c r="QW15" s="125"/>
      <c r="QX15" s="125"/>
      <c r="QY15" s="125"/>
      <c r="QZ15" s="125"/>
      <c r="RA15" s="125"/>
      <c r="RB15" s="125"/>
      <c r="RC15" s="125"/>
      <c r="RD15" s="125"/>
      <c r="RE15" s="125"/>
      <c r="RF15" s="125"/>
      <c r="RG15" s="24">
        <f t="shared" si="0"/>
        <v>30.9</v>
      </c>
      <c r="RH15" s="60" t="s">
        <v>36</v>
      </c>
      <c r="RI15" s="121">
        <v>1548.14</v>
      </c>
      <c r="RJ15" s="77">
        <f>RM15+RN15</f>
        <v>1548.14</v>
      </c>
      <c r="RK15" s="77">
        <v>976.82999999999993</v>
      </c>
      <c r="RL15" s="121">
        <f t="shared" si="1"/>
        <v>0</v>
      </c>
      <c r="RM15" s="145">
        <v>1548.14</v>
      </c>
      <c r="RN15" s="145"/>
      <c r="RO15" s="145"/>
      <c r="RP15" s="104">
        <f t="shared" si="2"/>
        <v>1.5848612348105608</v>
      </c>
      <c r="RQ15" s="172"/>
    </row>
    <row r="16" spans="1:485" s="5" customFormat="1" ht="12.75" customHeight="1" x14ac:dyDescent="0.25">
      <c r="A16" s="61">
        <v>44964</v>
      </c>
      <c r="B16" s="165" t="s">
        <v>568</v>
      </c>
      <c r="C16" s="123"/>
      <c r="D16" s="123"/>
      <c r="E16" s="124"/>
      <c r="F16" s="124"/>
      <c r="G16" s="124"/>
      <c r="H16" s="124"/>
      <c r="I16" s="124"/>
      <c r="J16" s="124"/>
      <c r="K16" s="124"/>
      <c r="L16" s="124"/>
      <c r="M16" s="124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5"/>
      <c r="BA16" s="125"/>
      <c r="BB16" s="125"/>
      <c r="BC16" s="125"/>
      <c r="BD16" s="125"/>
      <c r="BE16" s="125"/>
      <c r="BF16" s="125"/>
      <c r="BG16" s="125"/>
      <c r="BH16" s="125"/>
      <c r="BI16" s="125"/>
      <c r="BJ16" s="125"/>
      <c r="BK16" s="125"/>
      <c r="BL16" s="125"/>
      <c r="BM16" s="125"/>
      <c r="BN16" s="125"/>
      <c r="BO16" s="125"/>
      <c r="BP16" s="125"/>
      <c r="BQ16" s="125"/>
      <c r="BR16" s="125"/>
      <c r="BS16" s="125"/>
      <c r="BT16" s="125"/>
      <c r="BU16" s="125"/>
      <c r="BV16" s="125"/>
      <c r="BW16" s="125"/>
      <c r="BX16" s="125"/>
      <c r="BY16" s="125"/>
      <c r="BZ16" s="125"/>
      <c r="CA16" s="125"/>
      <c r="CB16" s="125"/>
      <c r="CC16" s="125"/>
      <c r="CD16" s="125"/>
      <c r="CE16" s="125"/>
      <c r="CF16" s="125"/>
      <c r="CG16" s="125"/>
      <c r="CH16" s="125"/>
      <c r="CI16" s="125"/>
      <c r="CJ16" s="125"/>
      <c r="CK16" s="125"/>
      <c r="CL16" s="125"/>
      <c r="CM16" s="125"/>
      <c r="CN16" s="125"/>
      <c r="CO16" s="125"/>
      <c r="CP16" s="125"/>
      <c r="CQ16" s="125"/>
      <c r="CR16" s="125"/>
      <c r="CS16" s="125"/>
      <c r="CT16" s="125"/>
      <c r="CU16" s="125"/>
      <c r="CV16" s="125"/>
      <c r="CW16" s="125"/>
      <c r="CX16" s="125"/>
      <c r="CY16" s="125"/>
      <c r="CZ16" s="125"/>
      <c r="DA16" s="125"/>
      <c r="DB16" s="125"/>
      <c r="DC16" s="125"/>
      <c r="DD16" s="125"/>
      <c r="DE16" s="125"/>
      <c r="DF16" s="125"/>
      <c r="DG16" s="125"/>
      <c r="DH16" s="125"/>
      <c r="DI16" s="125"/>
      <c r="DJ16" s="125"/>
      <c r="DK16" s="125"/>
      <c r="DL16" s="125"/>
      <c r="DM16" s="125"/>
      <c r="DN16" s="125"/>
      <c r="DO16" s="125"/>
      <c r="DP16" s="125"/>
      <c r="DQ16" s="125"/>
      <c r="DR16" s="125"/>
      <c r="DS16" s="125"/>
      <c r="DT16" s="125"/>
      <c r="DU16" s="125"/>
      <c r="DV16" s="125"/>
      <c r="DW16" s="125"/>
      <c r="DX16" s="125"/>
      <c r="DY16" s="125"/>
      <c r="DZ16" s="125"/>
      <c r="EA16" s="125"/>
      <c r="EB16" s="125"/>
      <c r="EC16" s="125"/>
      <c r="ED16" s="125"/>
      <c r="EE16" s="125"/>
      <c r="EF16" s="125"/>
      <c r="EG16" s="125"/>
      <c r="EH16" s="125"/>
      <c r="EI16" s="125"/>
      <c r="EJ16" s="125"/>
      <c r="EK16" s="125"/>
      <c r="EL16" s="125"/>
      <c r="EM16" s="125"/>
      <c r="EN16" s="125"/>
      <c r="EO16" s="125"/>
      <c r="EP16" s="125"/>
      <c r="EQ16" s="125"/>
      <c r="ER16" s="125"/>
      <c r="ES16" s="125"/>
      <c r="ET16" s="125"/>
      <c r="EU16" s="125"/>
      <c r="EV16" s="125"/>
      <c r="EW16" s="125"/>
      <c r="EX16" s="125"/>
      <c r="EY16" s="125"/>
      <c r="EZ16" s="125"/>
      <c r="FA16" s="125"/>
      <c r="FB16" s="125"/>
      <c r="FC16" s="125"/>
      <c r="FD16" s="125"/>
      <c r="FE16" s="125"/>
      <c r="FF16" s="125"/>
      <c r="FG16" s="125"/>
      <c r="FH16" s="125"/>
      <c r="FI16" s="125"/>
      <c r="FJ16" s="125"/>
      <c r="FK16" s="125"/>
      <c r="FL16" s="125"/>
      <c r="FM16" s="125"/>
      <c r="FN16" s="125"/>
      <c r="FO16" s="125"/>
      <c r="FP16" s="125"/>
      <c r="FQ16" s="125"/>
      <c r="FR16" s="125"/>
      <c r="FS16" s="125"/>
      <c r="FT16" s="125"/>
      <c r="FU16" s="125"/>
      <c r="FV16" s="125"/>
      <c r="FW16" s="125"/>
      <c r="FX16" s="125"/>
      <c r="FY16" s="125"/>
      <c r="FZ16" s="125"/>
      <c r="GA16" s="125"/>
      <c r="GB16" s="125"/>
      <c r="GC16" s="125"/>
      <c r="GD16" s="125"/>
      <c r="GE16" s="125"/>
      <c r="GF16" s="125"/>
      <c r="GG16" s="125"/>
      <c r="GH16" s="125"/>
      <c r="GI16" s="125"/>
      <c r="GJ16" s="125"/>
      <c r="GK16" s="125"/>
      <c r="GL16" s="125"/>
      <c r="GM16" s="125"/>
      <c r="GN16" s="125"/>
      <c r="GO16" s="125"/>
      <c r="GP16" s="125"/>
      <c r="GQ16" s="125"/>
      <c r="GR16" s="125"/>
      <c r="GS16" s="125"/>
      <c r="GT16" s="125"/>
      <c r="GU16" s="125"/>
      <c r="GV16" s="125"/>
      <c r="GW16" s="125"/>
      <c r="GX16" s="125"/>
      <c r="GY16" s="125"/>
      <c r="GZ16" s="125"/>
      <c r="HA16" s="125"/>
      <c r="HB16" s="125"/>
      <c r="HC16" s="125"/>
      <c r="HD16" s="125"/>
      <c r="HE16" s="125"/>
      <c r="HF16" s="125"/>
      <c r="HG16" s="125"/>
      <c r="HH16" s="125"/>
      <c r="HI16" s="125"/>
      <c r="HJ16" s="125"/>
      <c r="HK16" s="125"/>
      <c r="HL16" s="125"/>
      <c r="HM16" s="125"/>
      <c r="HN16" s="125"/>
      <c r="HO16" s="125"/>
      <c r="HP16" s="125"/>
      <c r="HQ16" s="125"/>
      <c r="HR16" s="125"/>
      <c r="HS16" s="125"/>
      <c r="HT16" s="125"/>
      <c r="HU16" s="125"/>
      <c r="HV16" s="125"/>
      <c r="HW16" s="125"/>
      <c r="HX16" s="125"/>
      <c r="HY16" s="125"/>
      <c r="HZ16" s="125"/>
      <c r="IA16" s="125"/>
      <c r="IB16" s="125"/>
      <c r="IC16" s="125"/>
      <c r="ID16" s="125"/>
      <c r="IE16" s="125"/>
      <c r="IF16" s="125"/>
      <c r="IG16" s="125"/>
      <c r="IH16" s="125"/>
      <c r="II16" s="125"/>
      <c r="IJ16" s="125"/>
      <c r="IK16" s="125"/>
      <c r="IL16" s="125"/>
      <c r="IM16" s="125"/>
      <c r="IN16" s="125"/>
      <c r="IO16" s="125"/>
      <c r="IP16" s="125"/>
      <c r="IQ16" s="125"/>
      <c r="IR16" s="125"/>
      <c r="IS16" s="125"/>
      <c r="IT16" s="125"/>
      <c r="IU16" s="125"/>
      <c r="IV16" s="125"/>
      <c r="IW16" s="125"/>
      <c r="IX16" s="125"/>
      <c r="IY16" s="125"/>
      <c r="IZ16" s="125"/>
      <c r="JA16" s="125"/>
      <c r="JB16" s="125"/>
      <c r="JC16" s="125"/>
      <c r="JD16" s="125"/>
      <c r="JE16" s="125"/>
      <c r="JF16" s="125"/>
      <c r="JG16" s="125"/>
      <c r="JH16" s="125"/>
      <c r="JI16" s="125"/>
      <c r="JJ16" s="125"/>
      <c r="JK16" s="125"/>
      <c r="JL16" s="125"/>
      <c r="JM16" s="125"/>
      <c r="JN16" s="125"/>
      <c r="JO16" s="125"/>
      <c r="JP16" s="125"/>
      <c r="JQ16" s="125"/>
      <c r="JR16" s="125"/>
      <c r="JS16" s="125"/>
      <c r="JT16" s="125"/>
      <c r="JU16" s="125"/>
      <c r="JV16" s="125"/>
      <c r="JW16" s="125"/>
      <c r="JX16" s="125"/>
      <c r="JY16" s="125"/>
      <c r="JZ16" s="125"/>
      <c r="KA16" s="125"/>
      <c r="KB16" s="125"/>
      <c r="KC16" s="125"/>
      <c r="KD16" s="125"/>
      <c r="KE16" s="125"/>
      <c r="KF16" s="125"/>
      <c r="KG16" s="125"/>
      <c r="KH16" s="125"/>
      <c r="KI16" s="125"/>
      <c r="KJ16" s="125"/>
      <c r="KK16" s="125"/>
      <c r="KL16" s="125"/>
      <c r="KM16" s="125"/>
      <c r="KN16" s="125"/>
      <c r="KO16" s="125"/>
      <c r="KP16" s="125"/>
      <c r="KQ16" s="125"/>
      <c r="KR16" s="125"/>
      <c r="KS16" s="125"/>
      <c r="KT16" s="125"/>
      <c r="KU16" s="125"/>
      <c r="KV16" s="125"/>
      <c r="KW16" s="125"/>
      <c r="KX16" s="125"/>
      <c r="KY16" s="125"/>
      <c r="KZ16" s="125"/>
      <c r="LA16" s="125"/>
      <c r="LB16" s="125"/>
      <c r="LC16" s="125"/>
      <c r="LD16" s="125"/>
      <c r="LE16" s="125"/>
      <c r="LF16" s="125"/>
      <c r="LG16" s="125"/>
      <c r="LH16" s="125"/>
      <c r="LI16" s="125"/>
      <c r="LJ16" s="125"/>
      <c r="LK16" s="125"/>
      <c r="LL16" s="125"/>
      <c r="LM16" s="125"/>
      <c r="LN16" s="125"/>
      <c r="LO16" s="125"/>
      <c r="LP16" s="125"/>
      <c r="LQ16" s="125"/>
      <c r="LR16" s="125"/>
      <c r="LS16" s="125"/>
      <c r="LT16" s="125"/>
      <c r="LU16" s="125"/>
      <c r="LV16" s="125"/>
      <c r="LW16" s="125"/>
      <c r="LX16" s="125"/>
      <c r="LY16" s="125"/>
      <c r="LZ16" s="125"/>
      <c r="MA16" s="125"/>
      <c r="MB16" s="125"/>
      <c r="MC16" s="125"/>
      <c r="MD16" s="125"/>
      <c r="ME16" s="125"/>
      <c r="MF16" s="125"/>
      <c r="MG16" s="125"/>
      <c r="MH16" s="125"/>
      <c r="MI16" s="125"/>
      <c r="MJ16" s="125"/>
      <c r="MK16" s="125"/>
      <c r="ML16" s="125"/>
      <c r="MM16" s="125"/>
      <c r="MN16" s="125"/>
      <c r="MO16" s="125"/>
      <c r="MP16" s="125"/>
      <c r="MQ16" s="125"/>
      <c r="MR16" s="125"/>
      <c r="MS16" s="125"/>
      <c r="MT16" s="125"/>
      <c r="MU16" s="125"/>
      <c r="MV16" s="125"/>
      <c r="MW16" s="125"/>
      <c r="MX16" s="125"/>
      <c r="MY16" s="125"/>
      <c r="MZ16" s="125"/>
      <c r="NA16" s="125"/>
      <c r="NB16" s="125"/>
      <c r="NC16" s="125"/>
      <c r="ND16" s="125"/>
      <c r="NE16" s="125"/>
      <c r="NF16" s="125"/>
      <c r="NG16" s="125"/>
      <c r="NH16" s="125"/>
      <c r="NI16" s="125"/>
      <c r="NJ16" s="125"/>
      <c r="NK16" s="125"/>
      <c r="NL16" s="125"/>
      <c r="NM16" s="125"/>
      <c r="NN16" s="125"/>
      <c r="NO16" s="125"/>
      <c r="NP16" s="125"/>
      <c r="NQ16" s="125"/>
      <c r="NR16" s="125"/>
      <c r="NS16" s="125"/>
      <c r="NT16" s="125"/>
      <c r="NU16" s="125"/>
      <c r="NV16" s="125"/>
      <c r="NW16" s="125"/>
      <c r="NX16" s="125"/>
      <c r="NY16" s="125"/>
      <c r="NZ16" s="125"/>
      <c r="OA16" s="125"/>
      <c r="OB16" s="125"/>
      <c r="OC16" s="125"/>
      <c r="OD16" s="125"/>
      <c r="OE16" s="125"/>
      <c r="OF16" s="125"/>
      <c r="OG16" s="125"/>
      <c r="OH16" s="125"/>
      <c r="OI16" s="125"/>
      <c r="OJ16" s="125"/>
      <c r="OK16" s="125"/>
      <c r="OL16" s="125"/>
      <c r="OM16" s="125"/>
      <c r="ON16" s="125"/>
      <c r="OO16" s="125"/>
      <c r="OP16" s="125"/>
      <c r="OQ16" s="125"/>
      <c r="OR16" s="125"/>
      <c r="OS16" s="125"/>
      <c r="OT16" s="125"/>
      <c r="OU16" s="125"/>
      <c r="OV16" s="125"/>
      <c r="OW16" s="125"/>
      <c r="OX16" s="125"/>
      <c r="OY16" s="125"/>
      <c r="OZ16" s="125"/>
      <c r="PA16" s="125"/>
      <c r="PB16" s="125"/>
      <c r="PC16" s="125"/>
      <c r="PD16" s="125"/>
      <c r="PE16" s="125"/>
      <c r="PF16" s="125"/>
      <c r="PG16" s="125"/>
      <c r="PH16" s="125"/>
      <c r="PI16" s="125"/>
      <c r="PJ16" s="125"/>
      <c r="PK16" s="125">
        <v>10</v>
      </c>
      <c r="PL16" s="125"/>
      <c r="PM16" s="125"/>
      <c r="PN16" s="125"/>
      <c r="PO16" s="125"/>
      <c r="PP16" s="125"/>
      <c r="PQ16" s="125"/>
      <c r="PR16" s="125"/>
      <c r="PS16" s="125"/>
      <c r="PT16" s="125"/>
      <c r="PU16" s="125"/>
      <c r="PV16" s="125"/>
      <c r="PW16" s="125"/>
      <c r="PX16" s="125"/>
      <c r="PY16" s="125"/>
      <c r="PZ16" s="125"/>
      <c r="QA16" s="125"/>
      <c r="QB16" s="125"/>
      <c r="QC16" s="125"/>
      <c r="QD16" s="125"/>
      <c r="QE16" s="125"/>
      <c r="QF16" s="125"/>
      <c r="QG16" s="125"/>
      <c r="QH16" s="125"/>
      <c r="QI16" s="125"/>
      <c r="QJ16" s="125"/>
      <c r="QK16" s="125"/>
      <c r="QL16" s="125"/>
      <c r="QM16" s="125"/>
      <c r="QN16" s="125"/>
      <c r="QO16" s="125"/>
      <c r="QP16" s="125"/>
      <c r="QQ16" s="125"/>
      <c r="QR16" s="125"/>
      <c r="QS16" s="125"/>
      <c r="QT16" s="125"/>
      <c r="QU16" s="125"/>
      <c r="QV16" s="125"/>
      <c r="QW16" s="125"/>
      <c r="QX16" s="125"/>
      <c r="QY16" s="125"/>
      <c r="QZ16" s="125"/>
      <c r="RA16" s="125"/>
      <c r="RB16" s="125"/>
      <c r="RC16" s="125"/>
      <c r="RD16" s="125"/>
      <c r="RE16" s="125"/>
      <c r="RF16" s="125"/>
      <c r="RG16" s="24">
        <f t="shared" si="0"/>
        <v>10</v>
      </c>
      <c r="RH16" s="60" t="s">
        <v>69</v>
      </c>
      <c r="RI16" s="121">
        <v>1068</v>
      </c>
      <c r="RJ16" s="77">
        <f>RM16+RN16</f>
        <v>1068</v>
      </c>
      <c r="RK16" s="77">
        <v>747.4</v>
      </c>
      <c r="RL16" s="121">
        <f t="shared" si="1"/>
        <v>0</v>
      </c>
      <c r="RM16" s="145">
        <v>534</v>
      </c>
      <c r="RN16" s="145">
        <v>534</v>
      </c>
      <c r="RO16" s="145"/>
      <c r="RP16" s="104">
        <f t="shared" si="2"/>
        <v>1.428953706181429</v>
      </c>
      <c r="RQ16" s="172"/>
    </row>
    <row r="17" spans="1:485" s="5" customFormat="1" ht="12.75" customHeight="1" x14ac:dyDescent="0.25">
      <c r="A17" s="61">
        <v>44964</v>
      </c>
      <c r="B17" s="102" t="s">
        <v>578</v>
      </c>
      <c r="C17" s="123"/>
      <c r="D17" s="123"/>
      <c r="E17" s="124"/>
      <c r="F17" s="124"/>
      <c r="G17" s="124"/>
      <c r="H17" s="124"/>
      <c r="I17" s="124"/>
      <c r="J17" s="124"/>
      <c r="K17" s="124"/>
      <c r="L17" s="124"/>
      <c r="M17" s="124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5"/>
      <c r="BA17" s="125"/>
      <c r="BB17" s="125"/>
      <c r="BC17" s="125"/>
      <c r="BD17" s="125"/>
      <c r="BE17" s="125"/>
      <c r="BF17" s="125"/>
      <c r="BG17" s="125"/>
      <c r="BH17" s="125"/>
      <c r="BI17" s="125"/>
      <c r="BJ17" s="125"/>
      <c r="BK17" s="125"/>
      <c r="BL17" s="125"/>
      <c r="BM17" s="125"/>
      <c r="BN17" s="125"/>
      <c r="BO17" s="125"/>
      <c r="BP17" s="125"/>
      <c r="BQ17" s="125"/>
      <c r="BR17" s="125"/>
      <c r="BS17" s="125"/>
      <c r="BT17" s="125"/>
      <c r="BU17" s="125"/>
      <c r="BV17" s="125"/>
      <c r="BW17" s="125"/>
      <c r="BX17" s="125"/>
      <c r="BY17" s="125"/>
      <c r="BZ17" s="125"/>
      <c r="CA17" s="125"/>
      <c r="CB17" s="125"/>
      <c r="CC17" s="125"/>
      <c r="CD17" s="125"/>
      <c r="CE17" s="125"/>
      <c r="CF17" s="125"/>
      <c r="CG17" s="125"/>
      <c r="CH17" s="125"/>
      <c r="CI17" s="125"/>
      <c r="CJ17" s="125"/>
      <c r="CK17" s="125"/>
      <c r="CL17" s="125"/>
      <c r="CM17" s="125"/>
      <c r="CN17" s="125"/>
      <c r="CO17" s="125"/>
      <c r="CP17" s="125"/>
      <c r="CQ17" s="125"/>
      <c r="CR17" s="125"/>
      <c r="CS17" s="125"/>
      <c r="CT17" s="125"/>
      <c r="CU17" s="125"/>
      <c r="CV17" s="125"/>
      <c r="CW17" s="125"/>
      <c r="CX17" s="125"/>
      <c r="CY17" s="125"/>
      <c r="CZ17" s="125"/>
      <c r="DA17" s="125"/>
      <c r="DB17" s="125"/>
      <c r="DC17" s="125"/>
      <c r="DD17" s="125"/>
      <c r="DE17" s="125"/>
      <c r="DF17" s="125"/>
      <c r="DG17" s="125"/>
      <c r="DH17" s="125"/>
      <c r="DI17" s="125"/>
      <c r="DJ17" s="125"/>
      <c r="DK17" s="125"/>
      <c r="DL17" s="125"/>
      <c r="DM17" s="125"/>
      <c r="DN17" s="125"/>
      <c r="DO17" s="125"/>
      <c r="DP17" s="125"/>
      <c r="DQ17" s="125"/>
      <c r="DR17" s="125"/>
      <c r="DS17" s="125"/>
      <c r="DT17" s="125"/>
      <c r="DU17" s="125"/>
      <c r="DV17" s="125"/>
      <c r="DW17" s="125"/>
      <c r="DX17" s="125"/>
      <c r="DY17" s="125"/>
      <c r="DZ17" s="125"/>
      <c r="EA17" s="125"/>
      <c r="EB17" s="125"/>
      <c r="EC17" s="125"/>
      <c r="ED17" s="125"/>
      <c r="EE17" s="125"/>
      <c r="EF17" s="125"/>
      <c r="EG17" s="125"/>
      <c r="EH17" s="125"/>
      <c r="EI17" s="125"/>
      <c r="EJ17" s="125"/>
      <c r="EK17" s="125"/>
      <c r="EL17" s="125"/>
      <c r="EM17" s="125"/>
      <c r="EN17" s="125"/>
      <c r="EO17" s="125"/>
      <c r="EP17" s="125"/>
      <c r="EQ17" s="125"/>
      <c r="ER17" s="125"/>
      <c r="ES17" s="125"/>
      <c r="ET17" s="125"/>
      <c r="EU17" s="125"/>
      <c r="EV17" s="125"/>
      <c r="EW17" s="125"/>
      <c r="EX17" s="125"/>
      <c r="EY17" s="125"/>
      <c r="EZ17" s="125"/>
      <c r="FA17" s="125"/>
      <c r="FB17" s="125"/>
      <c r="FC17" s="125"/>
      <c r="FD17" s="125"/>
      <c r="FE17" s="125"/>
      <c r="FF17" s="125"/>
      <c r="FG17" s="125"/>
      <c r="FH17" s="125"/>
      <c r="FI17" s="125"/>
      <c r="FJ17" s="125"/>
      <c r="FK17" s="125"/>
      <c r="FL17" s="125"/>
      <c r="FM17" s="125"/>
      <c r="FN17" s="125"/>
      <c r="FO17" s="125"/>
      <c r="FP17" s="125"/>
      <c r="FQ17" s="125"/>
      <c r="FR17" s="125"/>
      <c r="FS17" s="125"/>
      <c r="FT17" s="125"/>
      <c r="FU17" s="125"/>
      <c r="FV17" s="125"/>
      <c r="FW17" s="125"/>
      <c r="FX17" s="125"/>
      <c r="FY17" s="125"/>
      <c r="FZ17" s="125"/>
      <c r="GA17" s="125"/>
      <c r="GB17" s="125"/>
      <c r="GC17" s="125"/>
      <c r="GD17" s="125"/>
      <c r="GE17" s="125"/>
      <c r="GF17" s="125"/>
      <c r="GG17" s="125"/>
      <c r="GH17" s="125"/>
      <c r="GI17" s="125"/>
      <c r="GJ17" s="125"/>
      <c r="GK17" s="125"/>
      <c r="GL17" s="125"/>
      <c r="GM17" s="125"/>
      <c r="GN17" s="125"/>
      <c r="GO17" s="125"/>
      <c r="GP17" s="125"/>
      <c r="GQ17" s="125"/>
      <c r="GR17" s="125"/>
      <c r="GS17" s="125"/>
      <c r="GT17" s="125"/>
      <c r="GU17" s="125"/>
      <c r="GV17" s="125"/>
      <c r="GW17" s="125"/>
      <c r="GX17" s="125"/>
      <c r="GY17" s="125"/>
      <c r="GZ17" s="125"/>
      <c r="HA17" s="125"/>
      <c r="HB17" s="125"/>
      <c r="HC17" s="125"/>
      <c r="HD17" s="125"/>
      <c r="HE17" s="125"/>
      <c r="HF17" s="125"/>
      <c r="HG17" s="125"/>
      <c r="HH17" s="125"/>
      <c r="HI17" s="125"/>
      <c r="HJ17" s="125"/>
      <c r="HK17" s="125"/>
      <c r="HL17" s="125"/>
      <c r="HM17" s="125"/>
      <c r="HN17" s="125"/>
      <c r="HO17" s="125"/>
      <c r="HP17" s="125"/>
      <c r="HQ17" s="125"/>
      <c r="HR17" s="125"/>
      <c r="HS17" s="125"/>
      <c r="HT17" s="125"/>
      <c r="HU17" s="125"/>
      <c r="HV17" s="125"/>
      <c r="HW17" s="125"/>
      <c r="HX17" s="125"/>
      <c r="HY17" s="125"/>
      <c r="HZ17" s="125"/>
      <c r="IA17" s="125"/>
      <c r="IB17" s="125"/>
      <c r="IC17" s="125"/>
      <c r="ID17" s="125"/>
      <c r="IE17" s="125"/>
      <c r="IF17" s="125"/>
      <c r="IG17" s="125"/>
      <c r="IH17" s="125"/>
      <c r="II17" s="125"/>
      <c r="IJ17" s="125"/>
      <c r="IK17" s="125"/>
      <c r="IL17" s="125"/>
      <c r="IM17" s="125"/>
      <c r="IN17" s="125"/>
      <c r="IO17" s="125"/>
      <c r="IP17" s="125"/>
      <c r="IQ17" s="125"/>
      <c r="IR17" s="125"/>
      <c r="IS17" s="125"/>
      <c r="IT17" s="125"/>
      <c r="IU17" s="125"/>
      <c r="IV17" s="125"/>
      <c r="IW17" s="125"/>
      <c r="IX17" s="125"/>
      <c r="IY17" s="125"/>
      <c r="IZ17" s="125"/>
      <c r="JA17" s="125"/>
      <c r="JB17" s="125"/>
      <c r="JC17" s="125"/>
      <c r="JD17" s="125"/>
      <c r="JE17" s="125"/>
      <c r="JF17" s="125"/>
      <c r="JG17" s="125"/>
      <c r="JH17" s="125"/>
      <c r="JI17" s="125"/>
      <c r="JJ17" s="125"/>
      <c r="JK17" s="125"/>
      <c r="JL17" s="125"/>
      <c r="JM17" s="125"/>
      <c r="JN17" s="125"/>
      <c r="JO17" s="125"/>
      <c r="JP17" s="125"/>
      <c r="JQ17" s="125"/>
      <c r="JR17" s="125"/>
      <c r="JS17" s="125"/>
      <c r="JT17" s="125"/>
      <c r="JU17" s="125"/>
      <c r="JV17" s="125"/>
      <c r="JW17" s="125"/>
      <c r="JX17" s="125"/>
      <c r="JY17" s="125"/>
      <c r="JZ17" s="125"/>
      <c r="KA17" s="125"/>
      <c r="KB17" s="125"/>
      <c r="KC17" s="125"/>
      <c r="KD17" s="125"/>
      <c r="KE17" s="125"/>
      <c r="KF17" s="125"/>
      <c r="KG17" s="125"/>
      <c r="KH17" s="125"/>
      <c r="KI17" s="125"/>
      <c r="KJ17" s="125"/>
      <c r="KK17" s="125"/>
      <c r="KL17" s="125"/>
      <c r="KM17" s="125"/>
      <c r="KN17" s="125"/>
      <c r="KO17" s="125"/>
      <c r="KP17" s="125"/>
      <c r="KQ17" s="125"/>
      <c r="KR17" s="125"/>
      <c r="KS17" s="125"/>
      <c r="KT17" s="125"/>
      <c r="KU17" s="125"/>
      <c r="KV17" s="125"/>
      <c r="KW17" s="125"/>
      <c r="KX17" s="125"/>
      <c r="KY17" s="125"/>
      <c r="KZ17" s="125"/>
      <c r="LA17" s="125"/>
      <c r="LB17" s="125"/>
      <c r="LC17" s="125"/>
      <c r="LD17" s="125"/>
      <c r="LE17" s="125"/>
      <c r="LF17" s="125"/>
      <c r="LG17" s="125"/>
      <c r="LH17" s="125"/>
      <c r="LI17" s="125"/>
      <c r="LJ17" s="125"/>
      <c r="LK17" s="125"/>
      <c r="LL17" s="125"/>
      <c r="LM17" s="125"/>
      <c r="LN17" s="125"/>
      <c r="LO17" s="125"/>
      <c r="LP17" s="125"/>
      <c r="LQ17" s="125"/>
      <c r="LR17" s="125"/>
      <c r="LS17" s="125"/>
      <c r="LT17" s="125"/>
      <c r="LU17" s="125"/>
      <c r="LV17" s="125"/>
      <c r="LW17" s="125"/>
      <c r="LX17" s="125"/>
      <c r="LY17" s="125"/>
      <c r="LZ17" s="125"/>
      <c r="MA17" s="125"/>
      <c r="MB17" s="125"/>
      <c r="MC17" s="125"/>
      <c r="MD17" s="125"/>
      <c r="ME17" s="125"/>
      <c r="MF17" s="125"/>
      <c r="MG17" s="125"/>
      <c r="MH17" s="125"/>
      <c r="MI17" s="125"/>
      <c r="MJ17" s="125"/>
      <c r="MK17" s="125"/>
      <c r="ML17" s="125"/>
      <c r="MM17" s="125"/>
      <c r="MN17" s="125"/>
      <c r="MO17" s="125"/>
      <c r="MP17" s="125"/>
      <c r="MQ17" s="125"/>
      <c r="MR17" s="125"/>
      <c r="MS17" s="125"/>
      <c r="MT17" s="125"/>
      <c r="MU17" s="125"/>
      <c r="MV17" s="125"/>
      <c r="MW17" s="125"/>
      <c r="MX17" s="125"/>
      <c r="MY17" s="125"/>
      <c r="MZ17" s="125"/>
      <c r="NA17" s="125"/>
      <c r="NB17" s="125"/>
      <c r="NC17" s="125"/>
      <c r="ND17" s="125"/>
      <c r="NE17" s="125"/>
      <c r="NF17" s="125"/>
      <c r="NG17" s="125"/>
      <c r="NH17" s="125"/>
      <c r="NI17" s="125"/>
      <c r="NJ17" s="125"/>
      <c r="NK17" s="125"/>
      <c r="NL17" s="125"/>
      <c r="NM17" s="125"/>
      <c r="NN17" s="125"/>
      <c r="NO17" s="125"/>
      <c r="NP17" s="125"/>
      <c r="NQ17" s="125"/>
      <c r="NR17" s="125"/>
      <c r="NS17" s="125"/>
      <c r="NT17" s="125"/>
      <c r="NU17" s="125"/>
      <c r="NV17" s="125"/>
      <c r="NW17" s="125"/>
      <c r="NX17" s="125"/>
      <c r="NY17" s="125"/>
      <c r="NZ17" s="125"/>
      <c r="OA17" s="125"/>
      <c r="OB17" s="125"/>
      <c r="OC17" s="125"/>
      <c r="OD17" s="125"/>
      <c r="OE17" s="125"/>
      <c r="OF17" s="125"/>
      <c r="OG17" s="125"/>
      <c r="OH17" s="125"/>
      <c r="OI17" s="125"/>
      <c r="OJ17" s="125"/>
      <c r="OK17" s="125"/>
      <c r="OL17" s="125"/>
      <c r="OM17" s="125"/>
      <c r="ON17" s="125"/>
      <c r="OO17" s="125"/>
      <c r="OP17" s="125"/>
      <c r="OQ17" s="125"/>
      <c r="OR17" s="125"/>
      <c r="OS17" s="125"/>
      <c r="OT17" s="125"/>
      <c r="OU17" s="125"/>
      <c r="OV17" s="125"/>
      <c r="OW17" s="125"/>
      <c r="OX17" s="125"/>
      <c r="OY17" s="125"/>
      <c r="OZ17" s="125"/>
      <c r="PA17" s="125"/>
      <c r="PB17" s="125"/>
      <c r="PC17" s="125"/>
      <c r="PD17" s="125"/>
      <c r="PE17" s="125"/>
      <c r="PF17" s="125"/>
      <c r="PG17" s="125"/>
      <c r="PH17" s="125"/>
      <c r="PI17" s="125"/>
      <c r="PJ17" s="125"/>
      <c r="PK17" s="125"/>
      <c r="PL17" s="125"/>
      <c r="PM17" s="125"/>
      <c r="PN17" s="125"/>
      <c r="PO17" s="125"/>
      <c r="PP17" s="125"/>
      <c r="PQ17" s="125"/>
      <c r="PR17" s="125"/>
      <c r="PS17" s="125">
        <v>10</v>
      </c>
      <c r="PT17" s="125"/>
      <c r="PU17" s="125"/>
      <c r="PV17" s="125"/>
      <c r="PW17" s="125"/>
      <c r="PX17" s="125"/>
      <c r="PY17" s="125"/>
      <c r="PZ17" s="125"/>
      <c r="QA17" s="125"/>
      <c r="QB17" s="125"/>
      <c r="QC17" s="125"/>
      <c r="QD17" s="125"/>
      <c r="QE17" s="125"/>
      <c r="QF17" s="125"/>
      <c r="QG17" s="125"/>
      <c r="QH17" s="125"/>
      <c r="QI17" s="125"/>
      <c r="QJ17" s="125"/>
      <c r="QK17" s="125"/>
      <c r="QL17" s="125"/>
      <c r="QM17" s="125"/>
      <c r="QN17" s="125"/>
      <c r="QO17" s="125"/>
      <c r="QP17" s="125"/>
      <c r="QQ17" s="125"/>
      <c r="QR17" s="125"/>
      <c r="QS17" s="125"/>
      <c r="QT17" s="125"/>
      <c r="QU17" s="125"/>
      <c r="QV17" s="125"/>
      <c r="QW17" s="125"/>
      <c r="QX17" s="125"/>
      <c r="QY17" s="125"/>
      <c r="QZ17" s="125"/>
      <c r="RA17" s="125"/>
      <c r="RB17" s="125"/>
      <c r="RC17" s="125"/>
      <c r="RD17" s="125"/>
      <c r="RE17" s="125"/>
      <c r="RF17" s="125"/>
      <c r="RG17" s="24">
        <f t="shared" si="0"/>
        <v>10</v>
      </c>
      <c r="RH17" s="60" t="s">
        <v>69</v>
      </c>
      <c r="RI17" s="121">
        <v>920.4</v>
      </c>
      <c r="RJ17" s="77">
        <f>RM17+RN17</f>
        <v>920.4</v>
      </c>
      <c r="RK17" s="77">
        <v>710.19999999999993</v>
      </c>
      <c r="RL17" s="121">
        <f t="shared" si="1"/>
        <v>0</v>
      </c>
      <c r="RM17" s="145"/>
      <c r="RN17" s="145">
        <v>920.4</v>
      </c>
      <c r="RO17" s="145"/>
      <c r="RP17" s="104">
        <f t="shared" si="2"/>
        <v>1.2959729653618699</v>
      </c>
      <c r="RQ17" s="172"/>
    </row>
    <row r="18" spans="1:485" s="5" customFormat="1" ht="12.75" customHeight="1" x14ac:dyDescent="0.25">
      <c r="A18" s="61">
        <v>44964</v>
      </c>
      <c r="B18" s="102" t="s">
        <v>336</v>
      </c>
      <c r="C18" s="123"/>
      <c r="D18" s="123"/>
      <c r="E18" s="124"/>
      <c r="F18" s="124"/>
      <c r="G18" s="124"/>
      <c r="H18" s="124"/>
      <c r="I18" s="124"/>
      <c r="J18" s="124"/>
      <c r="K18" s="124"/>
      <c r="L18" s="124"/>
      <c r="M18" s="124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5"/>
      <c r="BA18" s="125"/>
      <c r="BB18" s="125"/>
      <c r="BC18" s="125"/>
      <c r="BD18" s="125"/>
      <c r="BE18" s="125"/>
      <c r="BF18" s="125"/>
      <c r="BG18" s="125"/>
      <c r="BH18" s="125"/>
      <c r="BI18" s="125"/>
      <c r="BJ18" s="125"/>
      <c r="BK18" s="125"/>
      <c r="BL18" s="125"/>
      <c r="BM18" s="125"/>
      <c r="BN18" s="125"/>
      <c r="BO18" s="125"/>
      <c r="BP18" s="125"/>
      <c r="BQ18" s="125"/>
      <c r="BR18" s="125"/>
      <c r="BS18" s="125"/>
      <c r="BT18" s="125"/>
      <c r="BU18" s="125"/>
      <c r="BV18" s="125"/>
      <c r="BW18" s="125"/>
      <c r="BX18" s="125"/>
      <c r="BY18" s="125"/>
      <c r="BZ18" s="125"/>
      <c r="CA18" s="125"/>
      <c r="CB18" s="125"/>
      <c r="CC18" s="125"/>
      <c r="CD18" s="125"/>
      <c r="CE18" s="125"/>
      <c r="CF18" s="125"/>
      <c r="CG18" s="125"/>
      <c r="CH18" s="125"/>
      <c r="CI18" s="125"/>
      <c r="CJ18" s="125"/>
      <c r="CK18" s="125"/>
      <c r="CL18" s="125"/>
      <c r="CM18" s="125"/>
      <c r="CN18" s="125"/>
      <c r="CO18" s="125"/>
      <c r="CP18" s="125"/>
      <c r="CQ18" s="125"/>
      <c r="CR18" s="125"/>
      <c r="CS18" s="125"/>
      <c r="CT18" s="125"/>
      <c r="CU18" s="125"/>
      <c r="CV18" s="125"/>
      <c r="CW18" s="125"/>
      <c r="CX18" s="125"/>
      <c r="CY18" s="125"/>
      <c r="CZ18" s="125"/>
      <c r="DA18" s="125"/>
      <c r="DB18" s="125"/>
      <c r="DC18" s="125"/>
      <c r="DD18" s="125"/>
      <c r="DE18" s="125"/>
      <c r="DF18" s="125"/>
      <c r="DG18" s="125"/>
      <c r="DH18" s="125"/>
      <c r="DI18" s="125"/>
      <c r="DJ18" s="125"/>
      <c r="DK18" s="125"/>
      <c r="DL18" s="125"/>
      <c r="DM18" s="125"/>
      <c r="DN18" s="125"/>
      <c r="DO18" s="125"/>
      <c r="DP18" s="125"/>
      <c r="DQ18" s="125"/>
      <c r="DR18" s="125"/>
      <c r="DS18" s="125"/>
      <c r="DT18" s="125"/>
      <c r="DU18" s="125"/>
      <c r="DV18" s="125"/>
      <c r="DW18" s="125"/>
      <c r="DX18" s="125"/>
      <c r="DY18" s="125"/>
      <c r="DZ18" s="125"/>
      <c r="EA18" s="125"/>
      <c r="EB18" s="125"/>
      <c r="EC18" s="125"/>
      <c r="ED18" s="125"/>
      <c r="EE18" s="125"/>
      <c r="EF18" s="125"/>
      <c r="EG18" s="125"/>
      <c r="EH18" s="125"/>
      <c r="EI18" s="125"/>
      <c r="EJ18" s="125"/>
      <c r="EK18" s="125"/>
      <c r="EL18" s="125"/>
      <c r="EM18" s="125"/>
      <c r="EN18" s="125"/>
      <c r="EO18" s="125"/>
      <c r="EP18" s="125"/>
      <c r="EQ18" s="125"/>
      <c r="ER18" s="125"/>
      <c r="ES18" s="125"/>
      <c r="ET18" s="125"/>
      <c r="EU18" s="125"/>
      <c r="EV18" s="125"/>
      <c r="EW18" s="125"/>
      <c r="EX18" s="125"/>
      <c r="EY18" s="125"/>
      <c r="EZ18" s="125"/>
      <c r="FA18" s="125"/>
      <c r="FB18" s="125"/>
      <c r="FC18" s="125"/>
      <c r="FD18" s="125"/>
      <c r="FE18" s="125"/>
      <c r="FF18" s="125"/>
      <c r="FG18" s="125"/>
      <c r="FH18" s="125"/>
      <c r="FI18" s="125"/>
      <c r="FJ18" s="125"/>
      <c r="FK18" s="125"/>
      <c r="FL18" s="125"/>
      <c r="FM18" s="125"/>
      <c r="FN18" s="125"/>
      <c r="FO18" s="125"/>
      <c r="FP18" s="125"/>
      <c r="FQ18" s="125"/>
      <c r="FR18" s="125"/>
      <c r="FS18" s="125"/>
      <c r="FT18" s="125"/>
      <c r="FU18" s="125"/>
      <c r="FV18" s="125"/>
      <c r="FW18" s="125"/>
      <c r="FX18" s="125"/>
      <c r="FY18" s="125"/>
      <c r="FZ18" s="125"/>
      <c r="GA18" s="125"/>
      <c r="GB18" s="125"/>
      <c r="GC18" s="125"/>
      <c r="GD18" s="125"/>
      <c r="GE18" s="125"/>
      <c r="GF18" s="125"/>
      <c r="GG18" s="125"/>
      <c r="GH18" s="125"/>
      <c r="GI18" s="125"/>
      <c r="GJ18" s="125"/>
      <c r="GK18" s="125"/>
      <c r="GL18" s="125"/>
      <c r="GM18" s="125"/>
      <c r="GN18" s="125"/>
      <c r="GO18" s="125"/>
      <c r="GP18" s="125"/>
      <c r="GQ18" s="125"/>
      <c r="GR18" s="125"/>
      <c r="GS18" s="125"/>
      <c r="GT18" s="125"/>
      <c r="GU18" s="125"/>
      <c r="GV18" s="125"/>
      <c r="GW18" s="125"/>
      <c r="GX18" s="125"/>
      <c r="GY18" s="125"/>
      <c r="GZ18" s="125"/>
      <c r="HA18" s="125"/>
      <c r="HB18" s="125"/>
      <c r="HC18" s="125"/>
      <c r="HD18" s="125"/>
      <c r="HE18" s="125"/>
      <c r="HF18" s="125"/>
      <c r="HG18" s="125"/>
      <c r="HH18" s="125"/>
      <c r="HI18" s="125"/>
      <c r="HJ18" s="125"/>
      <c r="HK18" s="125"/>
      <c r="HL18" s="125"/>
      <c r="HM18" s="125"/>
      <c r="HN18" s="125"/>
      <c r="HO18" s="125"/>
      <c r="HP18" s="125"/>
      <c r="HQ18" s="125"/>
      <c r="HR18" s="125"/>
      <c r="HS18" s="125"/>
      <c r="HT18" s="125"/>
      <c r="HU18" s="125"/>
      <c r="HV18" s="125"/>
      <c r="HW18" s="125"/>
      <c r="HX18" s="125"/>
      <c r="HY18" s="125"/>
      <c r="HZ18" s="125"/>
      <c r="IA18" s="125"/>
      <c r="IB18" s="125"/>
      <c r="IC18" s="125"/>
      <c r="ID18" s="125"/>
      <c r="IE18" s="125"/>
      <c r="IF18" s="125"/>
      <c r="IG18" s="125"/>
      <c r="IH18" s="125"/>
      <c r="II18" s="125"/>
      <c r="IJ18" s="125"/>
      <c r="IK18" s="125"/>
      <c r="IL18" s="125"/>
      <c r="IM18" s="125"/>
      <c r="IN18" s="125"/>
      <c r="IO18" s="125"/>
      <c r="IP18" s="125"/>
      <c r="IQ18" s="125"/>
      <c r="IR18" s="125"/>
      <c r="IS18" s="125"/>
      <c r="IT18" s="125"/>
      <c r="IU18" s="125"/>
      <c r="IV18" s="125"/>
      <c r="IW18" s="125"/>
      <c r="IX18" s="125"/>
      <c r="IY18" s="125"/>
      <c r="IZ18" s="125"/>
      <c r="JA18" s="125"/>
      <c r="JB18" s="125"/>
      <c r="JC18" s="125"/>
      <c r="JD18" s="125"/>
      <c r="JE18" s="125"/>
      <c r="JF18" s="125"/>
      <c r="JG18" s="125"/>
      <c r="JH18" s="125"/>
      <c r="JI18" s="125"/>
      <c r="JJ18" s="125"/>
      <c r="JK18" s="125"/>
      <c r="JL18" s="125"/>
      <c r="JM18" s="125"/>
      <c r="JN18" s="125"/>
      <c r="JO18" s="125"/>
      <c r="JP18" s="125"/>
      <c r="JQ18" s="125"/>
      <c r="JR18" s="125"/>
      <c r="JS18" s="125"/>
      <c r="JT18" s="125"/>
      <c r="JU18" s="125"/>
      <c r="JV18" s="125"/>
      <c r="JW18" s="125"/>
      <c r="JX18" s="125"/>
      <c r="JY18" s="125"/>
      <c r="JZ18" s="125"/>
      <c r="KA18" s="125"/>
      <c r="KB18" s="125"/>
      <c r="KC18" s="125"/>
      <c r="KD18" s="125"/>
      <c r="KE18" s="125"/>
      <c r="KF18" s="125"/>
      <c r="KG18" s="125"/>
      <c r="KH18" s="125"/>
      <c r="KI18" s="125"/>
      <c r="KJ18" s="125"/>
      <c r="KK18" s="125"/>
      <c r="KL18" s="125"/>
      <c r="KM18" s="125"/>
      <c r="KN18" s="125"/>
      <c r="KO18" s="125"/>
      <c r="KP18" s="125"/>
      <c r="KQ18" s="125"/>
      <c r="KR18" s="125"/>
      <c r="KS18" s="125"/>
      <c r="KT18" s="125"/>
      <c r="KU18" s="125"/>
      <c r="KV18" s="125"/>
      <c r="KW18" s="125"/>
      <c r="KX18" s="125"/>
      <c r="KY18" s="125"/>
      <c r="KZ18" s="125"/>
      <c r="LA18" s="125"/>
      <c r="LB18" s="125"/>
      <c r="LC18" s="125"/>
      <c r="LD18" s="125"/>
      <c r="LE18" s="125"/>
      <c r="LF18" s="125"/>
      <c r="LG18" s="125"/>
      <c r="LH18" s="125"/>
      <c r="LI18" s="125"/>
      <c r="LJ18" s="125"/>
      <c r="LK18" s="125"/>
      <c r="LL18" s="125"/>
      <c r="LM18" s="125"/>
      <c r="LN18" s="125"/>
      <c r="LO18" s="125"/>
      <c r="LP18" s="125"/>
      <c r="LQ18" s="125"/>
      <c r="LR18" s="125"/>
      <c r="LS18" s="125"/>
      <c r="LT18" s="125"/>
      <c r="LU18" s="125"/>
      <c r="LV18" s="125"/>
      <c r="LW18" s="125"/>
      <c r="LX18" s="125"/>
      <c r="LY18" s="125"/>
      <c r="LZ18" s="125"/>
      <c r="MA18" s="125"/>
      <c r="MB18" s="125"/>
      <c r="MC18" s="125"/>
      <c r="MD18" s="125"/>
      <c r="ME18" s="125"/>
      <c r="MF18" s="125"/>
      <c r="MG18" s="125"/>
      <c r="MH18" s="125"/>
      <c r="MI18" s="125"/>
      <c r="MJ18" s="125"/>
      <c r="MK18" s="125"/>
      <c r="ML18" s="125"/>
      <c r="MM18" s="125"/>
      <c r="MN18" s="125"/>
      <c r="MO18" s="125"/>
      <c r="MP18" s="125"/>
      <c r="MQ18" s="125"/>
      <c r="MR18" s="125"/>
      <c r="MS18" s="125"/>
      <c r="MT18" s="125"/>
      <c r="MU18" s="125"/>
      <c r="MV18" s="125"/>
      <c r="MW18" s="125"/>
      <c r="MX18" s="125"/>
      <c r="MY18" s="125"/>
      <c r="MZ18" s="125"/>
      <c r="NA18" s="125"/>
      <c r="NB18" s="125"/>
      <c r="NC18" s="125"/>
      <c r="ND18" s="125"/>
      <c r="NE18" s="125"/>
      <c r="NF18" s="125"/>
      <c r="NG18" s="125"/>
      <c r="NH18" s="125"/>
      <c r="NI18" s="125"/>
      <c r="NJ18" s="125"/>
      <c r="NK18" s="125"/>
      <c r="NL18" s="125"/>
      <c r="NM18" s="125"/>
      <c r="NN18" s="125"/>
      <c r="NO18" s="125"/>
      <c r="NP18" s="125"/>
      <c r="NQ18" s="125"/>
      <c r="NR18" s="125"/>
      <c r="NS18" s="125"/>
      <c r="NT18" s="125"/>
      <c r="NU18" s="125"/>
      <c r="NV18" s="125"/>
      <c r="NW18" s="125"/>
      <c r="NX18" s="125"/>
      <c r="NY18" s="125"/>
      <c r="NZ18" s="125"/>
      <c r="OA18" s="125"/>
      <c r="OB18" s="125"/>
      <c r="OC18" s="125"/>
      <c r="OD18" s="125"/>
      <c r="OE18" s="125"/>
      <c r="OF18" s="125"/>
      <c r="OG18" s="125"/>
      <c r="OH18" s="125"/>
      <c r="OI18" s="125"/>
      <c r="OJ18" s="125"/>
      <c r="OK18" s="125"/>
      <c r="OL18" s="125"/>
      <c r="OM18" s="125"/>
      <c r="ON18" s="125"/>
      <c r="OO18" s="125"/>
      <c r="OP18" s="125"/>
      <c r="OQ18" s="125"/>
      <c r="OR18" s="125"/>
      <c r="OS18" s="125"/>
      <c r="OT18" s="125"/>
      <c r="OU18" s="125"/>
      <c r="OV18" s="125"/>
      <c r="OW18" s="125"/>
      <c r="OX18" s="125"/>
      <c r="OY18" s="125"/>
      <c r="OZ18" s="125"/>
      <c r="PA18" s="125"/>
      <c r="PB18" s="125"/>
      <c r="PC18" s="125"/>
      <c r="PD18" s="125"/>
      <c r="PE18" s="125">
        <v>30</v>
      </c>
      <c r="PF18" s="125"/>
      <c r="PG18" s="125"/>
      <c r="PH18" s="125"/>
      <c r="PI18" s="125"/>
      <c r="PJ18" s="125"/>
      <c r="PK18" s="125"/>
      <c r="PL18" s="125"/>
      <c r="PM18" s="125"/>
      <c r="PN18" s="125"/>
      <c r="PO18" s="125"/>
      <c r="PP18" s="125"/>
      <c r="PQ18" s="125"/>
      <c r="PR18" s="125"/>
      <c r="PS18" s="125"/>
      <c r="PT18" s="125"/>
      <c r="PU18" s="125"/>
      <c r="PV18" s="125"/>
      <c r="PW18" s="125"/>
      <c r="PX18" s="125"/>
      <c r="PY18" s="125"/>
      <c r="PZ18" s="125"/>
      <c r="QA18" s="125"/>
      <c r="QB18" s="125"/>
      <c r="QC18" s="125"/>
      <c r="QD18" s="125"/>
      <c r="QE18" s="125"/>
      <c r="QF18" s="125"/>
      <c r="QG18" s="125"/>
      <c r="QH18" s="125"/>
      <c r="QI18" s="125"/>
      <c r="QJ18" s="125"/>
      <c r="QK18" s="125"/>
      <c r="QL18" s="125"/>
      <c r="QM18" s="125"/>
      <c r="QN18" s="125"/>
      <c r="QO18" s="125"/>
      <c r="QP18" s="125"/>
      <c r="QQ18" s="125"/>
      <c r="QR18" s="125"/>
      <c r="QS18" s="125"/>
      <c r="QT18" s="125"/>
      <c r="QU18" s="125"/>
      <c r="QV18" s="125"/>
      <c r="QW18" s="125"/>
      <c r="QX18" s="125"/>
      <c r="QY18" s="125"/>
      <c r="QZ18" s="125"/>
      <c r="RA18" s="125"/>
      <c r="RB18" s="125"/>
      <c r="RC18" s="125"/>
      <c r="RD18" s="125"/>
      <c r="RE18" s="125"/>
      <c r="RF18" s="125"/>
      <c r="RG18" s="24">
        <f t="shared" si="0"/>
        <v>30</v>
      </c>
      <c r="RH18" s="60" t="s">
        <v>69</v>
      </c>
      <c r="RI18" s="121">
        <v>284.39999999999998</v>
      </c>
      <c r="RJ18" s="77">
        <f>RM18+RN18+RO18</f>
        <v>0</v>
      </c>
      <c r="RK18" s="77">
        <v>211.2</v>
      </c>
      <c r="RL18" s="121">
        <f t="shared" si="1"/>
        <v>284.39999999999998</v>
      </c>
      <c r="RM18" s="145"/>
      <c r="RN18" s="145"/>
      <c r="RO18" s="145"/>
      <c r="RP18" s="104">
        <f t="shared" si="2"/>
        <v>1.3465909090909089</v>
      </c>
      <c r="RQ18" s="172"/>
    </row>
    <row r="19" spans="1:485" s="5" customFormat="1" ht="12.75" customHeight="1" x14ac:dyDescent="0.25">
      <c r="A19" s="61">
        <v>44964</v>
      </c>
      <c r="B19" s="112" t="s">
        <v>581</v>
      </c>
      <c r="C19" s="123"/>
      <c r="D19" s="123"/>
      <c r="E19" s="124"/>
      <c r="F19" s="124"/>
      <c r="G19" s="124"/>
      <c r="H19" s="124"/>
      <c r="I19" s="124"/>
      <c r="J19" s="124"/>
      <c r="K19" s="124"/>
      <c r="L19" s="124"/>
      <c r="M19" s="124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5"/>
      <c r="BA19" s="125"/>
      <c r="BB19" s="125"/>
      <c r="BC19" s="125"/>
      <c r="BD19" s="125"/>
      <c r="BE19" s="125"/>
      <c r="BF19" s="125"/>
      <c r="BG19" s="125"/>
      <c r="BH19" s="125"/>
      <c r="BI19" s="125"/>
      <c r="BJ19" s="125"/>
      <c r="BK19" s="125"/>
      <c r="BL19" s="125"/>
      <c r="BM19" s="125"/>
      <c r="BN19" s="125"/>
      <c r="BO19" s="125"/>
      <c r="BP19" s="125"/>
      <c r="BQ19" s="125"/>
      <c r="BR19" s="125"/>
      <c r="BS19" s="125"/>
      <c r="BT19" s="125"/>
      <c r="BU19" s="125"/>
      <c r="BV19" s="125"/>
      <c r="BW19" s="125"/>
      <c r="BX19" s="125"/>
      <c r="BY19" s="125"/>
      <c r="BZ19" s="125"/>
      <c r="CA19" s="125"/>
      <c r="CB19" s="125"/>
      <c r="CC19" s="125"/>
      <c r="CD19" s="125"/>
      <c r="CE19" s="125"/>
      <c r="CF19" s="125"/>
      <c r="CG19" s="125"/>
      <c r="CH19" s="125"/>
      <c r="CI19" s="125"/>
      <c r="CJ19" s="125"/>
      <c r="CK19" s="125"/>
      <c r="CL19" s="125"/>
      <c r="CM19" s="125"/>
      <c r="CN19" s="125"/>
      <c r="CO19" s="125"/>
      <c r="CP19" s="125"/>
      <c r="CQ19" s="125"/>
      <c r="CR19" s="125"/>
      <c r="CS19" s="125"/>
      <c r="CT19" s="125"/>
      <c r="CU19" s="125"/>
      <c r="CV19" s="125"/>
      <c r="CW19" s="125"/>
      <c r="CX19" s="125"/>
      <c r="CY19" s="125"/>
      <c r="CZ19" s="125"/>
      <c r="DA19" s="125"/>
      <c r="DB19" s="125"/>
      <c r="DC19" s="125"/>
      <c r="DD19" s="125"/>
      <c r="DE19" s="125"/>
      <c r="DF19" s="125"/>
      <c r="DG19" s="125"/>
      <c r="DH19" s="125"/>
      <c r="DI19" s="125"/>
      <c r="DJ19" s="125"/>
      <c r="DK19" s="125"/>
      <c r="DL19" s="125"/>
      <c r="DM19" s="125"/>
      <c r="DN19" s="125"/>
      <c r="DO19" s="125"/>
      <c r="DP19" s="125"/>
      <c r="DQ19" s="125"/>
      <c r="DR19" s="125"/>
      <c r="DS19" s="125"/>
      <c r="DT19" s="125"/>
      <c r="DU19" s="125"/>
      <c r="DV19" s="125"/>
      <c r="DW19" s="125"/>
      <c r="DX19" s="125"/>
      <c r="DY19" s="125"/>
      <c r="DZ19" s="125"/>
      <c r="EA19" s="125"/>
      <c r="EB19" s="125"/>
      <c r="EC19" s="125">
        <v>10</v>
      </c>
      <c r="ED19" s="125"/>
      <c r="EE19" s="125"/>
      <c r="EF19" s="125"/>
      <c r="EG19" s="125"/>
      <c r="EH19" s="125"/>
      <c r="EI19" s="125"/>
      <c r="EJ19" s="125"/>
      <c r="EK19" s="125"/>
      <c r="EL19" s="125"/>
      <c r="EM19" s="125"/>
      <c r="EN19" s="125"/>
      <c r="EO19" s="125"/>
      <c r="EP19" s="125"/>
      <c r="EQ19" s="125"/>
      <c r="ER19" s="125"/>
      <c r="ES19" s="125"/>
      <c r="ET19" s="125"/>
      <c r="EU19" s="125"/>
      <c r="EV19" s="125"/>
      <c r="EW19" s="125"/>
      <c r="EX19" s="125"/>
      <c r="EY19" s="125"/>
      <c r="EZ19" s="125"/>
      <c r="FA19" s="125"/>
      <c r="FB19" s="125"/>
      <c r="FC19" s="125"/>
      <c r="FD19" s="125"/>
      <c r="FE19" s="125"/>
      <c r="FF19" s="125"/>
      <c r="FG19" s="125"/>
      <c r="FH19" s="125"/>
      <c r="FI19" s="125"/>
      <c r="FJ19" s="125"/>
      <c r="FK19" s="125"/>
      <c r="FL19" s="125"/>
      <c r="FM19" s="125"/>
      <c r="FN19" s="125"/>
      <c r="FO19" s="125"/>
      <c r="FP19" s="125"/>
      <c r="FQ19" s="125"/>
      <c r="FR19" s="125"/>
      <c r="FS19" s="125"/>
      <c r="FT19" s="125"/>
      <c r="FU19" s="125"/>
      <c r="FV19" s="125"/>
      <c r="FW19" s="125"/>
      <c r="FX19" s="125"/>
      <c r="FY19" s="125"/>
      <c r="FZ19" s="125"/>
      <c r="GA19" s="125"/>
      <c r="GB19" s="125"/>
      <c r="GC19" s="125"/>
      <c r="GD19" s="125"/>
      <c r="GE19" s="125"/>
      <c r="GF19" s="125"/>
      <c r="GG19" s="125"/>
      <c r="GH19" s="125"/>
      <c r="GI19" s="125"/>
      <c r="GJ19" s="125"/>
      <c r="GK19" s="125"/>
      <c r="GL19" s="125"/>
      <c r="GM19" s="125"/>
      <c r="GN19" s="125"/>
      <c r="GO19" s="125"/>
      <c r="GP19" s="125"/>
      <c r="GQ19" s="125"/>
      <c r="GR19" s="125"/>
      <c r="GS19" s="125"/>
      <c r="GT19" s="125"/>
      <c r="GU19" s="125"/>
      <c r="GV19" s="125"/>
      <c r="GW19" s="125"/>
      <c r="GX19" s="125"/>
      <c r="GY19" s="125"/>
      <c r="GZ19" s="125"/>
      <c r="HA19" s="125"/>
      <c r="HB19" s="125"/>
      <c r="HC19" s="125"/>
      <c r="HD19" s="125"/>
      <c r="HE19" s="125"/>
      <c r="HF19" s="125"/>
      <c r="HG19" s="125"/>
      <c r="HH19" s="125"/>
      <c r="HI19" s="125"/>
      <c r="HJ19" s="125"/>
      <c r="HK19" s="125"/>
      <c r="HL19" s="125"/>
      <c r="HM19" s="125"/>
      <c r="HN19" s="125"/>
      <c r="HO19" s="125"/>
      <c r="HP19" s="125"/>
      <c r="HQ19" s="125"/>
      <c r="HR19" s="125"/>
      <c r="HS19" s="125"/>
      <c r="HT19" s="125"/>
      <c r="HU19" s="125"/>
      <c r="HV19" s="125"/>
      <c r="HW19" s="125"/>
      <c r="HX19" s="125"/>
      <c r="HY19" s="125"/>
      <c r="HZ19" s="125"/>
      <c r="IA19" s="125"/>
      <c r="IB19" s="125"/>
      <c r="IC19" s="125"/>
      <c r="ID19" s="125"/>
      <c r="IE19" s="125"/>
      <c r="IF19" s="125"/>
      <c r="IG19" s="125"/>
      <c r="IH19" s="125"/>
      <c r="II19" s="125"/>
      <c r="IJ19" s="125"/>
      <c r="IK19" s="125"/>
      <c r="IL19" s="125"/>
      <c r="IM19" s="125"/>
      <c r="IN19" s="125"/>
      <c r="IO19" s="125"/>
      <c r="IP19" s="125"/>
      <c r="IQ19" s="125"/>
      <c r="IR19" s="125"/>
      <c r="IS19" s="125"/>
      <c r="IT19" s="125"/>
      <c r="IU19" s="125"/>
      <c r="IV19" s="125"/>
      <c r="IW19" s="125"/>
      <c r="IX19" s="125"/>
      <c r="IY19" s="125"/>
      <c r="IZ19" s="125"/>
      <c r="JA19" s="125"/>
      <c r="JB19" s="125"/>
      <c r="JC19" s="125"/>
      <c r="JD19" s="125"/>
      <c r="JE19" s="125"/>
      <c r="JF19" s="125"/>
      <c r="JG19" s="125"/>
      <c r="JH19" s="125"/>
      <c r="JI19" s="125"/>
      <c r="JJ19" s="125"/>
      <c r="JK19" s="125"/>
      <c r="JL19" s="125"/>
      <c r="JM19" s="125"/>
      <c r="JN19" s="125"/>
      <c r="JO19" s="125"/>
      <c r="JP19" s="125"/>
      <c r="JQ19" s="125"/>
      <c r="JR19" s="125"/>
      <c r="JS19" s="125"/>
      <c r="JT19" s="125"/>
      <c r="JU19" s="125"/>
      <c r="JV19" s="125"/>
      <c r="JW19" s="125"/>
      <c r="JX19" s="125"/>
      <c r="JY19" s="125"/>
      <c r="JZ19" s="125"/>
      <c r="KA19" s="125"/>
      <c r="KB19" s="125"/>
      <c r="KC19" s="125"/>
      <c r="KD19" s="125"/>
      <c r="KE19" s="125"/>
      <c r="KF19" s="125"/>
      <c r="KG19" s="125"/>
      <c r="KH19" s="125"/>
      <c r="KI19" s="125"/>
      <c r="KJ19" s="125"/>
      <c r="KK19" s="125"/>
      <c r="KL19" s="125"/>
      <c r="KM19" s="125"/>
      <c r="KN19" s="125"/>
      <c r="KO19" s="125"/>
      <c r="KP19" s="125"/>
      <c r="KQ19" s="125"/>
      <c r="KR19" s="125"/>
      <c r="KS19" s="125"/>
      <c r="KT19" s="125"/>
      <c r="KU19" s="125"/>
      <c r="KV19" s="125"/>
      <c r="KW19" s="125"/>
      <c r="KX19" s="125"/>
      <c r="KY19" s="125"/>
      <c r="KZ19" s="125"/>
      <c r="LA19" s="125"/>
      <c r="LB19" s="125"/>
      <c r="LC19" s="125"/>
      <c r="LD19" s="125"/>
      <c r="LE19" s="125"/>
      <c r="LF19" s="125"/>
      <c r="LG19" s="125"/>
      <c r="LH19" s="125"/>
      <c r="LI19" s="125"/>
      <c r="LJ19" s="125"/>
      <c r="LK19" s="125"/>
      <c r="LL19" s="125"/>
      <c r="LM19" s="125"/>
      <c r="LN19" s="125"/>
      <c r="LO19" s="125"/>
      <c r="LP19" s="125"/>
      <c r="LQ19" s="125"/>
      <c r="LR19" s="125"/>
      <c r="LS19" s="125"/>
      <c r="LT19" s="125"/>
      <c r="LU19" s="125"/>
      <c r="LV19" s="125"/>
      <c r="LW19" s="125"/>
      <c r="LX19" s="125"/>
      <c r="LY19" s="125"/>
      <c r="LZ19" s="125"/>
      <c r="MA19" s="125"/>
      <c r="MB19" s="125"/>
      <c r="MC19" s="125"/>
      <c r="MD19" s="125"/>
      <c r="ME19" s="125"/>
      <c r="MF19" s="125"/>
      <c r="MG19" s="125"/>
      <c r="MH19" s="125"/>
      <c r="MI19" s="125"/>
      <c r="MJ19" s="125"/>
      <c r="MK19" s="125"/>
      <c r="ML19" s="125"/>
      <c r="MM19" s="125"/>
      <c r="MN19" s="125"/>
      <c r="MO19" s="125"/>
      <c r="MP19" s="125"/>
      <c r="MQ19" s="125"/>
      <c r="MR19" s="125"/>
      <c r="MS19" s="125"/>
      <c r="MT19" s="125"/>
      <c r="MU19" s="125"/>
      <c r="MV19" s="125"/>
      <c r="MW19" s="125"/>
      <c r="MX19" s="125"/>
      <c r="MY19" s="125"/>
      <c r="MZ19" s="125"/>
      <c r="NA19" s="125"/>
      <c r="NB19" s="125"/>
      <c r="NC19" s="125"/>
      <c r="ND19" s="125"/>
      <c r="NE19" s="125"/>
      <c r="NF19" s="125"/>
      <c r="NG19" s="125"/>
      <c r="NH19" s="125"/>
      <c r="NI19" s="125"/>
      <c r="NJ19" s="125"/>
      <c r="NK19" s="125"/>
      <c r="NL19" s="125"/>
      <c r="NM19" s="125"/>
      <c r="NN19" s="125"/>
      <c r="NO19" s="125"/>
      <c r="NP19" s="125"/>
      <c r="NQ19" s="125"/>
      <c r="NR19" s="125"/>
      <c r="NS19" s="125"/>
      <c r="NT19" s="125"/>
      <c r="NU19" s="125"/>
      <c r="NV19" s="125"/>
      <c r="NW19" s="125"/>
      <c r="NX19" s="125"/>
      <c r="NY19" s="125"/>
      <c r="NZ19" s="125"/>
      <c r="OA19" s="125"/>
      <c r="OB19" s="125"/>
      <c r="OC19" s="125"/>
      <c r="OD19" s="125"/>
      <c r="OE19" s="125"/>
      <c r="OF19" s="125"/>
      <c r="OG19" s="125"/>
      <c r="OH19" s="125"/>
      <c r="OI19" s="125"/>
      <c r="OJ19" s="125"/>
      <c r="OK19" s="125"/>
      <c r="OL19" s="125"/>
      <c r="OM19" s="125"/>
      <c r="ON19" s="125"/>
      <c r="OO19" s="125"/>
      <c r="OP19" s="125"/>
      <c r="OQ19" s="125"/>
      <c r="OR19" s="125"/>
      <c r="OS19" s="125"/>
      <c r="OT19" s="125"/>
      <c r="OU19" s="125"/>
      <c r="OV19" s="125"/>
      <c r="OW19" s="125"/>
      <c r="OX19" s="125"/>
      <c r="OY19" s="125"/>
      <c r="OZ19" s="125"/>
      <c r="PA19" s="125"/>
      <c r="PB19" s="125"/>
      <c r="PC19" s="125"/>
      <c r="PD19" s="125"/>
      <c r="PE19" s="125"/>
      <c r="PF19" s="125"/>
      <c r="PG19" s="125"/>
      <c r="PH19" s="125"/>
      <c r="PI19" s="125"/>
      <c r="PJ19" s="125"/>
      <c r="PK19" s="125"/>
      <c r="PL19" s="125"/>
      <c r="PM19" s="125"/>
      <c r="PN19" s="125"/>
      <c r="PO19" s="125"/>
      <c r="PP19" s="125"/>
      <c r="PQ19" s="125"/>
      <c r="PR19" s="125"/>
      <c r="PS19" s="125"/>
      <c r="PT19" s="125"/>
      <c r="PU19" s="125"/>
      <c r="PV19" s="125"/>
      <c r="PW19" s="125"/>
      <c r="PX19" s="125"/>
      <c r="PY19" s="125"/>
      <c r="PZ19" s="125"/>
      <c r="QA19" s="125"/>
      <c r="QB19" s="125"/>
      <c r="QC19" s="125"/>
      <c r="QD19" s="125"/>
      <c r="QE19" s="125"/>
      <c r="QF19" s="125"/>
      <c r="QG19" s="125"/>
      <c r="QH19" s="125"/>
      <c r="QI19" s="125"/>
      <c r="QJ19" s="125"/>
      <c r="QK19" s="125"/>
      <c r="QL19" s="125"/>
      <c r="QM19" s="125"/>
      <c r="QN19" s="125"/>
      <c r="QO19" s="125"/>
      <c r="QP19" s="125"/>
      <c r="QQ19" s="125"/>
      <c r="QR19" s="125"/>
      <c r="QS19" s="125"/>
      <c r="QT19" s="125"/>
      <c r="QU19" s="125"/>
      <c r="QV19" s="125"/>
      <c r="QW19" s="125"/>
      <c r="QX19" s="125"/>
      <c r="QY19" s="125"/>
      <c r="QZ19" s="125"/>
      <c r="RA19" s="125"/>
      <c r="RB19" s="125"/>
      <c r="RC19" s="125"/>
      <c r="RD19" s="125"/>
      <c r="RE19" s="125"/>
      <c r="RF19" s="125"/>
      <c r="RG19" s="24">
        <f t="shared" si="0"/>
        <v>10</v>
      </c>
      <c r="RH19" s="60" t="s">
        <v>36</v>
      </c>
      <c r="RI19" s="121">
        <v>783.72</v>
      </c>
      <c r="RJ19" s="77">
        <f>RM19+RN19</f>
        <v>783.72</v>
      </c>
      <c r="RK19" s="77">
        <v>403.9</v>
      </c>
      <c r="RL19" s="121">
        <f t="shared" si="1"/>
        <v>0</v>
      </c>
      <c r="RM19" s="145"/>
      <c r="RN19" s="145">
        <v>783.72</v>
      </c>
      <c r="RO19" s="145"/>
      <c r="RP19" s="104">
        <f t="shared" si="2"/>
        <v>1.9403812824956674</v>
      </c>
      <c r="RQ19" s="172" t="s">
        <v>582</v>
      </c>
    </row>
    <row r="20" spans="1:485" s="5" customFormat="1" ht="12.75" customHeight="1" x14ac:dyDescent="0.25">
      <c r="A20" s="61">
        <v>44965</v>
      </c>
      <c r="B20" s="102" t="s">
        <v>287</v>
      </c>
      <c r="C20" s="123"/>
      <c r="D20" s="123"/>
      <c r="E20" s="124"/>
      <c r="F20" s="124"/>
      <c r="G20" s="124"/>
      <c r="H20" s="124"/>
      <c r="I20" s="124"/>
      <c r="J20" s="124"/>
      <c r="K20" s="124"/>
      <c r="L20" s="124"/>
      <c r="M20" s="124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>
        <v>70</v>
      </c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125"/>
      <c r="FY20" s="125"/>
      <c r="FZ20" s="125"/>
      <c r="GA20" s="125"/>
      <c r="GB20" s="125"/>
      <c r="GC20" s="125"/>
      <c r="GD20" s="125"/>
      <c r="GE20" s="125"/>
      <c r="GF20" s="125"/>
      <c r="GG20" s="125"/>
      <c r="GH20" s="125"/>
      <c r="GI20" s="125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5"/>
      <c r="GV20" s="125"/>
      <c r="GW20" s="125"/>
      <c r="GX20" s="125"/>
      <c r="GY20" s="125"/>
      <c r="GZ20" s="125"/>
      <c r="HA20" s="125"/>
      <c r="HB20" s="125"/>
      <c r="HC20" s="125"/>
      <c r="HD20" s="125"/>
      <c r="HE20" s="125"/>
      <c r="HF20" s="125"/>
      <c r="HG20" s="125"/>
      <c r="HH20" s="125"/>
      <c r="HI20" s="125"/>
      <c r="HJ20" s="125"/>
      <c r="HK20" s="125"/>
      <c r="HL20" s="125"/>
      <c r="HM20" s="125"/>
      <c r="HN20" s="125"/>
      <c r="HO20" s="125"/>
      <c r="HP20" s="125"/>
      <c r="HQ20" s="125"/>
      <c r="HR20" s="125"/>
      <c r="HS20" s="125"/>
      <c r="HT20" s="125"/>
      <c r="HU20" s="125"/>
      <c r="HV20" s="125"/>
      <c r="HW20" s="125"/>
      <c r="HX20" s="125"/>
      <c r="HY20" s="125"/>
      <c r="HZ20" s="125"/>
      <c r="IA20" s="125"/>
      <c r="IB20" s="125"/>
      <c r="IC20" s="125"/>
      <c r="ID20" s="125"/>
      <c r="IE20" s="125"/>
      <c r="IF20" s="125"/>
      <c r="IG20" s="125"/>
      <c r="IH20" s="125"/>
      <c r="II20" s="125"/>
      <c r="IJ20" s="125"/>
      <c r="IK20" s="125"/>
      <c r="IL20" s="125"/>
      <c r="IM20" s="125"/>
      <c r="IN20" s="125"/>
      <c r="IO20" s="125"/>
      <c r="IP20" s="125"/>
      <c r="IQ20" s="125"/>
      <c r="IR20" s="125"/>
      <c r="IS20" s="125"/>
      <c r="IT20" s="125"/>
      <c r="IU20" s="125"/>
      <c r="IV20" s="125"/>
      <c r="IW20" s="125"/>
      <c r="IX20" s="125"/>
      <c r="IY20" s="125"/>
      <c r="IZ20" s="125"/>
      <c r="JA20" s="125"/>
      <c r="JB20" s="125"/>
      <c r="JC20" s="125"/>
      <c r="JD20" s="125"/>
      <c r="JE20" s="125"/>
      <c r="JF20" s="125"/>
      <c r="JG20" s="125"/>
      <c r="JH20" s="125"/>
      <c r="JI20" s="125"/>
      <c r="JJ20" s="125"/>
      <c r="JK20" s="125"/>
      <c r="JL20" s="125"/>
      <c r="JM20" s="125"/>
      <c r="JN20" s="125"/>
      <c r="JO20" s="125"/>
      <c r="JP20" s="125"/>
      <c r="JQ20" s="125"/>
      <c r="JR20" s="125"/>
      <c r="JS20" s="125"/>
      <c r="JT20" s="125"/>
      <c r="JU20" s="125"/>
      <c r="JV20" s="125"/>
      <c r="JW20" s="125"/>
      <c r="JX20" s="125"/>
      <c r="JY20" s="125"/>
      <c r="JZ20" s="125"/>
      <c r="KA20" s="125"/>
      <c r="KB20" s="125"/>
      <c r="KC20" s="125"/>
      <c r="KD20" s="125"/>
      <c r="KE20" s="125"/>
      <c r="KF20" s="125"/>
      <c r="KG20" s="125"/>
      <c r="KH20" s="125"/>
      <c r="KI20" s="125"/>
      <c r="KJ20" s="125"/>
      <c r="KK20" s="125"/>
      <c r="KL20" s="125"/>
      <c r="KM20" s="125"/>
      <c r="KN20" s="125"/>
      <c r="KO20" s="125"/>
      <c r="KP20" s="125"/>
      <c r="KQ20" s="125"/>
      <c r="KR20" s="125"/>
      <c r="KS20" s="125"/>
      <c r="KT20" s="125"/>
      <c r="KU20" s="125"/>
      <c r="KV20" s="125"/>
      <c r="KW20" s="125"/>
      <c r="KX20" s="125"/>
      <c r="KY20" s="125"/>
      <c r="KZ20" s="125"/>
      <c r="LA20" s="125"/>
      <c r="LB20" s="125"/>
      <c r="LC20" s="125"/>
      <c r="LD20" s="125"/>
      <c r="LE20" s="125"/>
      <c r="LF20" s="125"/>
      <c r="LG20" s="125"/>
      <c r="LH20" s="125"/>
      <c r="LI20" s="125"/>
      <c r="LJ20" s="125"/>
      <c r="LK20" s="125"/>
      <c r="LL20" s="125"/>
      <c r="LM20" s="125"/>
      <c r="LN20" s="125"/>
      <c r="LO20" s="125"/>
      <c r="LP20" s="125"/>
      <c r="LQ20" s="125"/>
      <c r="LR20" s="125"/>
      <c r="LS20" s="125"/>
      <c r="LT20" s="125"/>
      <c r="LU20" s="125"/>
      <c r="LV20" s="125"/>
      <c r="LW20" s="125"/>
      <c r="LX20" s="125"/>
      <c r="LY20" s="125"/>
      <c r="LZ20" s="125"/>
      <c r="MA20" s="125"/>
      <c r="MB20" s="125"/>
      <c r="MC20" s="125"/>
      <c r="MD20" s="125"/>
      <c r="ME20" s="125"/>
      <c r="MF20" s="125"/>
      <c r="MG20" s="125"/>
      <c r="MH20" s="125"/>
      <c r="MI20" s="125"/>
      <c r="MJ20" s="125"/>
      <c r="MK20" s="125"/>
      <c r="ML20" s="125"/>
      <c r="MM20" s="125"/>
      <c r="MN20" s="125"/>
      <c r="MO20" s="125"/>
      <c r="MP20" s="125"/>
      <c r="MQ20" s="125"/>
      <c r="MR20" s="125"/>
      <c r="MS20" s="125"/>
      <c r="MT20" s="125"/>
      <c r="MU20" s="125"/>
      <c r="MV20" s="125"/>
      <c r="MW20" s="125"/>
      <c r="MX20" s="125"/>
      <c r="MY20" s="125"/>
      <c r="MZ20" s="125"/>
      <c r="NA20" s="125"/>
      <c r="NB20" s="125"/>
      <c r="NC20" s="125"/>
      <c r="ND20" s="125"/>
      <c r="NE20" s="125"/>
      <c r="NF20" s="125"/>
      <c r="NG20" s="125"/>
      <c r="NH20" s="125"/>
      <c r="NI20" s="125"/>
      <c r="NJ20" s="125"/>
      <c r="NK20" s="125"/>
      <c r="NL20" s="125"/>
      <c r="NM20" s="125"/>
      <c r="NN20" s="125"/>
      <c r="NO20" s="125"/>
      <c r="NP20" s="125"/>
      <c r="NQ20" s="125"/>
      <c r="NR20" s="125"/>
      <c r="NS20" s="125"/>
      <c r="NT20" s="125"/>
      <c r="NU20" s="125"/>
      <c r="NV20" s="125"/>
      <c r="NW20" s="125"/>
      <c r="NX20" s="125"/>
      <c r="NY20" s="125"/>
      <c r="NZ20" s="125"/>
      <c r="OA20" s="125"/>
      <c r="OB20" s="125"/>
      <c r="OC20" s="125"/>
      <c r="OD20" s="125"/>
      <c r="OE20" s="125"/>
      <c r="OF20" s="125"/>
      <c r="OG20" s="125"/>
      <c r="OH20" s="125"/>
      <c r="OI20" s="125"/>
      <c r="OJ20" s="125"/>
      <c r="OK20" s="125"/>
      <c r="OL20" s="125"/>
      <c r="OM20" s="125"/>
      <c r="ON20" s="125"/>
      <c r="OO20" s="125"/>
      <c r="OP20" s="125"/>
      <c r="OQ20" s="125"/>
      <c r="OR20" s="125"/>
      <c r="OS20" s="125"/>
      <c r="OT20" s="125"/>
      <c r="OU20" s="125"/>
      <c r="OV20" s="125"/>
      <c r="OW20" s="125"/>
      <c r="OX20" s="125"/>
      <c r="OY20" s="125"/>
      <c r="OZ20" s="125"/>
      <c r="PA20" s="125"/>
      <c r="PB20" s="125"/>
      <c r="PC20" s="125"/>
      <c r="PD20" s="125"/>
      <c r="PE20" s="125"/>
      <c r="PF20" s="125"/>
      <c r="PG20" s="125"/>
      <c r="PH20" s="125"/>
      <c r="PI20" s="125"/>
      <c r="PJ20" s="125"/>
      <c r="PK20" s="125"/>
      <c r="PL20" s="125"/>
      <c r="PM20" s="125"/>
      <c r="PN20" s="125"/>
      <c r="PO20" s="125"/>
      <c r="PP20" s="125"/>
      <c r="PQ20" s="125"/>
      <c r="PR20" s="125"/>
      <c r="PS20" s="125"/>
      <c r="PT20" s="125"/>
      <c r="PU20" s="125"/>
      <c r="PV20" s="125"/>
      <c r="PW20" s="125"/>
      <c r="PX20" s="125"/>
      <c r="PY20" s="125"/>
      <c r="PZ20" s="125"/>
      <c r="QA20" s="125"/>
      <c r="QB20" s="125"/>
      <c r="QC20" s="125"/>
      <c r="QD20" s="125"/>
      <c r="QE20" s="125"/>
      <c r="QF20" s="125"/>
      <c r="QG20" s="125"/>
      <c r="QH20" s="125"/>
      <c r="QI20" s="125"/>
      <c r="QJ20" s="125"/>
      <c r="QK20" s="125"/>
      <c r="QL20" s="125"/>
      <c r="QM20" s="125"/>
      <c r="QN20" s="125"/>
      <c r="QO20" s="125"/>
      <c r="QP20" s="125"/>
      <c r="QQ20" s="125"/>
      <c r="QR20" s="125"/>
      <c r="QS20" s="125"/>
      <c r="QT20" s="125"/>
      <c r="QU20" s="125"/>
      <c r="QV20" s="125"/>
      <c r="QW20" s="125"/>
      <c r="QX20" s="125"/>
      <c r="QY20" s="125"/>
      <c r="QZ20" s="125"/>
      <c r="RA20" s="125"/>
      <c r="RB20" s="125"/>
      <c r="RC20" s="125"/>
      <c r="RD20" s="125"/>
      <c r="RE20" s="125"/>
      <c r="RF20" s="125"/>
      <c r="RG20" s="24">
        <f t="shared" si="0"/>
        <v>70</v>
      </c>
      <c r="RH20" s="60" t="s">
        <v>36</v>
      </c>
      <c r="RI20" s="121">
        <v>3528</v>
      </c>
      <c r="RJ20" s="77">
        <f>RM20+RN20+RO20</f>
        <v>0</v>
      </c>
      <c r="RK20" s="77">
        <v>2227.4</v>
      </c>
      <c r="RL20" s="121">
        <f t="shared" si="1"/>
        <v>3528</v>
      </c>
      <c r="RM20" s="145"/>
      <c r="RN20" s="145"/>
      <c r="RO20" s="145"/>
      <c r="RP20" s="104">
        <f t="shared" si="2"/>
        <v>1.583909490886235</v>
      </c>
      <c r="RQ20" s="172" t="s">
        <v>569</v>
      </c>
    </row>
    <row r="21" spans="1:485" s="5" customFormat="1" ht="12.75" customHeight="1" x14ac:dyDescent="0.25">
      <c r="A21" s="61">
        <v>44965</v>
      </c>
      <c r="B21" s="102" t="s">
        <v>550</v>
      </c>
      <c r="C21" s="123"/>
      <c r="D21" s="123"/>
      <c r="E21" s="124"/>
      <c r="F21" s="124"/>
      <c r="G21" s="124"/>
      <c r="H21" s="124"/>
      <c r="I21" s="124"/>
      <c r="J21" s="124"/>
      <c r="K21" s="124"/>
      <c r="L21" s="124"/>
      <c r="M21" s="124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>
        <v>5</v>
      </c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/>
      <c r="GA21" s="125"/>
      <c r="GB21" s="125"/>
      <c r="GC21" s="125"/>
      <c r="GD21" s="125"/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/>
      <c r="HH21" s="125"/>
      <c r="HI21" s="125"/>
      <c r="HJ21" s="125"/>
      <c r="HK21" s="125"/>
      <c r="HL21" s="125"/>
      <c r="HM21" s="125"/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/>
      <c r="IS21" s="125"/>
      <c r="IT21" s="125"/>
      <c r="IU21" s="125"/>
      <c r="IV21" s="125"/>
      <c r="IW21" s="125"/>
      <c r="IX21" s="125"/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/>
      <c r="KO21" s="125"/>
      <c r="KP21" s="125"/>
      <c r="KQ21" s="125"/>
      <c r="KR21" s="125"/>
      <c r="KS21" s="125"/>
      <c r="KT21" s="125"/>
      <c r="KU21" s="125"/>
      <c r="KV21" s="125"/>
      <c r="KW21" s="125"/>
      <c r="KX21" s="125"/>
      <c r="KY21" s="125"/>
      <c r="KZ21" s="125"/>
      <c r="LA21" s="125"/>
      <c r="LB21" s="125"/>
      <c r="LC21" s="125"/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125"/>
      <c r="LP21" s="125"/>
      <c r="LQ21" s="125"/>
      <c r="LR21" s="125"/>
      <c r="LS21" s="125"/>
      <c r="LT21" s="125"/>
      <c r="LU21" s="125"/>
      <c r="LV21" s="125"/>
      <c r="LW21" s="125"/>
      <c r="LX21" s="125"/>
      <c r="LY21" s="125"/>
      <c r="LZ21" s="125"/>
      <c r="MA21" s="125"/>
      <c r="MB21" s="125"/>
      <c r="MC21" s="125"/>
      <c r="MD21" s="125"/>
      <c r="ME21" s="125"/>
      <c r="MF21" s="125"/>
      <c r="MG21" s="125"/>
      <c r="MH21" s="125"/>
      <c r="MI21" s="125"/>
      <c r="MJ21" s="125"/>
      <c r="MK21" s="125"/>
      <c r="ML21" s="125"/>
      <c r="MM21" s="125"/>
      <c r="MN21" s="125"/>
      <c r="MO21" s="125"/>
      <c r="MP21" s="125"/>
      <c r="MQ21" s="125"/>
      <c r="MR21" s="125">
        <v>5</v>
      </c>
      <c r="MS21" s="125"/>
      <c r="MT21" s="125"/>
      <c r="MU21" s="125"/>
      <c r="MV21" s="125"/>
      <c r="MW21" s="125"/>
      <c r="MX21" s="125"/>
      <c r="MY21" s="125"/>
      <c r="MZ21" s="125"/>
      <c r="NA21" s="125"/>
      <c r="NB21" s="125"/>
      <c r="NC21" s="125"/>
      <c r="ND21" s="125"/>
      <c r="NE21" s="125"/>
      <c r="NF21" s="125"/>
      <c r="NG21" s="125"/>
      <c r="NH21" s="125"/>
      <c r="NI21" s="125"/>
      <c r="NJ21" s="125"/>
      <c r="NK21" s="125"/>
      <c r="NL21" s="125"/>
      <c r="NM21" s="125"/>
      <c r="NN21" s="125"/>
      <c r="NO21" s="125"/>
      <c r="NP21" s="125"/>
      <c r="NQ21" s="125"/>
      <c r="NR21" s="125"/>
      <c r="NS21" s="125"/>
      <c r="NT21" s="125"/>
      <c r="NU21" s="125"/>
      <c r="NV21" s="125"/>
      <c r="NW21" s="125"/>
      <c r="NX21" s="125"/>
      <c r="NY21" s="125"/>
      <c r="NZ21" s="125"/>
      <c r="OA21" s="125"/>
      <c r="OB21" s="125"/>
      <c r="OC21" s="125"/>
      <c r="OD21" s="125"/>
      <c r="OE21" s="125"/>
      <c r="OF21" s="125"/>
      <c r="OG21" s="125"/>
      <c r="OH21" s="125"/>
      <c r="OI21" s="125"/>
      <c r="OJ21" s="125"/>
      <c r="OK21" s="125"/>
      <c r="OL21" s="125"/>
      <c r="OM21" s="125"/>
      <c r="ON21" s="125"/>
      <c r="OO21" s="125"/>
      <c r="OP21" s="125"/>
      <c r="OQ21" s="125"/>
      <c r="OR21" s="125"/>
      <c r="OS21" s="125"/>
      <c r="OT21" s="125"/>
      <c r="OU21" s="125"/>
      <c r="OV21" s="125"/>
      <c r="OW21" s="125"/>
      <c r="OX21" s="125"/>
      <c r="OY21" s="125"/>
      <c r="OZ21" s="125"/>
      <c r="PA21" s="125"/>
      <c r="PB21" s="125"/>
      <c r="PC21" s="125"/>
      <c r="PD21" s="125"/>
      <c r="PE21" s="125"/>
      <c r="PF21" s="125"/>
      <c r="PG21" s="125"/>
      <c r="PH21" s="125"/>
      <c r="PI21" s="125"/>
      <c r="PJ21" s="125"/>
      <c r="PK21" s="125"/>
      <c r="PL21" s="125"/>
      <c r="PM21" s="125"/>
      <c r="PN21" s="125"/>
      <c r="PO21" s="125"/>
      <c r="PP21" s="125"/>
      <c r="PQ21" s="125"/>
      <c r="PR21" s="125"/>
      <c r="PS21" s="125"/>
      <c r="PT21" s="125"/>
      <c r="PU21" s="125"/>
      <c r="PV21" s="125"/>
      <c r="PW21" s="125"/>
      <c r="PX21" s="125"/>
      <c r="PY21" s="125"/>
      <c r="PZ21" s="125"/>
      <c r="QA21" s="125"/>
      <c r="QB21" s="125"/>
      <c r="QC21" s="125"/>
      <c r="QD21" s="125"/>
      <c r="QE21" s="125"/>
      <c r="QF21" s="125"/>
      <c r="QG21" s="125"/>
      <c r="QH21" s="125"/>
      <c r="QI21" s="125"/>
      <c r="QJ21" s="125"/>
      <c r="QK21" s="125"/>
      <c r="QL21" s="125"/>
      <c r="QM21" s="125"/>
      <c r="QN21" s="125"/>
      <c r="QO21" s="125"/>
      <c r="QP21" s="125"/>
      <c r="QQ21" s="125"/>
      <c r="QR21" s="125"/>
      <c r="QS21" s="125"/>
      <c r="QT21" s="125"/>
      <c r="QU21" s="125"/>
      <c r="QV21" s="125"/>
      <c r="QW21" s="125"/>
      <c r="QX21" s="125"/>
      <c r="QY21" s="125"/>
      <c r="QZ21" s="125"/>
      <c r="RA21" s="125"/>
      <c r="RB21" s="125"/>
      <c r="RC21" s="125"/>
      <c r="RD21" s="125"/>
      <c r="RE21" s="125"/>
      <c r="RF21" s="125"/>
      <c r="RG21" s="24">
        <f t="shared" si="0"/>
        <v>10</v>
      </c>
      <c r="RH21" s="60" t="s">
        <v>69</v>
      </c>
      <c r="RI21" s="121">
        <v>924.48</v>
      </c>
      <c r="RJ21" s="77">
        <f>RM21+RN21</f>
        <v>924.48</v>
      </c>
      <c r="RK21" s="77">
        <v>633.45000000000005</v>
      </c>
      <c r="RL21" s="121">
        <f t="shared" si="1"/>
        <v>0</v>
      </c>
      <c r="RM21" s="145">
        <v>598.55999999999995</v>
      </c>
      <c r="RN21" s="145">
        <v>325.92</v>
      </c>
      <c r="RO21" s="145"/>
      <c r="RP21" s="104">
        <f t="shared" si="2"/>
        <v>1.4594364196069145</v>
      </c>
      <c r="RQ21" s="172" t="s">
        <v>569</v>
      </c>
    </row>
    <row r="22" spans="1:485" s="5" customFormat="1" ht="12.75" customHeight="1" x14ac:dyDescent="0.25">
      <c r="A22" s="61">
        <v>44965</v>
      </c>
      <c r="B22" s="102" t="s">
        <v>140</v>
      </c>
      <c r="C22" s="123"/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5"/>
      <c r="BA22" s="125"/>
      <c r="BB22" s="125"/>
      <c r="BC22" s="125"/>
      <c r="BD22" s="125"/>
      <c r="BE22" s="125"/>
      <c r="BF22" s="125"/>
      <c r="BG22" s="125"/>
      <c r="BH22" s="125"/>
      <c r="BI22" s="125"/>
      <c r="BJ22" s="125"/>
      <c r="BK22" s="125"/>
      <c r="BL22" s="125"/>
      <c r="BM22" s="125"/>
      <c r="BN22" s="125"/>
      <c r="BO22" s="125"/>
      <c r="BP22" s="125"/>
      <c r="BQ22" s="125"/>
      <c r="BR22" s="125"/>
      <c r="BS22" s="125"/>
      <c r="BT22" s="125"/>
      <c r="BU22" s="125"/>
      <c r="BV22" s="125"/>
      <c r="BW22" s="125"/>
      <c r="BX22" s="125"/>
      <c r="BY22" s="125"/>
      <c r="BZ22" s="125"/>
      <c r="CA22" s="125"/>
      <c r="CB22" s="125"/>
      <c r="CC22" s="125"/>
      <c r="CD22" s="125"/>
      <c r="CE22" s="125"/>
      <c r="CF22" s="125"/>
      <c r="CG22" s="125"/>
      <c r="CH22" s="125"/>
      <c r="CI22" s="125"/>
      <c r="CJ22" s="125"/>
      <c r="CK22" s="125"/>
      <c r="CL22" s="125"/>
      <c r="CM22" s="125"/>
      <c r="CN22" s="125"/>
      <c r="CO22" s="125"/>
      <c r="CP22" s="125"/>
      <c r="CQ22" s="125"/>
      <c r="CR22" s="125"/>
      <c r="CS22" s="125"/>
      <c r="CT22" s="125"/>
      <c r="CU22" s="125"/>
      <c r="CV22" s="125"/>
      <c r="CW22" s="125"/>
      <c r="CX22" s="125"/>
      <c r="CY22" s="125"/>
      <c r="CZ22" s="125"/>
      <c r="DA22" s="125"/>
      <c r="DB22" s="125"/>
      <c r="DC22" s="125"/>
      <c r="DD22" s="125"/>
      <c r="DE22" s="125"/>
      <c r="DF22" s="125"/>
      <c r="DG22" s="125"/>
      <c r="DH22" s="125"/>
      <c r="DI22" s="125"/>
      <c r="DJ22" s="125"/>
      <c r="DK22" s="125"/>
      <c r="DL22" s="125"/>
      <c r="DM22" s="125"/>
      <c r="DN22" s="125"/>
      <c r="DO22" s="125"/>
      <c r="DP22" s="125"/>
      <c r="DQ22" s="125"/>
      <c r="DR22" s="125"/>
      <c r="DS22" s="125"/>
      <c r="DT22" s="125"/>
      <c r="DU22" s="125"/>
      <c r="DV22" s="125"/>
      <c r="DW22" s="125"/>
      <c r="DX22" s="125"/>
      <c r="DY22" s="125"/>
      <c r="DZ22" s="125"/>
      <c r="EA22" s="125"/>
      <c r="EB22" s="125"/>
      <c r="EC22" s="125"/>
      <c r="ED22" s="125"/>
      <c r="EE22" s="125"/>
      <c r="EF22" s="125"/>
      <c r="EG22" s="125"/>
      <c r="EH22" s="125"/>
      <c r="EI22" s="125"/>
      <c r="EJ22" s="125"/>
      <c r="EK22" s="125"/>
      <c r="EL22" s="125"/>
      <c r="EM22" s="125"/>
      <c r="EN22" s="125"/>
      <c r="EO22" s="125"/>
      <c r="EP22" s="125"/>
      <c r="EQ22" s="125"/>
      <c r="ER22" s="125"/>
      <c r="ES22" s="125"/>
      <c r="ET22" s="125"/>
      <c r="EU22" s="125"/>
      <c r="EV22" s="125"/>
      <c r="EW22" s="125"/>
      <c r="EX22" s="125"/>
      <c r="EY22" s="125"/>
      <c r="EZ22" s="125"/>
      <c r="FA22" s="125"/>
      <c r="FB22" s="125"/>
      <c r="FC22" s="125"/>
      <c r="FD22" s="125"/>
      <c r="FE22" s="125"/>
      <c r="FF22" s="125"/>
      <c r="FG22" s="125"/>
      <c r="FH22" s="125"/>
      <c r="FI22" s="125"/>
      <c r="FJ22" s="125"/>
      <c r="FK22" s="125"/>
      <c r="FL22" s="125"/>
      <c r="FM22" s="125"/>
      <c r="FN22" s="125"/>
      <c r="FO22" s="125"/>
      <c r="FP22" s="125"/>
      <c r="FQ22" s="125"/>
      <c r="FR22" s="125"/>
      <c r="FS22" s="125"/>
      <c r="FT22" s="125"/>
      <c r="FU22" s="125"/>
      <c r="FV22" s="125"/>
      <c r="FW22" s="125"/>
      <c r="FX22" s="125"/>
      <c r="FY22" s="125"/>
      <c r="FZ22" s="125"/>
      <c r="GA22" s="125"/>
      <c r="GB22" s="125"/>
      <c r="GC22" s="125"/>
      <c r="GD22" s="125">
        <v>10</v>
      </c>
      <c r="GE22" s="125"/>
      <c r="GF22" s="125"/>
      <c r="GG22" s="125"/>
      <c r="GH22" s="125"/>
      <c r="GI22" s="125"/>
      <c r="GJ22" s="125"/>
      <c r="GK22" s="125"/>
      <c r="GL22" s="125"/>
      <c r="GM22" s="125"/>
      <c r="GN22" s="125"/>
      <c r="GO22" s="125"/>
      <c r="GP22" s="125"/>
      <c r="GQ22" s="125"/>
      <c r="GR22" s="125"/>
      <c r="GS22" s="125"/>
      <c r="GT22" s="125"/>
      <c r="GU22" s="125"/>
      <c r="GV22" s="125"/>
      <c r="GW22" s="125"/>
      <c r="GX22" s="125"/>
      <c r="GY22" s="125"/>
      <c r="GZ22" s="125"/>
      <c r="HA22" s="125"/>
      <c r="HB22" s="125"/>
      <c r="HC22" s="125"/>
      <c r="HD22" s="125"/>
      <c r="HE22" s="125"/>
      <c r="HF22" s="125"/>
      <c r="HG22" s="125"/>
      <c r="HH22" s="125"/>
      <c r="HI22" s="125"/>
      <c r="HJ22" s="125"/>
      <c r="HK22" s="125"/>
      <c r="HL22" s="125"/>
      <c r="HM22" s="125"/>
      <c r="HN22" s="125"/>
      <c r="HO22" s="125"/>
      <c r="HP22" s="125"/>
      <c r="HQ22" s="125"/>
      <c r="HR22" s="125"/>
      <c r="HS22" s="125"/>
      <c r="HT22" s="125"/>
      <c r="HU22" s="125"/>
      <c r="HV22" s="125"/>
      <c r="HW22" s="125"/>
      <c r="HX22" s="125"/>
      <c r="HY22" s="125"/>
      <c r="HZ22" s="125"/>
      <c r="IA22" s="125"/>
      <c r="IB22" s="125"/>
      <c r="IC22" s="125"/>
      <c r="ID22" s="125"/>
      <c r="IE22" s="125"/>
      <c r="IF22" s="125"/>
      <c r="IG22" s="125"/>
      <c r="IH22" s="125"/>
      <c r="II22" s="125"/>
      <c r="IJ22" s="125"/>
      <c r="IK22" s="125"/>
      <c r="IL22" s="125"/>
      <c r="IM22" s="125"/>
      <c r="IN22" s="125"/>
      <c r="IO22" s="125"/>
      <c r="IP22" s="125"/>
      <c r="IQ22" s="125"/>
      <c r="IR22" s="125"/>
      <c r="IS22" s="125"/>
      <c r="IT22" s="125"/>
      <c r="IU22" s="125"/>
      <c r="IV22" s="125"/>
      <c r="IW22" s="125"/>
      <c r="IX22" s="125"/>
      <c r="IY22" s="125"/>
      <c r="IZ22" s="125"/>
      <c r="JA22" s="125"/>
      <c r="JB22" s="125"/>
      <c r="JC22" s="125"/>
      <c r="JD22" s="125"/>
      <c r="JE22" s="125"/>
      <c r="JF22" s="125"/>
      <c r="JG22" s="125"/>
      <c r="JH22" s="125"/>
      <c r="JI22" s="125"/>
      <c r="JJ22" s="125"/>
      <c r="JK22" s="125"/>
      <c r="JL22" s="125"/>
      <c r="JM22" s="125"/>
      <c r="JN22" s="125"/>
      <c r="JO22" s="125"/>
      <c r="JP22" s="125"/>
      <c r="JQ22" s="125"/>
      <c r="JR22" s="125"/>
      <c r="JS22" s="125"/>
      <c r="JT22" s="125"/>
      <c r="JU22" s="125"/>
      <c r="JV22" s="125"/>
      <c r="JW22" s="125"/>
      <c r="JX22" s="125"/>
      <c r="JY22" s="125"/>
      <c r="JZ22" s="125"/>
      <c r="KA22" s="125"/>
      <c r="KB22" s="125"/>
      <c r="KC22" s="125"/>
      <c r="KD22" s="125"/>
      <c r="KE22" s="125"/>
      <c r="KF22" s="125"/>
      <c r="KG22" s="125"/>
      <c r="KH22" s="125"/>
      <c r="KI22" s="125"/>
      <c r="KJ22" s="125"/>
      <c r="KK22" s="125"/>
      <c r="KL22" s="125"/>
      <c r="KM22" s="125"/>
      <c r="KN22" s="125"/>
      <c r="KO22" s="125"/>
      <c r="KP22" s="125"/>
      <c r="KQ22" s="125"/>
      <c r="KR22" s="125"/>
      <c r="KS22" s="125"/>
      <c r="KT22" s="125"/>
      <c r="KU22" s="125"/>
      <c r="KV22" s="125"/>
      <c r="KW22" s="125"/>
      <c r="KX22" s="125"/>
      <c r="KY22" s="125"/>
      <c r="KZ22" s="125"/>
      <c r="LA22" s="125"/>
      <c r="LB22" s="125"/>
      <c r="LC22" s="125"/>
      <c r="LD22" s="125"/>
      <c r="LE22" s="125"/>
      <c r="LF22" s="125"/>
      <c r="LG22" s="125"/>
      <c r="LH22" s="125"/>
      <c r="LI22" s="125"/>
      <c r="LJ22" s="125"/>
      <c r="LK22" s="125"/>
      <c r="LL22" s="125"/>
      <c r="LM22" s="125"/>
      <c r="LN22" s="125"/>
      <c r="LO22" s="125"/>
      <c r="LP22" s="125"/>
      <c r="LQ22" s="125"/>
      <c r="LR22" s="125"/>
      <c r="LS22" s="125"/>
      <c r="LT22" s="125"/>
      <c r="LU22" s="125"/>
      <c r="LV22" s="125"/>
      <c r="LW22" s="125"/>
      <c r="LX22" s="125"/>
      <c r="LY22" s="125"/>
      <c r="LZ22" s="125"/>
      <c r="MA22" s="125"/>
      <c r="MB22" s="125"/>
      <c r="MC22" s="125"/>
      <c r="MD22" s="125"/>
      <c r="ME22" s="125"/>
      <c r="MF22" s="125"/>
      <c r="MG22" s="125"/>
      <c r="MH22" s="125"/>
      <c r="MI22" s="125"/>
      <c r="MJ22" s="125"/>
      <c r="MK22" s="125"/>
      <c r="ML22" s="125"/>
      <c r="MM22" s="125"/>
      <c r="MN22" s="125"/>
      <c r="MO22" s="125"/>
      <c r="MP22" s="125"/>
      <c r="MQ22" s="125"/>
      <c r="MR22" s="125"/>
      <c r="MS22" s="125"/>
      <c r="MT22" s="125"/>
      <c r="MU22" s="125"/>
      <c r="MV22" s="125"/>
      <c r="MW22" s="125"/>
      <c r="MX22" s="125"/>
      <c r="MY22" s="125"/>
      <c r="MZ22" s="125"/>
      <c r="NA22" s="125"/>
      <c r="NB22" s="125"/>
      <c r="NC22" s="125"/>
      <c r="ND22" s="125"/>
      <c r="NE22" s="125"/>
      <c r="NF22" s="125"/>
      <c r="NG22" s="125"/>
      <c r="NH22" s="125"/>
      <c r="NI22" s="125"/>
      <c r="NJ22" s="125"/>
      <c r="NK22" s="125"/>
      <c r="NL22" s="125"/>
      <c r="NM22" s="125"/>
      <c r="NN22" s="125"/>
      <c r="NO22" s="125"/>
      <c r="NP22" s="125"/>
      <c r="NQ22" s="125"/>
      <c r="NR22" s="125"/>
      <c r="NS22" s="125"/>
      <c r="NT22" s="125"/>
      <c r="NU22" s="125"/>
      <c r="NV22" s="125"/>
      <c r="NW22" s="125"/>
      <c r="NX22" s="125"/>
      <c r="NY22" s="125"/>
      <c r="NZ22" s="125"/>
      <c r="OA22" s="125"/>
      <c r="OB22" s="125"/>
      <c r="OC22" s="125"/>
      <c r="OD22" s="125"/>
      <c r="OE22" s="125"/>
      <c r="OF22" s="125"/>
      <c r="OG22" s="125"/>
      <c r="OH22" s="125"/>
      <c r="OI22" s="125"/>
      <c r="OJ22" s="125"/>
      <c r="OK22" s="125"/>
      <c r="OL22" s="125"/>
      <c r="OM22" s="125"/>
      <c r="ON22" s="125"/>
      <c r="OO22" s="125"/>
      <c r="OP22" s="125"/>
      <c r="OQ22" s="125"/>
      <c r="OR22" s="125"/>
      <c r="OS22" s="125"/>
      <c r="OT22" s="125"/>
      <c r="OU22" s="125"/>
      <c r="OV22" s="125"/>
      <c r="OW22" s="125"/>
      <c r="OX22" s="125"/>
      <c r="OY22" s="125"/>
      <c r="OZ22" s="125"/>
      <c r="PA22" s="125"/>
      <c r="PB22" s="125"/>
      <c r="PC22" s="125"/>
      <c r="PD22" s="125"/>
      <c r="PE22" s="125"/>
      <c r="PF22" s="125"/>
      <c r="PG22" s="125"/>
      <c r="PH22" s="125"/>
      <c r="PI22" s="125"/>
      <c r="PJ22" s="125"/>
      <c r="PK22" s="125"/>
      <c r="PL22" s="125"/>
      <c r="PM22" s="125"/>
      <c r="PN22" s="125"/>
      <c r="PO22" s="125"/>
      <c r="PP22" s="125"/>
      <c r="PQ22" s="125"/>
      <c r="PR22" s="125"/>
      <c r="PS22" s="125"/>
      <c r="PT22" s="125"/>
      <c r="PU22" s="125"/>
      <c r="PV22" s="125"/>
      <c r="PW22" s="125"/>
      <c r="PX22" s="125"/>
      <c r="PY22" s="125"/>
      <c r="PZ22" s="125"/>
      <c r="QA22" s="125"/>
      <c r="QB22" s="125"/>
      <c r="QC22" s="125"/>
      <c r="QD22" s="125"/>
      <c r="QE22" s="125"/>
      <c r="QF22" s="125"/>
      <c r="QG22" s="125"/>
      <c r="QH22" s="125"/>
      <c r="QI22" s="125"/>
      <c r="QJ22" s="125"/>
      <c r="QK22" s="125"/>
      <c r="QL22" s="125"/>
      <c r="QM22" s="125"/>
      <c r="QN22" s="125"/>
      <c r="QO22" s="125"/>
      <c r="QP22" s="125"/>
      <c r="QQ22" s="125"/>
      <c r="QR22" s="125"/>
      <c r="QS22" s="125"/>
      <c r="QT22" s="125"/>
      <c r="QU22" s="125"/>
      <c r="QV22" s="125"/>
      <c r="QW22" s="125"/>
      <c r="QX22" s="125"/>
      <c r="QY22" s="125"/>
      <c r="QZ22" s="125"/>
      <c r="RA22" s="125"/>
      <c r="RB22" s="125"/>
      <c r="RC22" s="125"/>
      <c r="RD22" s="125"/>
      <c r="RE22" s="125"/>
      <c r="RF22" s="125"/>
      <c r="RG22" s="24">
        <f t="shared" si="0"/>
        <v>10</v>
      </c>
      <c r="RH22" s="60" t="s">
        <v>36</v>
      </c>
      <c r="RI22" s="121">
        <v>454.68</v>
      </c>
      <c r="RJ22" s="77">
        <f>RM22+RN22+RO22</f>
        <v>0</v>
      </c>
      <c r="RK22" s="77">
        <v>301.39999999999998</v>
      </c>
      <c r="RL22" s="121">
        <f t="shared" si="1"/>
        <v>454.68</v>
      </c>
      <c r="RM22" s="145"/>
      <c r="RN22" s="145"/>
      <c r="RO22" s="145"/>
      <c r="RP22" s="104">
        <f t="shared" si="2"/>
        <v>1.5085600530856007</v>
      </c>
      <c r="RQ22" s="172" t="s">
        <v>593</v>
      </c>
    </row>
    <row r="23" spans="1:485" s="5" customFormat="1" ht="12.75" customHeight="1" x14ac:dyDescent="0.25">
      <c r="A23" s="61">
        <v>44965</v>
      </c>
      <c r="B23" s="102" t="s">
        <v>548</v>
      </c>
      <c r="C23" s="123"/>
      <c r="D23" s="123"/>
      <c r="E23" s="124"/>
      <c r="F23" s="124"/>
      <c r="G23" s="124"/>
      <c r="H23" s="124"/>
      <c r="I23" s="124"/>
      <c r="J23" s="124"/>
      <c r="K23" s="124"/>
      <c r="L23" s="124"/>
      <c r="M23" s="124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B23" s="125"/>
      <c r="BC23" s="125"/>
      <c r="BD23" s="125"/>
      <c r="BE23" s="125"/>
      <c r="BF23" s="125"/>
      <c r="BG23" s="125"/>
      <c r="BH23" s="125"/>
      <c r="BI23" s="125"/>
      <c r="BJ23" s="125"/>
      <c r="BK23" s="125"/>
      <c r="BL23" s="125"/>
      <c r="BM23" s="125"/>
      <c r="BN23" s="125"/>
      <c r="BO23" s="125"/>
      <c r="BP23" s="125"/>
      <c r="BQ23" s="125"/>
      <c r="BR23" s="125"/>
      <c r="BS23" s="125"/>
      <c r="BT23" s="125"/>
      <c r="BU23" s="125"/>
      <c r="BV23" s="125"/>
      <c r="BW23" s="125"/>
      <c r="BX23" s="125"/>
      <c r="BY23" s="125"/>
      <c r="BZ23" s="125"/>
      <c r="CA23" s="125"/>
      <c r="CB23" s="125"/>
      <c r="CC23" s="125"/>
      <c r="CD23" s="125"/>
      <c r="CE23" s="125"/>
      <c r="CF23" s="125"/>
      <c r="CG23" s="125"/>
      <c r="CH23" s="125"/>
      <c r="CI23" s="125"/>
      <c r="CJ23" s="125"/>
      <c r="CK23" s="125"/>
      <c r="CL23" s="125"/>
      <c r="CM23" s="125"/>
      <c r="CN23" s="125"/>
      <c r="CO23" s="125"/>
      <c r="CP23" s="125"/>
      <c r="CQ23" s="125"/>
      <c r="CR23" s="125"/>
      <c r="CS23" s="125"/>
      <c r="CT23" s="125"/>
      <c r="CU23" s="125"/>
      <c r="CV23" s="125"/>
      <c r="CW23" s="125"/>
      <c r="CX23" s="125"/>
      <c r="CY23" s="125"/>
      <c r="CZ23" s="125"/>
      <c r="DA23" s="125"/>
      <c r="DB23" s="125"/>
      <c r="DC23" s="125"/>
      <c r="DD23" s="125"/>
      <c r="DE23" s="125"/>
      <c r="DF23" s="125">
        <v>5</v>
      </c>
      <c r="DG23" s="125"/>
      <c r="DH23" s="125"/>
      <c r="DI23" s="125"/>
      <c r="DJ23" s="125"/>
      <c r="DK23" s="125"/>
      <c r="DL23" s="125"/>
      <c r="DM23" s="125"/>
      <c r="DN23" s="125"/>
      <c r="DO23" s="125"/>
      <c r="DP23" s="125"/>
      <c r="DQ23" s="125"/>
      <c r="DR23" s="125"/>
      <c r="DS23" s="125"/>
      <c r="DT23" s="125"/>
      <c r="DU23" s="125"/>
      <c r="DV23" s="125"/>
      <c r="DW23" s="125"/>
      <c r="DX23" s="125"/>
      <c r="DY23" s="125"/>
      <c r="DZ23" s="125"/>
      <c r="EA23" s="125"/>
      <c r="EB23" s="125"/>
      <c r="EC23" s="125"/>
      <c r="ED23" s="125"/>
      <c r="EE23" s="125"/>
      <c r="EF23" s="125"/>
      <c r="EG23" s="125"/>
      <c r="EH23" s="125"/>
      <c r="EI23" s="125"/>
      <c r="EJ23" s="125"/>
      <c r="EK23" s="125"/>
      <c r="EL23" s="125"/>
      <c r="EM23" s="125"/>
      <c r="EN23" s="125"/>
      <c r="EO23" s="125"/>
      <c r="EP23" s="125"/>
      <c r="EQ23" s="125"/>
      <c r="ER23" s="125"/>
      <c r="ES23" s="125"/>
      <c r="ET23" s="125"/>
      <c r="EU23" s="125"/>
      <c r="EV23" s="125"/>
      <c r="EW23" s="125"/>
      <c r="EX23" s="125"/>
      <c r="EY23" s="125"/>
      <c r="EZ23" s="125"/>
      <c r="FA23" s="125"/>
      <c r="FB23" s="125"/>
      <c r="FC23" s="125"/>
      <c r="FD23" s="125"/>
      <c r="FE23" s="125"/>
      <c r="FF23" s="125"/>
      <c r="FG23" s="125"/>
      <c r="FH23" s="125"/>
      <c r="FI23" s="125"/>
      <c r="FJ23" s="125"/>
      <c r="FK23" s="125"/>
      <c r="FL23" s="125"/>
      <c r="FM23" s="125"/>
      <c r="FN23" s="125"/>
      <c r="FO23" s="125"/>
      <c r="FP23" s="125"/>
      <c r="FQ23" s="125"/>
      <c r="FR23" s="125"/>
      <c r="FS23" s="125"/>
      <c r="FT23" s="125"/>
      <c r="FU23" s="125"/>
      <c r="FV23" s="125"/>
      <c r="FW23" s="125"/>
      <c r="FX23" s="125"/>
      <c r="FY23" s="125"/>
      <c r="FZ23" s="125"/>
      <c r="GA23" s="125"/>
      <c r="GB23" s="125"/>
      <c r="GC23" s="125"/>
      <c r="GD23" s="125"/>
      <c r="GE23" s="125"/>
      <c r="GF23" s="125"/>
      <c r="GG23" s="125"/>
      <c r="GH23" s="125"/>
      <c r="GI23" s="125"/>
      <c r="GJ23" s="125"/>
      <c r="GK23" s="125"/>
      <c r="GL23" s="125"/>
      <c r="GM23" s="125"/>
      <c r="GN23" s="125"/>
      <c r="GO23" s="125"/>
      <c r="GP23" s="125"/>
      <c r="GQ23" s="125"/>
      <c r="GR23" s="125"/>
      <c r="GS23" s="125"/>
      <c r="GT23" s="125"/>
      <c r="GU23" s="125"/>
      <c r="GV23" s="125"/>
      <c r="GW23" s="125"/>
      <c r="GX23" s="125"/>
      <c r="GY23" s="125"/>
      <c r="GZ23" s="125"/>
      <c r="HA23" s="125"/>
      <c r="HB23" s="125"/>
      <c r="HC23" s="125"/>
      <c r="HD23" s="125"/>
      <c r="HE23" s="125"/>
      <c r="HF23" s="125"/>
      <c r="HG23" s="125"/>
      <c r="HH23" s="125"/>
      <c r="HI23" s="125"/>
      <c r="HJ23" s="125"/>
      <c r="HK23" s="125"/>
      <c r="HL23" s="125"/>
      <c r="HM23" s="125"/>
      <c r="HN23" s="125"/>
      <c r="HO23" s="125"/>
      <c r="HP23" s="125"/>
      <c r="HQ23" s="125"/>
      <c r="HR23" s="125"/>
      <c r="HS23" s="125"/>
      <c r="HT23" s="125"/>
      <c r="HU23" s="125"/>
      <c r="HV23" s="125"/>
      <c r="HW23" s="125"/>
      <c r="HX23" s="125"/>
      <c r="HY23" s="125"/>
      <c r="HZ23" s="125"/>
      <c r="IA23" s="125"/>
      <c r="IB23" s="125"/>
      <c r="IC23" s="125"/>
      <c r="ID23" s="125"/>
      <c r="IE23" s="125"/>
      <c r="IF23" s="125"/>
      <c r="IG23" s="125"/>
      <c r="IH23" s="125"/>
      <c r="II23" s="125"/>
      <c r="IJ23" s="125"/>
      <c r="IK23" s="125"/>
      <c r="IL23" s="125"/>
      <c r="IM23" s="125"/>
      <c r="IN23" s="125"/>
      <c r="IO23" s="125"/>
      <c r="IP23" s="125"/>
      <c r="IQ23" s="125"/>
      <c r="IR23" s="125"/>
      <c r="IS23" s="125"/>
      <c r="IT23" s="125"/>
      <c r="IU23" s="125"/>
      <c r="IV23" s="125"/>
      <c r="IW23" s="125"/>
      <c r="IX23" s="125"/>
      <c r="IY23" s="125"/>
      <c r="IZ23" s="125"/>
      <c r="JA23" s="125"/>
      <c r="JB23" s="125"/>
      <c r="JC23" s="125"/>
      <c r="JD23" s="125"/>
      <c r="JE23" s="125"/>
      <c r="JF23" s="125"/>
      <c r="JG23" s="125"/>
      <c r="JH23" s="125"/>
      <c r="JI23" s="125"/>
      <c r="JJ23" s="125"/>
      <c r="JK23" s="125"/>
      <c r="JL23" s="125"/>
      <c r="JM23" s="125"/>
      <c r="JN23" s="125"/>
      <c r="JO23" s="125"/>
      <c r="JP23" s="125"/>
      <c r="JQ23" s="125"/>
      <c r="JR23" s="125"/>
      <c r="JS23" s="125"/>
      <c r="JT23" s="125"/>
      <c r="JU23" s="125"/>
      <c r="JV23" s="125"/>
      <c r="JW23" s="125"/>
      <c r="JX23" s="125"/>
      <c r="JY23" s="125"/>
      <c r="JZ23" s="125"/>
      <c r="KA23" s="125"/>
      <c r="KB23" s="125"/>
      <c r="KC23" s="125"/>
      <c r="KD23" s="125"/>
      <c r="KE23" s="125"/>
      <c r="KF23" s="125"/>
      <c r="KG23" s="125"/>
      <c r="KH23" s="125"/>
      <c r="KI23" s="125"/>
      <c r="KJ23" s="125"/>
      <c r="KK23" s="125"/>
      <c r="KL23" s="125"/>
      <c r="KM23" s="125"/>
      <c r="KN23" s="125"/>
      <c r="KO23" s="125"/>
      <c r="KP23" s="125"/>
      <c r="KQ23" s="125"/>
      <c r="KR23" s="125"/>
      <c r="KS23" s="125"/>
      <c r="KT23" s="125"/>
      <c r="KU23" s="125"/>
      <c r="KV23" s="125"/>
      <c r="KW23" s="125"/>
      <c r="KX23" s="125">
        <v>5</v>
      </c>
      <c r="KY23" s="125"/>
      <c r="KZ23" s="125"/>
      <c r="LA23" s="125"/>
      <c r="LB23" s="125"/>
      <c r="LC23" s="125"/>
      <c r="LD23" s="125"/>
      <c r="LE23" s="125"/>
      <c r="LF23" s="125"/>
      <c r="LG23" s="125"/>
      <c r="LH23" s="125"/>
      <c r="LI23" s="125"/>
      <c r="LJ23" s="125"/>
      <c r="LK23" s="125"/>
      <c r="LL23" s="125"/>
      <c r="LM23" s="125"/>
      <c r="LN23" s="125"/>
      <c r="LO23" s="125"/>
      <c r="LP23" s="125"/>
      <c r="LQ23" s="125"/>
      <c r="LR23" s="125"/>
      <c r="LS23" s="125"/>
      <c r="LT23" s="125"/>
      <c r="LU23" s="125"/>
      <c r="LV23" s="125"/>
      <c r="LW23" s="125"/>
      <c r="LX23" s="125"/>
      <c r="LY23" s="125"/>
      <c r="LZ23" s="125"/>
      <c r="MA23" s="125">
        <v>1</v>
      </c>
      <c r="MB23" s="125"/>
      <c r="MC23" s="125"/>
      <c r="MD23" s="125"/>
      <c r="ME23" s="125"/>
      <c r="MF23" s="125"/>
      <c r="MG23" s="125"/>
      <c r="MH23" s="125"/>
      <c r="MI23" s="125"/>
      <c r="MJ23" s="125"/>
      <c r="MK23" s="125"/>
      <c r="ML23" s="125"/>
      <c r="MM23" s="125"/>
      <c r="MN23" s="125"/>
      <c r="MO23" s="125"/>
      <c r="MP23" s="125"/>
      <c r="MQ23" s="125"/>
      <c r="MR23" s="125"/>
      <c r="MS23" s="125">
        <v>5</v>
      </c>
      <c r="MT23" s="125"/>
      <c r="MU23" s="125"/>
      <c r="MV23" s="125"/>
      <c r="MW23" s="125"/>
      <c r="MX23" s="125"/>
      <c r="MY23" s="125"/>
      <c r="MZ23" s="125"/>
      <c r="NA23" s="125"/>
      <c r="NB23" s="125"/>
      <c r="NC23" s="125"/>
      <c r="ND23" s="125"/>
      <c r="NE23" s="125"/>
      <c r="NF23" s="125"/>
      <c r="NG23" s="125"/>
      <c r="NH23" s="125"/>
      <c r="NI23" s="125"/>
      <c r="NJ23" s="125"/>
      <c r="NK23" s="125"/>
      <c r="NL23" s="125"/>
      <c r="NM23" s="125"/>
      <c r="NN23" s="125"/>
      <c r="NO23" s="125"/>
      <c r="NP23" s="125"/>
      <c r="NQ23" s="125"/>
      <c r="NR23" s="125"/>
      <c r="NS23" s="125"/>
      <c r="NT23" s="125"/>
      <c r="NU23" s="125">
        <v>1</v>
      </c>
      <c r="NV23" s="125"/>
      <c r="NW23" s="125"/>
      <c r="NX23" s="125"/>
      <c r="NY23" s="125"/>
      <c r="NZ23" s="125"/>
      <c r="OA23" s="125"/>
      <c r="OB23" s="125"/>
      <c r="OC23" s="125">
        <v>5</v>
      </c>
      <c r="OD23" s="125"/>
      <c r="OE23" s="125"/>
      <c r="OF23" s="125"/>
      <c r="OG23" s="125"/>
      <c r="OH23" s="125"/>
      <c r="OI23" s="125"/>
      <c r="OJ23" s="125"/>
      <c r="OK23" s="125"/>
      <c r="OL23" s="125"/>
      <c r="OM23" s="125"/>
      <c r="ON23" s="125"/>
      <c r="OO23" s="125"/>
      <c r="OP23" s="125"/>
      <c r="OQ23" s="125"/>
      <c r="OR23" s="125"/>
      <c r="OS23" s="125"/>
      <c r="OT23" s="125"/>
      <c r="OU23" s="125"/>
      <c r="OV23" s="125"/>
      <c r="OW23" s="125"/>
      <c r="OX23" s="125"/>
      <c r="OY23" s="125"/>
      <c r="OZ23" s="125"/>
      <c r="PA23" s="125"/>
      <c r="PB23" s="125"/>
      <c r="PC23" s="125"/>
      <c r="PD23" s="125"/>
      <c r="PE23" s="125"/>
      <c r="PF23" s="125"/>
      <c r="PG23" s="125"/>
      <c r="PH23" s="125"/>
      <c r="PI23" s="125"/>
      <c r="PJ23" s="125"/>
      <c r="PK23" s="125"/>
      <c r="PL23" s="125"/>
      <c r="PM23" s="125"/>
      <c r="PN23" s="125"/>
      <c r="PO23" s="125"/>
      <c r="PP23" s="125"/>
      <c r="PQ23" s="125"/>
      <c r="PR23" s="125"/>
      <c r="PS23" s="125"/>
      <c r="PT23" s="125"/>
      <c r="PU23" s="125"/>
      <c r="PV23" s="125"/>
      <c r="PW23" s="125"/>
      <c r="PX23" s="125"/>
      <c r="PY23" s="125"/>
      <c r="PZ23" s="125"/>
      <c r="QA23" s="125"/>
      <c r="QB23" s="125"/>
      <c r="QC23" s="125"/>
      <c r="QD23" s="125"/>
      <c r="QE23" s="125"/>
      <c r="QF23" s="125"/>
      <c r="QG23" s="125"/>
      <c r="QH23" s="125"/>
      <c r="QI23" s="125"/>
      <c r="QJ23" s="125"/>
      <c r="QK23" s="125"/>
      <c r="QL23" s="125"/>
      <c r="QM23" s="125"/>
      <c r="QN23" s="125"/>
      <c r="QO23" s="125"/>
      <c r="QP23" s="125"/>
      <c r="QQ23" s="125"/>
      <c r="QR23" s="125"/>
      <c r="QS23" s="125"/>
      <c r="QT23" s="125"/>
      <c r="QU23" s="125"/>
      <c r="QV23" s="125"/>
      <c r="QW23" s="125"/>
      <c r="QX23" s="125"/>
      <c r="QY23" s="125"/>
      <c r="QZ23" s="125"/>
      <c r="RA23" s="125"/>
      <c r="RB23" s="125"/>
      <c r="RC23" s="125"/>
      <c r="RD23" s="125"/>
      <c r="RE23" s="125"/>
      <c r="RF23" s="125"/>
      <c r="RG23" s="24">
        <f t="shared" si="0"/>
        <v>22</v>
      </c>
      <c r="RH23" s="60" t="s">
        <v>36</v>
      </c>
      <c r="RI23" s="121">
        <v>1089.54</v>
      </c>
      <c r="RJ23" s="77">
        <f>RM23+RN23</f>
        <v>1089.54</v>
      </c>
      <c r="RK23" s="77">
        <v>651.66000000000008</v>
      </c>
      <c r="RL23" s="121">
        <f t="shared" si="1"/>
        <v>0</v>
      </c>
      <c r="RM23" s="145"/>
      <c r="RN23" s="145">
        <v>1089.54</v>
      </c>
      <c r="RO23" s="145"/>
      <c r="RP23" s="104">
        <f t="shared" si="2"/>
        <v>1.671945493048522</v>
      </c>
      <c r="RQ23" s="172"/>
    </row>
    <row r="24" spans="1:485" s="5" customFormat="1" ht="12.75" customHeight="1" x14ac:dyDescent="0.25">
      <c r="A24" s="61">
        <v>44965</v>
      </c>
      <c r="B24" s="102" t="s">
        <v>131</v>
      </c>
      <c r="C24" s="123"/>
      <c r="D24" s="123"/>
      <c r="E24" s="124"/>
      <c r="F24" s="124"/>
      <c r="G24" s="124"/>
      <c r="H24" s="124"/>
      <c r="I24" s="124"/>
      <c r="J24" s="124"/>
      <c r="K24" s="124"/>
      <c r="L24" s="124"/>
      <c r="M24" s="124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>
        <v>9</v>
      </c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>
        <v>20</v>
      </c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>
        <v>50</v>
      </c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>
        <v>1</v>
      </c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25"/>
      <c r="DY24" s="125"/>
      <c r="DZ24" s="125"/>
      <c r="EA24" s="125"/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25"/>
      <c r="EO24" s="125"/>
      <c r="EP24" s="125"/>
      <c r="EQ24" s="125"/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F24" s="125"/>
      <c r="FG24" s="125"/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V24" s="125"/>
      <c r="FW24" s="125"/>
      <c r="FX24" s="125"/>
      <c r="FY24" s="125"/>
      <c r="FZ24" s="125"/>
      <c r="GA24" s="125"/>
      <c r="GB24" s="125"/>
      <c r="GC24" s="125"/>
      <c r="GD24" s="125"/>
      <c r="GE24" s="125"/>
      <c r="GF24" s="125"/>
      <c r="GG24" s="125"/>
      <c r="GH24" s="125"/>
      <c r="GI24" s="125"/>
      <c r="GJ24" s="125"/>
      <c r="GK24" s="125"/>
      <c r="GL24" s="125"/>
      <c r="GM24" s="125"/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/>
      <c r="HA24" s="125"/>
      <c r="HB24" s="125"/>
      <c r="HC24" s="125">
        <v>30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/>
      <c r="HQ24" s="125"/>
      <c r="HR24" s="125"/>
      <c r="HS24" s="125"/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/>
      <c r="IG24" s="125"/>
      <c r="IH24" s="125"/>
      <c r="II24" s="125"/>
      <c r="IJ24" s="125"/>
      <c r="IK24" s="125"/>
      <c r="IL24" s="125"/>
      <c r="IM24" s="125"/>
      <c r="IN24" s="125"/>
      <c r="IO24" s="125"/>
      <c r="IP24" s="125"/>
      <c r="IQ24" s="125">
        <v>20</v>
      </c>
      <c r="IR24" s="125"/>
      <c r="IS24" s="125"/>
      <c r="IT24" s="125"/>
      <c r="IU24" s="125"/>
      <c r="IV24" s="125"/>
      <c r="IW24" s="125"/>
      <c r="IX24" s="125"/>
      <c r="IY24" s="125"/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/>
      <c r="JM24" s="125"/>
      <c r="JN24" s="125"/>
      <c r="JO24" s="125"/>
      <c r="JP24" s="125"/>
      <c r="JQ24" s="125"/>
      <c r="JR24" s="125"/>
      <c r="JS24" s="125"/>
      <c r="JT24" s="125"/>
      <c r="JU24" s="125"/>
      <c r="JV24" s="125"/>
      <c r="JW24" s="125"/>
      <c r="JX24" s="125"/>
      <c r="JY24" s="125"/>
      <c r="JZ24" s="125"/>
      <c r="KA24" s="125"/>
      <c r="KB24" s="125"/>
      <c r="KC24" s="125"/>
      <c r="KD24" s="125"/>
      <c r="KE24" s="125"/>
      <c r="KF24" s="125"/>
      <c r="KG24" s="125"/>
      <c r="KH24" s="125"/>
      <c r="KI24" s="125"/>
      <c r="KJ24" s="125"/>
      <c r="KK24" s="125"/>
      <c r="KL24" s="125"/>
      <c r="KM24" s="125"/>
      <c r="KN24" s="125"/>
      <c r="KO24" s="125"/>
      <c r="KP24" s="125"/>
      <c r="KQ24" s="125"/>
      <c r="KR24" s="125"/>
      <c r="KS24" s="125"/>
      <c r="KT24" s="125"/>
      <c r="KU24" s="125"/>
      <c r="KV24" s="125"/>
      <c r="KW24" s="125"/>
      <c r="KX24" s="125"/>
      <c r="KY24" s="125"/>
      <c r="KZ24" s="125"/>
      <c r="LA24" s="125"/>
      <c r="LB24" s="125"/>
      <c r="LC24" s="125"/>
      <c r="LD24" s="125"/>
      <c r="LE24" s="125"/>
      <c r="LF24" s="125"/>
      <c r="LG24" s="125"/>
      <c r="LH24" s="125"/>
      <c r="LI24" s="125"/>
      <c r="LJ24" s="125"/>
      <c r="LK24" s="125"/>
      <c r="LL24" s="125"/>
      <c r="LM24" s="125"/>
      <c r="LN24" s="125"/>
      <c r="LO24" s="125"/>
      <c r="LP24" s="125"/>
      <c r="LQ24" s="125"/>
      <c r="LR24" s="125"/>
      <c r="LS24" s="125"/>
      <c r="LT24" s="125"/>
      <c r="LU24" s="125"/>
      <c r="LV24" s="125"/>
      <c r="LW24" s="125"/>
      <c r="LX24" s="125"/>
      <c r="LY24" s="125"/>
      <c r="LZ24" s="125"/>
      <c r="MA24" s="125"/>
      <c r="MB24" s="125"/>
      <c r="MC24" s="125"/>
      <c r="MD24" s="125"/>
      <c r="ME24" s="125"/>
      <c r="MF24" s="125"/>
      <c r="MG24" s="125"/>
      <c r="MH24" s="125"/>
      <c r="MI24" s="125"/>
      <c r="MJ24" s="125"/>
      <c r="MK24" s="125"/>
      <c r="ML24" s="125"/>
      <c r="MM24" s="125"/>
      <c r="MN24" s="125"/>
      <c r="MO24" s="125"/>
      <c r="MP24" s="125"/>
      <c r="MQ24" s="125"/>
      <c r="MR24" s="125"/>
      <c r="MS24" s="125"/>
      <c r="MT24" s="125"/>
      <c r="MU24" s="125"/>
      <c r="MV24" s="125"/>
      <c r="MW24" s="125"/>
      <c r="MX24" s="125"/>
      <c r="MY24" s="125"/>
      <c r="MZ24" s="125"/>
      <c r="NA24" s="125"/>
      <c r="NB24" s="125"/>
      <c r="NC24" s="125"/>
      <c r="ND24" s="125"/>
      <c r="NE24" s="125"/>
      <c r="NF24" s="125"/>
      <c r="NG24" s="125"/>
      <c r="NH24" s="125"/>
      <c r="NI24" s="125"/>
      <c r="NJ24" s="125"/>
      <c r="NK24" s="125"/>
      <c r="NL24" s="125"/>
      <c r="NM24" s="125"/>
      <c r="NN24" s="125"/>
      <c r="NO24" s="125"/>
      <c r="NP24" s="125"/>
      <c r="NQ24" s="125"/>
      <c r="NR24" s="125"/>
      <c r="NS24" s="125"/>
      <c r="NT24" s="125"/>
      <c r="NU24" s="125"/>
      <c r="NV24" s="125"/>
      <c r="NW24" s="125"/>
      <c r="NX24" s="125"/>
      <c r="NY24" s="125"/>
      <c r="NZ24" s="125"/>
      <c r="OA24" s="125"/>
      <c r="OB24" s="125"/>
      <c r="OC24" s="125"/>
      <c r="OD24" s="125"/>
      <c r="OE24" s="125"/>
      <c r="OF24" s="125"/>
      <c r="OG24" s="125"/>
      <c r="OH24" s="125"/>
      <c r="OI24" s="125"/>
      <c r="OJ24" s="125"/>
      <c r="OK24" s="125"/>
      <c r="OL24" s="125"/>
      <c r="OM24" s="125"/>
      <c r="ON24" s="125"/>
      <c r="OO24" s="125"/>
      <c r="OP24" s="125"/>
      <c r="OQ24" s="125"/>
      <c r="OR24" s="125"/>
      <c r="OS24" s="125"/>
      <c r="OT24" s="125"/>
      <c r="OU24" s="125"/>
      <c r="OV24" s="125"/>
      <c r="OW24" s="125"/>
      <c r="OX24" s="125"/>
      <c r="OY24" s="125"/>
      <c r="OZ24" s="125"/>
      <c r="PA24" s="125"/>
      <c r="PB24" s="125"/>
      <c r="PC24" s="125"/>
      <c r="PD24" s="125"/>
      <c r="PE24" s="125"/>
      <c r="PF24" s="125"/>
      <c r="PG24" s="125"/>
      <c r="PH24" s="125"/>
      <c r="PI24" s="125"/>
      <c r="PJ24" s="125"/>
      <c r="PK24" s="125"/>
      <c r="PL24" s="125"/>
      <c r="PM24" s="125"/>
      <c r="PN24" s="125"/>
      <c r="PO24" s="125"/>
      <c r="PP24" s="125"/>
      <c r="PQ24" s="125"/>
      <c r="PR24" s="125"/>
      <c r="PS24" s="125"/>
      <c r="PT24" s="125"/>
      <c r="PU24" s="125"/>
      <c r="PV24" s="125"/>
      <c r="PW24" s="125"/>
      <c r="PX24" s="125"/>
      <c r="PY24" s="125"/>
      <c r="PZ24" s="125"/>
      <c r="QA24" s="125"/>
      <c r="QB24" s="125"/>
      <c r="QC24" s="125"/>
      <c r="QD24" s="125"/>
      <c r="QE24" s="125"/>
      <c r="QF24" s="125"/>
      <c r="QG24" s="125"/>
      <c r="QH24" s="125"/>
      <c r="QI24" s="125"/>
      <c r="QJ24" s="125"/>
      <c r="QK24" s="125"/>
      <c r="QL24" s="125"/>
      <c r="QM24" s="125"/>
      <c r="QN24" s="125"/>
      <c r="QO24" s="125"/>
      <c r="QP24" s="125"/>
      <c r="QQ24" s="125"/>
      <c r="QR24" s="125"/>
      <c r="QS24" s="125"/>
      <c r="QT24" s="125"/>
      <c r="QU24" s="125"/>
      <c r="QV24" s="125"/>
      <c r="QW24" s="125"/>
      <c r="QX24" s="125"/>
      <c r="QY24" s="125"/>
      <c r="QZ24" s="125"/>
      <c r="RA24" s="125"/>
      <c r="RB24" s="125"/>
      <c r="RC24" s="125"/>
      <c r="RD24" s="125"/>
      <c r="RE24" s="125"/>
      <c r="RF24" s="125"/>
      <c r="RG24" s="24">
        <f t="shared" si="0"/>
        <v>130</v>
      </c>
      <c r="RH24" s="60" t="s">
        <v>36</v>
      </c>
      <c r="RI24" s="121">
        <v>7426.74</v>
      </c>
      <c r="RJ24" s="77">
        <f>RM24+RN24+RO24</f>
        <v>1400</v>
      </c>
      <c r="RK24" s="77">
        <v>4918.78</v>
      </c>
      <c r="RL24" s="121">
        <f t="shared" si="1"/>
        <v>6026.74</v>
      </c>
      <c r="RM24" s="145"/>
      <c r="RN24" s="145">
        <v>1400</v>
      </c>
      <c r="RO24" s="145"/>
      <c r="RP24" s="104">
        <f t="shared" si="2"/>
        <v>1.5098743997495314</v>
      </c>
      <c r="RQ24" s="172"/>
    </row>
    <row r="25" spans="1:485" s="5" customFormat="1" ht="12.75" customHeight="1" x14ac:dyDescent="0.25">
      <c r="A25" s="61">
        <v>44965</v>
      </c>
      <c r="B25" s="112" t="s">
        <v>243</v>
      </c>
      <c r="C25" s="123"/>
      <c r="D25" s="123"/>
      <c r="E25" s="124"/>
      <c r="F25" s="124"/>
      <c r="G25" s="124"/>
      <c r="H25" s="124"/>
      <c r="I25" s="124"/>
      <c r="J25" s="124"/>
      <c r="K25" s="124"/>
      <c r="L25" s="124"/>
      <c r="M25" s="124"/>
      <c r="N25" s="125"/>
      <c r="O25" s="125"/>
      <c r="P25" s="125">
        <v>8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G25" s="125"/>
      <c r="BH25" s="125"/>
      <c r="BI25" s="125"/>
      <c r="BJ25" s="125"/>
      <c r="BK25" s="125"/>
      <c r="BL25" s="125"/>
      <c r="BM25" s="125"/>
      <c r="BN25" s="125"/>
      <c r="BO25" s="125"/>
      <c r="BP25" s="125"/>
      <c r="BQ25" s="125"/>
      <c r="BR25" s="125"/>
      <c r="BS25" s="125"/>
      <c r="BT25" s="125"/>
      <c r="BU25" s="125"/>
      <c r="BV25" s="125"/>
      <c r="BW25" s="125"/>
      <c r="BX25" s="125"/>
      <c r="BY25" s="125"/>
      <c r="BZ25" s="125"/>
      <c r="CA25" s="125"/>
      <c r="CB25" s="125"/>
      <c r="CC25" s="125"/>
      <c r="CD25" s="125"/>
      <c r="CE25" s="125"/>
      <c r="CF25" s="125"/>
      <c r="CG25" s="125"/>
      <c r="CH25" s="125"/>
      <c r="CI25" s="125"/>
      <c r="CJ25" s="125"/>
      <c r="CK25" s="125"/>
      <c r="CL25" s="125"/>
      <c r="CM25" s="125"/>
      <c r="CN25" s="125"/>
      <c r="CO25" s="125"/>
      <c r="CP25" s="125"/>
      <c r="CQ25" s="125"/>
      <c r="CR25" s="125"/>
      <c r="CS25" s="125"/>
      <c r="CT25" s="125"/>
      <c r="CU25" s="125"/>
      <c r="CV25" s="125"/>
      <c r="CW25" s="125"/>
      <c r="CX25" s="125"/>
      <c r="CY25" s="125"/>
      <c r="CZ25" s="125"/>
      <c r="DA25" s="125"/>
      <c r="DB25" s="125"/>
      <c r="DC25" s="125"/>
      <c r="DD25" s="125"/>
      <c r="DE25" s="125"/>
      <c r="DF25" s="125"/>
      <c r="DG25" s="125"/>
      <c r="DH25" s="125"/>
      <c r="DI25" s="125"/>
      <c r="DJ25" s="125"/>
      <c r="DK25" s="125"/>
      <c r="DL25" s="125"/>
      <c r="DM25" s="125"/>
      <c r="DN25" s="125"/>
      <c r="DO25" s="125"/>
      <c r="DP25" s="125"/>
      <c r="DQ25" s="125"/>
      <c r="DR25" s="125"/>
      <c r="DS25" s="125"/>
      <c r="DT25" s="125"/>
      <c r="DU25" s="125"/>
      <c r="DV25" s="125"/>
      <c r="DW25" s="125"/>
      <c r="DX25" s="125"/>
      <c r="DY25" s="125">
        <v>20</v>
      </c>
      <c r="DZ25" s="125"/>
      <c r="EA25" s="125"/>
      <c r="EB25" s="125"/>
      <c r="EC25" s="125"/>
      <c r="ED25" s="125"/>
      <c r="EE25" s="125"/>
      <c r="EF25" s="125"/>
      <c r="EG25" s="125"/>
      <c r="EH25" s="125"/>
      <c r="EI25" s="125"/>
      <c r="EJ25" s="125"/>
      <c r="EK25" s="125"/>
      <c r="EL25" s="125"/>
      <c r="EM25" s="125"/>
      <c r="EN25" s="125"/>
      <c r="EO25" s="125"/>
      <c r="EP25" s="125"/>
      <c r="EQ25" s="125">
        <v>10</v>
      </c>
      <c r="ER25" s="125"/>
      <c r="ES25" s="125"/>
      <c r="ET25" s="125"/>
      <c r="EU25" s="125"/>
      <c r="EV25" s="125"/>
      <c r="EW25" s="125"/>
      <c r="EX25" s="125"/>
      <c r="EY25" s="125"/>
      <c r="EZ25" s="125"/>
      <c r="FA25" s="125"/>
      <c r="FB25" s="125"/>
      <c r="FC25" s="125"/>
      <c r="FD25" s="125"/>
      <c r="FE25" s="125"/>
      <c r="FF25" s="125"/>
      <c r="FG25" s="125"/>
      <c r="FH25" s="125"/>
      <c r="FI25" s="125"/>
      <c r="FJ25" s="125"/>
      <c r="FK25" s="125"/>
      <c r="FL25" s="125"/>
      <c r="FM25" s="125"/>
      <c r="FN25" s="125">
        <v>8</v>
      </c>
      <c r="FO25" s="125"/>
      <c r="FP25" s="125"/>
      <c r="FQ25" s="125"/>
      <c r="FR25" s="125"/>
      <c r="FS25" s="125"/>
      <c r="FT25" s="125"/>
      <c r="FU25" s="125"/>
      <c r="FV25" s="125"/>
      <c r="FW25" s="125"/>
      <c r="FX25" s="125"/>
      <c r="FY25" s="125"/>
      <c r="FZ25" s="125"/>
      <c r="GA25" s="125"/>
      <c r="GB25" s="125"/>
      <c r="GC25" s="125"/>
      <c r="GD25" s="125"/>
      <c r="GE25" s="125"/>
      <c r="GF25" s="125"/>
      <c r="GG25" s="125"/>
      <c r="GH25" s="125"/>
      <c r="GI25" s="125"/>
      <c r="GJ25" s="125"/>
      <c r="GK25" s="125"/>
      <c r="GL25" s="125"/>
      <c r="GM25" s="125"/>
      <c r="GN25" s="125"/>
      <c r="GO25" s="125"/>
      <c r="GP25" s="125"/>
      <c r="GQ25" s="125"/>
      <c r="GR25" s="125"/>
      <c r="GS25" s="125"/>
      <c r="GT25" s="125"/>
      <c r="GU25" s="125"/>
      <c r="GV25" s="125"/>
      <c r="GW25" s="125"/>
      <c r="GX25" s="125"/>
      <c r="GY25" s="125"/>
      <c r="GZ25" s="125"/>
      <c r="HA25" s="125"/>
      <c r="HB25" s="125"/>
      <c r="HC25" s="125"/>
      <c r="HD25" s="125"/>
      <c r="HE25" s="125"/>
      <c r="HF25" s="125"/>
      <c r="HG25" s="125"/>
      <c r="HH25" s="125"/>
      <c r="HI25" s="125"/>
      <c r="HJ25" s="125"/>
      <c r="HK25" s="125"/>
      <c r="HL25" s="125"/>
      <c r="HM25" s="125"/>
      <c r="HN25" s="125"/>
      <c r="HO25" s="125"/>
      <c r="HP25" s="125"/>
      <c r="HQ25" s="125"/>
      <c r="HR25" s="125"/>
      <c r="HS25" s="125"/>
      <c r="HT25" s="125"/>
      <c r="HU25" s="125"/>
      <c r="HV25" s="125"/>
      <c r="HW25" s="125"/>
      <c r="HX25" s="125"/>
      <c r="HY25" s="125"/>
      <c r="HZ25" s="125"/>
      <c r="IA25" s="125"/>
      <c r="IB25" s="125"/>
      <c r="IC25" s="125"/>
      <c r="ID25" s="125"/>
      <c r="IE25" s="125"/>
      <c r="IF25" s="125"/>
      <c r="IG25" s="125"/>
      <c r="IH25" s="125"/>
      <c r="II25" s="125"/>
      <c r="IJ25" s="125"/>
      <c r="IK25" s="125"/>
      <c r="IL25" s="125"/>
      <c r="IM25" s="125"/>
      <c r="IN25" s="125"/>
      <c r="IO25" s="125"/>
      <c r="IP25" s="125"/>
      <c r="IQ25" s="125"/>
      <c r="IR25" s="125"/>
      <c r="IS25" s="125"/>
      <c r="IT25" s="125"/>
      <c r="IU25" s="125"/>
      <c r="IV25" s="125"/>
      <c r="IW25" s="125"/>
      <c r="IX25" s="125"/>
      <c r="IY25" s="125"/>
      <c r="IZ25" s="125"/>
      <c r="JA25" s="125"/>
      <c r="JB25" s="125"/>
      <c r="JC25" s="125"/>
      <c r="JD25" s="125"/>
      <c r="JE25" s="125"/>
      <c r="JF25" s="125"/>
      <c r="JG25" s="125"/>
      <c r="JH25" s="125"/>
      <c r="JI25" s="125"/>
      <c r="JJ25" s="125"/>
      <c r="JK25" s="125"/>
      <c r="JL25" s="125"/>
      <c r="JM25" s="125"/>
      <c r="JN25" s="125"/>
      <c r="JO25" s="125"/>
      <c r="JP25" s="125"/>
      <c r="JQ25" s="125"/>
      <c r="JR25" s="125"/>
      <c r="JS25" s="125"/>
      <c r="JT25" s="125"/>
      <c r="JU25" s="125"/>
      <c r="JV25" s="125"/>
      <c r="JW25" s="125"/>
      <c r="JX25" s="125"/>
      <c r="JY25" s="125"/>
      <c r="JZ25" s="125"/>
      <c r="KA25" s="125"/>
      <c r="KB25" s="125"/>
      <c r="KC25" s="125"/>
      <c r="KD25" s="125"/>
      <c r="KE25" s="125"/>
      <c r="KF25" s="125"/>
      <c r="KG25" s="125"/>
      <c r="KH25" s="125"/>
      <c r="KI25" s="125"/>
      <c r="KJ25" s="125"/>
      <c r="KK25" s="125"/>
      <c r="KL25" s="125"/>
      <c r="KM25" s="125"/>
      <c r="KN25" s="125"/>
      <c r="KO25" s="125">
        <v>20</v>
      </c>
      <c r="KP25" s="125"/>
      <c r="KQ25" s="125"/>
      <c r="KR25" s="125"/>
      <c r="KS25" s="125"/>
      <c r="KT25" s="125"/>
      <c r="KU25" s="125"/>
      <c r="KV25" s="125"/>
      <c r="KW25" s="125"/>
      <c r="KX25" s="125"/>
      <c r="KY25" s="125"/>
      <c r="KZ25" s="125"/>
      <c r="LA25" s="125"/>
      <c r="LB25" s="125"/>
      <c r="LC25" s="125"/>
      <c r="LD25" s="125"/>
      <c r="LE25" s="125"/>
      <c r="LF25" s="125"/>
      <c r="LG25" s="125"/>
      <c r="LH25" s="125"/>
      <c r="LI25" s="125"/>
      <c r="LJ25" s="125"/>
      <c r="LK25" s="125"/>
      <c r="LL25" s="125"/>
      <c r="LM25" s="125"/>
      <c r="LN25" s="125"/>
      <c r="LO25" s="125">
        <v>5</v>
      </c>
      <c r="LP25" s="125"/>
      <c r="LQ25" s="125"/>
      <c r="LR25" s="125"/>
      <c r="LS25" s="125"/>
      <c r="LT25" s="125"/>
      <c r="LU25" s="125"/>
      <c r="LV25" s="125"/>
      <c r="LW25" s="125"/>
      <c r="LX25" s="125"/>
      <c r="LY25" s="125"/>
      <c r="LZ25" s="125"/>
      <c r="MA25" s="125"/>
      <c r="MB25" s="125"/>
      <c r="MC25" s="125"/>
      <c r="MD25" s="125"/>
      <c r="ME25" s="125"/>
      <c r="MF25" s="125"/>
      <c r="MG25" s="125"/>
      <c r="MH25" s="125"/>
      <c r="MI25" s="125"/>
      <c r="MJ25" s="125"/>
      <c r="MK25" s="125"/>
      <c r="ML25" s="125"/>
      <c r="MM25" s="125"/>
      <c r="MN25" s="125"/>
      <c r="MO25" s="125"/>
      <c r="MP25" s="125"/>
      <c r="MQ25" s="125"/>
      <c r="MR25" s="125"/>
      <c r="MS25" s="125"/>
      <c r="MT25" s="125"/>
      <c r="MU25" s="125"/>
      <c r="MV25" s="125"/>
      <c r="MW25" s="125"/>
      <c r="MX25" s="125"/>
      <c r="MY25" s="125"/>
      <c r="MZ25" s="125"/>
      <c r="NA25" s="125"/>
      <c r="NB25" s="125"/>
      <c r="NC25" s="125"/>
      <c r="ND25" s="125"/>
      <c r="NE25" s="125"/>
      <c r="NF25" s="125"/>
      <c r="NG25" s="125"/>
      <c r="NH25" s="125"/>
      <c r="NI25" s="125"/>
      <c r="NJ25" s="125"/>
      <c r="NK25" s="125"/>
      <c r="NL25" s="125"/>
      <c r="NM25" s="125"/>
      <c r="NN25" s="125"/>
      <c r="NO25" s="125"/>
      <c r="NP25" s="125"/>
      <c r="NQ25" s="125"/>
      <c r="NR25" s="125"/>
      <c r="NS25" s="125"/>
      <c r="NT25" s="125"/>
      <c r="NU25" s="125"/>
      <c r="NV25" s="125"/>
      <c r="NW25" s="125"/>
      <c r="NX25" s="125"/>
      <c r="NY25" s="125"/>
      <c r="NZ25" s="125"/>
      <c r="OA25" s="125"/>
      <c r="OB25" s="125"/>
      <c r="OC25" s="125"/>
      <c r="OD25" s="125"/>
      <c r="OE25" s="125"/>
      <c r="OF25" s="125"/>
      <c r="OG25" s="125"/>
      <c r="OH25" s="125"/>
      <c r="OI25" s="125"/>
      <c r="OJ25" s="125"/>
      <c r="OK25" s="125"/>
      <c r="OL25" s="125"/>
      <c r="OM25" s="125"/>
      <c r="ON25" s="125"/>
      <c r="OO25" s="125"/>
      <c r="OP25" s="125"/>
      <c r="OQ25" s="125"/>
      <c r="OR25" s="125"/>
      <c r="OS25" s="125"/>
      <c r="OT25" s="125"/>
      <c r="OU25" s="125"/>
      <c r="OV25" s="125"/>
      <c r="OW25" s="125"/>
      <c r="OX25" s="125"/>
      <c r="OY25" s="125"/>
      <c r="OZ25" s="125"/>
      <c r="PA25" s="125"/>
      <c r="PB25" s="125"/>
      <c r="PC25" s="125"/>
      <c r="PD25" s="125"/>
      <c r="PE25" s="125"/>
      <c r="PF25" s="125"/>
      <c r="PG25" s="125"/>
      <c r="PH25" s="125"/>
      <c r="PI25" s="125"/>
      <c r="PJ25" s="125"/>
      <c r="PK25" s="125"/>
      <c r="PL25" s="125"/>
      <c r="PM25" s="125"/>
      <c r="PN25" s="125"/>
      <c r="PO25" s="125"/>
      <c r="PP25" s="125">
        <v>10</v>
      </c>
      <c r="PQ25" s="125"/>
      <c r="PR25" s="125"/>
      <c r="PS25" s="125"/>
      <c r="PT25" s="125"/>
      <c r="PU25" s="125"/>
      <c r="PV25" s="125"/>
      <c r="PW25" s="125"/>
      <c r="PX25" s="125"/>
      <c r="PY25" s="125"/>
      <c r="PZ25" s="125"/>
      <c r="QA25" s="125"/>
      <c r="QB25" s="125"/>
      <c r="QC25" s="125"/>
      <c r="QD25" s="125"/>
      <c r="QE25" s="125"/>
      <c r="QF25" s="125"/>
      <c r="QG25" s="125"/>
      <c r="QH25" s="125"/>
      <c r="QI25" s="125"/>
      <c r="QJ25" s="125"/>
      <c r="QK25" s="125"/>
      <c r="QL25" s="125"/>
      <c r="QM25" s="125"/>
      <c r="QN25" s="125"/>
      <c r="QO25" s="125"/>
      <c r="QP25" s="125"/>
      <c r="QQ25" s="125"/>
      <c r="QR25" s="125"/>
      <c r="QS25" s="125"/>
      <c r="QT25" s="125"/>
      <c r="QU25" s="125"/>
      <c r="QV25" s="125"/>
      <c r="QW25" s="125"/>
      <c r="QX25" s="125"/>
      <c r="QY25" s="125"/>
      <c r="QZ25" s="125"/>
      <c r="RA25" s="125"/>
      <c r="RB25" s="125"/>
      <c r="RC25" s="125"/>
      <c r="RD25" s="125"/>
      <c r="RE25" s="125"/>
      <c r="RF25" s="125"/>
      <c r="RG25" s="24">
        <f t="shared" si="0"/>
        <v>81</v>
      </c>
      <c r="RH25" s="60" t="s">
        <v>36</v>
      </c>
      <c r="RI25" s="121">
        <v>5705.4</v>
      </c>
      <c r="RJ25" s="77">
        <f>RM25+RN25+RO25</f>
        <v>0</v>
      </c>
      <c r="RK25" s="77">
        <v>3962.2400000000002</v>
      </c>
      <c r="RL25" s="121">
        <f t="shared" si="1"/>
        <v>5705.4</v>
      </c>
      <c r="RM25" s="145"/>
      <c r="RN25" s="145"/>
      <c r="RO25" s="145"/>
      <c r="RP25" s="104">
        <f t="shared" si="2"/>
        <v>1.4399430625100951</v>
      </c>
      <c r="RQ25" s="172" t="s">
        <v>585</v>
      </c>
    </row>
    <row r="26" spans="1:485" s="5" customFormat="1" ht="12.75" customHeight="1" x14ac:dyDescent="0.25">
      <c r="A26" s="61">
        <v>44967</v>
      </c>
      <c r="B26" s="112" t="s">
        <v>586</v>
      </c>
      <c r="C26" s="123"/>
      <c r="D26" s="123"/>
      <c r="E26" s="124"/>
      <c r="F26" s="124"/>
      <c r="G26" s="124"/>
      <c r="H26" s="124"/>
      <c r="I26" s="124"/>
      <c r="J26" s="124"/>
      <c r="K26" s="124"/>
      <c r="L26" s="124"/>
      <c r="M26" s="124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5"/>
      <c r="CJ26" s="125"/>
      <c r="CK26" s="125"/>
      <c r="CL26" s="125"/>
      <c r="CM26" s="125"/>
      <c r="CN26" s="125"/>
      <c r="CO26" s="125"/>
      <c r="CP26" s="125"/>
      <c r="CQ26" s="125"/>
      <c r="CR26" s="125"/>
      <c r="CS26" s="125"/>
      <c r="CT26" s="125"/>
      <c r="CU26" s="125"/>
      <c r="CV26" s="125"/>
      <c r="CW26" s="125"/>
      <c r="CX26" s="125"/>
      <c r="CY26" s="125"/>
      <c r="CZ26" s="125"/>
      <c r="DA26" s="125"/>
      <c r="DB26" s="125"/>
      <c r="DC26" s="125"/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/>
      <c r="DX26" s="125"/>
      <c r="DY26" s="125"/>
      <c r="DZ26" s="125"/>
      <c r="EA26" s="125"/>
      <c r="EB26" s="125"/>
      <c r="EC26" s="125"/>
      <c r="ED26" s="125"/>
      <c r="EE26" s="125"/>
      <c r="EF26" s="125"/>
      <c r="EG26" s="125"/>
      <c r="EH26" s="125"/>
      <c r="EI26" s="125"/>
      <c r="EJ26" s="125"/>
      <c r="EK26" s="125"/>
      <c r="EL26" s="125"/>
      <c r="EM26" s="125"/>
      <c r="EN26" s="125"/>
      <c r="EO26" s="125"/>
      <c r="EP26" s="125"/>
      <c r="EQ26" s="125"/>
      <c r="ER26" s="125"/>
      <c r="ES26" s="125"/>
      <c r="ET26" s="125"/>
      <c r="EU26" s="125"/>
      <c r="EV26" s="125"/>
      <c r="EW26" s="125"/>
      <c r="EX26" s="125"/>
      <c r="EY26" s="125"/>
      <c r="EZ26" s="125"/>
      <c r="FA26" s="125"/>
      <c r="FB26" s="125"/>
      <c r="FC26" s="125"/>
      <c r="FD26" s="125"/>
      <c r="FE26" s="125"/>
      <c r="FF26" s="125"/>
      <c r="FG26" s="125"/>
      <c r="FH26" s="125"/>
      <c r="FI26" s="125"/>
      <c r="FJ26" s="125"/>
      <c r="FK26" s="125"/>
      <c r="FL26" s="125"/>
      <c r="FM26" s="125"/>
      <c r="FN26" s="125"/>
      <c r="FO26" s="125"/>
      <c r="FP26" s="125"/>
      <c r="FQ26" s="125"/>
      <c r="FR26" s="125"/>
      <c r="FS26" s="125"/>
      <c r="FT26" s="125"/>
      <c r="FU26" s="125"/>
      <c r="FV26" s="125"/>
      <c r="FW26" s="125"/>
      <c r="FX26" s="125"/>
      <c r="FY26" s="125"/>
      <c r="FZ26" s="125"/>
      <c r="GA26" s="125"/>
      <c r="GB26" s="125"/>
      <c r="GC26" s="125"/>
      <c r="GD26" s="125"/>
      <c r="GE26" s="125"/>
      <c r="GF26" s="125"/>
      <c r="GG26" s="125"/>
      <c r="GH26" s="125"/>
      <c r="GI26" s="125"/>
      <c r="GJ26" s="125"/>
      <c r="GK26" s="125"/>
      <c r="GL26" s="125"/>
      <c r="GM26" s="125"/>
      <c r="GN26" s="125"/>
      <c r="GO26" s="125"/>
      <c r="GP26" s="125"/>
      <c r="GQ26" s="125"/>
      <c r="GR26" s="125"/>
      <c r="GS26" s="125"/>
      <c r="GT26" s="125"/>
      <c r="GU26" s="125"/>
      <c r="GV26" s="125"/>
      <c r="GW26" s="125"/>
      <c r="GX26" s="125"/>
      <c r="GY26" s="125"/>
      <c r="GZ26" s="125"/>
      <c r="HA26" s="125"/>
      <c r="HB26" s="125"/>
      <c r="HC26" s="125"/>
      <c r="HD26" s="125"/>
      <c r="HE26" s="125"/>
      <c r="HF26" s="125"/>
      <c r="HG26" s="125"/>
      <c r="HH26" s="125"/>
      <c r="HI26" s="125"/>
      <c r="HJ26" s="125"/>
      <c r="HK26" s="125"/>
      <c r="HL26" s="125"/>
      <c r="HM26" s="125"/>
      <c r="HN26" s="125"/>
      <c r="HO26" s="125"/>
      <c r="HP26" s="125"/>
      <c r="HQ26" s="125"/>
      <c r="HR26" s="125"/>
      <c r="HS26" s="125"/>
      <c r="HT26" s="125"/>
      <c r="HU26" s="125"/>
      <c r="HV26" s="125"/>
      <c r="HW26" s="125"/>
      <c r="HX26" s="125"/>
      <c r="HY26" s="125"/>
      <c r="HZ26" s="125"/>
      <c r="IA26" s="125"/>
      <c r="IB26" s="125"/>
      <c r="IC26" s="125"/>
      <c r="ID26" s="125"/>
      <c r="IE26" s="125"/>
      <c r="IF26" s="125"/>
      <c r="IG26" s="125"/>
      <c r="IH26" s="125"/>
      <c r="II26" s="125"/>
      <c r="IJ26" s="125"/>
      <c r="IK26" s="125"/>
      <c r="IL26" s="125"/>
      <c r="IM26" s="125"/>
      <c r="IN26" s="125"/>
      <c r="IO26" s="125"/>
      <c r="IP26" s="125"/>
      <c r="IQ26" s="125"/>
      <c r="IR26" s="125"/>
      <c r="IS26" s="125"/>
      <c r="IT26" s="125"/>
      <c r="IU26" s="125"/>
      <c r="IV26" s="125"/>
      <c r="IW26" s="125"/>
      <c r="IX26" s="125"/>
      <c r="IY26" s="125"/>
      <c r="IZ26" s="125"/>
      <c r="JA26" s="125"/>
      <c r="JB26" s="125"/>
      <c r="JC26" s="125"/>
      <c r="JD26" s="125"/>
      <c r="JE26" s="125"/>
      <c r="JF26" s="125"/>
      <c r="JG26" s="125"/>
      <c r="JH26" s="125"/>
      <c r="JI26" s="125"/>
      <c r="JJ26" s="125"/>
      <c r="JK26" s="125"/>
      <c r="JL26" s="125"/>
      <c r="JM26" s="125"/>
      <c r="JN26" s="125"/>
      <c r="JO26" s="125"/>
      <c r="JP26" s="125"/>
      <c r="JQ26" s="125"/>
      <c r="JR26" s="125"/>
      <c r="JS26" s="125"/>
      <c r="JT26" s="125"/>
      <c r="JU26" s="125"/>
      <c r="JV26" s="125"/>
      <c r="JW26" s="125"/>
      <c r="JX26" s="125"/>
      <c r="JY26" s="125"/>
      <c r="JZ26" s="125"/>
      <c r="KA26" s="125"/>
      <c r="KB26" s="125"/>
      <c r="KC26" s="125"/>
      <c r="KD26" s="125"/>
      <c r="KE26" s="125"/>
      <c r="KF26" s="125"/>
      <c r="KG26" s="125"/>
      <c r="KH26" s="125"/>
      <c r="KI26" s="125"/>
      <c r="KJ26" s="125"/>
      <c r="KK26" s="125"/>
      <c r="KL26" s="125"/>
      <c r="KM26" s="125"/>
      <c r="KN26" s="125"/>
      <c r="KO26" s="125"/>
      <c r="KP26" s="125"/>
      <c r="KQ26" s="125"/>
      <c r="KR26" s="125"/>
      <c r="KS26" s="125"/>
      <c r="KT26" s="125"/>
      <c r="KU26" s="125"/>
      <c r="KV26" s="125"/>
      <c r="KW26" s="125"/>
      <c r="KX26" s="125"/>
      <c r="KY26" s="125"/>
      <c r="KZ26" s="125"/>
      <c r="LA26" s="125"/>
      <c r="LB26" s="125"/>
      <c r="LC26" s="125"/>
      <c r="LD26" s="125"/>
      <c r="LE26" s="125"/>
      <c r="LF26" s="125"/>
      <c r="LG26" s="125"/>
      <c r="LH26" s="125"/>
      <c r="LI26" s="125"/>
      <c r="LJ26" s="125"/>
      <c r="LK26" s="125"/>
      <c r="LL26" s="125"/>
      <c r="LM26" s="125"/>
      <c r="LN26" s="125"/>
      <c r="LO26" s="125"/>
      <c r="LP26" s="125"/>
      <c r="LQ26" s="125"/>
      <c r="LR26" s="125"/>
      <c r="LS26" s="125"/>
      <c r="LT26" s="125"/>
      <c r="LU26" s="125"/>
      <c r="LV26" s="125"/>
      <c r="LW26" s="125"/>
      <c r="LX26" s="125"/>
      <c r="LY26" s="125"/>
      <c r="LZ26" s="125"/>
      <c r="MA26" s="125"/>
      <c r="MB26" s="125"/>
      <c r="MC26" s="125"/>
      <c r="MD26" s="125"/>
      <c r="ME26" s="125"/>
      <c r="MF26" s="125"/>
      <c r="MG26" s="125"/>
      <c r="MH26" s="125"/>
      <c r="MI26" s="125"/>
      <c r="MJ26" s="125"/>
      <c r="MK26" s="125"/>
      <c r="ML26" s="125"/>
      <c r="MM26" s="125"/>
      <c r="MN26" s="125"/>
      <c r="MO26" s="125"/>
      <c r="MP26" s="125"/>
      <c r="MQ26" s="125"/>
      <c r="MR26" s="125"/>
      <c r="MS26" s="125"/>
      <c r="MT26" s="125"/>
      <c r="MU26" s="125"/>
      <c r="MV26" s="125"/>
      <c r="MW26" s="125"/>
      <c r="MX26" s="125"/>
      <c r="MY26" s="125"/>
      <c r="MZ26" s="125"/>
      <c r="NA26" s="125"/>
      <c r="NB26" s="125"/>
      <c r="NC26" s="125"/>
      <c r="ND26" s="125"/>
      <c r="NE26" s="125"/>
      <c r="NF26" s="125"/>
      <c r="NG26" s="125"/>
      <c r="NH26" s="125"/>
      <c r="NI26" s="125"/>
      <c r="NJ26" s="125"/>
      <c r="NK26" s="125"/>
      <c r="NL26" s="125"/>
      <c r="NM26" s="125"/>
      <c r="NN26" s="125"/>
      <c r="NO26" s="125"/>
      <c r="NP26" s="125"/>
      <c r="NQ26" s="125"/>
      <c r="NR26" s="125"/>
      <c r="NS26" s="125"/>
      <c r="NT26" s="125"/>
      <c r="NU26" s="125"/>
      <c r="NV26" s="125"/>
      <c r="NW26" s="125"/>
      <c r="NX26" s="125"/>
      <c r="NY26" s="125"/>
      <c r="NZ26" s="125"/>
      <c r="OA26" s="125"/>
      <c r="OB26" s="125"/>
      <c r="OC26" s="125">
        <v>2</v>
      </c>
      <c r="OD26" s="125"/>
      <c r="OE26" s="125"/>
      <c r="OF26" s="125"/>
      <c r="OG26" s="125"/>
      <c r="OH26" s="125"/>
      <c r="OI26" s="125"/>
      <c r="OJ26" s="125"/>
      <c r="OK26" s="125"/>
      <c r="OL26" s="125"/>
      <c r="OM26" s="125"/>
      <c r="ON26" s="125"/>
      <c r="OO26" s="125"/>
      <c r="OP26" s="125"/>
      <c r="OQ26" s="125"/>
      <c r="OR26" s="125"/>
      <c r="OS26" s="125"/>
      <c r="OT26" s="125"/>
      <c r="OU26" s="125"/>
      <c r="OV26" s="125"/>
      <c r="OW26" s="125"/>
      <c r="OX26" s="125"/>
      <c r="OY26" s="125"/>
      <c r="OZ26" s="125"/>
      <c r="PA26" s="125"/>
      <c r="PB26" s="125"/>
      <c r="PC26" s="125"/>
      <c r="PD26" s="125"/>
      <c r="PE26" s="125"/>
      <c r="PF26" s="125"/>
      <c r="PG26" s="125"/>
      <c r="PH26" s="125"/>
      <c r="PI26" s="125"/>
      <c r="PJ26" s="125"/>
      <c r="PK26" s="125"/>
      <c r="PL26" s="125"/>
      <c r="PM26" s="125"/>
      <c r="PN26" s="125"/>
      <c r="PO26" s="125"/>
      <c r="PP26" s="125"/>
      <c r="PQ26" s="125"/>
      <c r="PR26" s="125"/>
      <c r="PS26" s="125"/>
      <c r="PT26" s="125"/>
      <c r="PU26" s="125"/>
      <c r="PV26" s="125"/>
      <c r="PW26" s="125"/>
      <c r="PX26" s="125"/>
      <c r="PY26" s="125"/>
      <c r="PZ26" s="125"/>
      <c r="QA26" s="125"/>
      <c r="QB26" s="125"/>
      <c r="QC26" s="125"/>
      <c r="QD26" s="125"/>
      <c r="QE26" s="125"/>
      <c r="QF26" s="125"/>
      <c r="QG26" s="125"/>
      <c r="QH26" s="125"/>
      <c r="QI26" s="125"/>
      <c r="QJ26" s="125"/>
      <c r="QK26" s="125"/>
      <c r="QL26" s="125"/>
      <c r="QM26" s="125"/>
      <c r="QN26" s="125"/>
      <c r="QO26" s="125"/>
      <c r="QP26" s="125"/>
      <c r="QQ26" s="125"/>
      <c r="QR26" s="125"/>
      <c r="QS26" s="125"/>
      <c r="QT26" s="125"/>
      <c r="QU26" s="125"/>
      <c r="QV26" s="125"/>
      <c r="QW26" s="125"/>
      <c r="QX26" s="125"/>
      <c r="QY26" s="125"/>
      <c r="QZ26" s="125"/>
      <c r="RA26" s="125"/>
      <c r="RB26" s="125"/>
      <c r="RC26" s="125"/>
      <c r="RD26" s="125"/>
      <c r="RE26" s="125"/>
      <c r="RF26" s="125"/>
      <c r="RG26" s="24">
        <f t="shared" si="0"/>
        <v>2</v>
      </c>
      <c r="RH26" s="60" t="s">
        <v>69</v>
      </c>
      <c r="RI26" s="121">
        <v>87.6</v>
      </c>
      <c r="RJ26" s="77">
        <f>RM26+RN26</f>
        <v>87.6</v>
      </c>
      <c r="RK26" s="77">
        <v>61.34</v>
      </c>
      <c r="RL26" s="121">
        <f t="shared" si="1"/>
        <v>0</v>
      </c>
      <c r="RM26" s="145"/>
      <c r="RN26" s="145">
        <f>70+17.6</f>
        <v>87.6</v>
      </c>
      <c r="RO26" s="145"/>
      <c r="RP26" s="104">
        <f t="shared" si="2"/>
        <v>1.4281056406912291</v>
      </c>
      <c r="RQ26" s="172"/>
    </row>
    <row r="27" spans="1:485" s="5" customFormat="1" ht="12.75" customHeight="1" x14ac:dyDescent="0.25">
      <c r="A27" s="61">
        <v>44967</v>
      </c>
      <c r="B27" s="102" t="s">
        <v>587</v>
      </c>
      <c r="C27" s="123"/>
      <c r="D27" s="123"/>
      <c r="E27" s="124"/>
      <c r="F27" s="124"/>
      <c r="G27" s="124"/>
      <c r="H27" s="124"/>
      <c r="I27" s="124"/>
      <c r="J27" s="124"/>
      <c r="K27" s="124"/>
      <c r="L27" s="124"/>
      <c r="M27" s="124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G27" s="125"/>
      <c r="BH27" s="125"/>
      <c r="BI27" s="125"/>
      <c r="BJ27" s="125"/>
      <c r="BK27" s="125"/>
      <c r="BL27" s="125"/>
      <c r="BM27" s="125"/>
      <c r="BN27" s="125"/>
      <c r="BO27" s="125"/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25"/>
      <c r="CA27" s="125"/>
      <c r="CB27" s="125"/>
      <c r="CC27" s="125"/>
      <c r="CD27" s="125"/>
      <c r="CE27" s="125"/>
      <c r="CF27" s="125"/>
      <c r="CG27" s="125"/>
      <c r="CH27" s="125"/>
      <c r="CI27" s="125"/>
      <c r="CJ27" s="125"/>
      <c r="CK27" s="125"/>
      <c r="CL27" s="125"/>
      <c r="CM27" s="125"/>
      <c r="CN27" s="125"/>
      <c r="CO27" s="125"/>
      <c r="CP27" s="125"/>
      <c r="CQ27" s="125"/>
      <c r="CR27" s="125"/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25"/>
      <c r="EQ27" s="125"/>
      <c r="ER27" s="125"/>
      <c r="ES27" s="125"/>
      <c r="ET27" s="125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125"/>
      <c r="FY27" s="125"/>
      <c r="FZ27" s="125"/>
      <c r="GA27" s="125"/>
      <c r="GB27" s="125"/>
      <c r="GC27" s="125"/>
      <c r="GD27" s="125"/>
      <c r="GE27" s="125"/>
      <c r="GF27" s="125"/>
      <c r="GG27" s="125"/>
      <c r="GH27" s="125"/>
      <c r="GI27" s="125"/>
      <c r="GJ27" s="125"/>
      <c r="GK27" s="125"/>
      <c r="GL27" s="125"/>
      <c r="GM27" s="125"/>
      <c r="GN27" s="125"/>
      <c r="GO27" s="125"/>
      <c r="GP27" s="125"/>
      <c r="GQ27" s="125"/>
      <c r="GR27" s="125"/>
      <c r="GS27" s="125"/>
      <c r="GT27" s="125"/>
      <c r="GU27" s="125"/>
      <c r="GV27" s="125"/>
      <c r="GW27" s="125"/>
      <c r="GX27" s="125"/>
      <c r="GY27" s="125"/>
      <c r="GZ27" s="125"/>
      <c r="HA27" s="125"/>
      <c r="HB27" s="125"/>
      <c r="HC27" s="125"/>
      <c r="HD27" s="125"/>
      <c r="HE27" s="125"/>
      <c r="HF27" s="125"/>
      <c r="HG27" s="125"/>
      <c r="HH27" s="125"/>
      <c r="HI27" s="125"/>
      <c r="HJ27" s="125"/>
      <c r="HK27" s="125"/>
      <c r="HL27" s="125"/>
      <c r="HM27" s="125"/>
      <c r="HN27" s="125"/>
      <c r="HO27" s="125"/>
      <c r="HP27" s="125"/>
      <c r="HQ27" s="125"/>
      <c r="HR27" s="125"/>
      <c r="HS27" s="125"/>
      <c r="HT27" s="125"/>
      <c r="HU27" s="125"/>
      <c r="HV27" s="125"/>
      <c r="HW27" s="125"/>
      <c r="HX27" s="125"/>
      <c r="HY27" s="125"/>
      <c r="HZ27" s="125"/>
      <c r="IA27" s="125"/>
      <c r="IB27" s="125"/>
      <c r="IC27" s="125"/>
      <c r="ID27" s="125"/>
      <c r="IE27" s="125"/>
      <c r="IF27" s="125"/>
      <c r="IG27" s="125"/>
      <c r="IH27" s="125"/>
      <c r="II27" s="125"/>
      <c r="IJ27" s="125"/>
      <c r="IK27" s="125"/>
      <c r="IL27" s="125"/>
      <c r="IM27" s="125"/>
      <c r="IN27" s="125"/>
      <c r="IO27" s="125"/>
      <c r="IP27" s="125"/>
      <c r="IQ27" s="125"/>
      <c r="IR27" s="125"/>
      <c r="IS27" s="125"/>
      <c r="IT27" s="125"/>
      <c r="IU27" s="125"/>
      <c r="IV27" s="125"/>
      <c r="IW27" s="125"/>
      <c r="IX27" s="125"/>
      <c r="IY27" s="125"/>
      <c r="IZ27" s="125"/>
      <c r="JA27" s="125"/>
      <c r="JB27" s="125"/>
      <c r="JC27" s="125"/>
      <c r="JD27" s="125"/>
      <c r="JE27" s="125"/>
      <c r="JF27" s="125"/>
      <c r="JG27" s="125"/>
      <c r="JH27" s="125"/>
      <c r="JI27" s="125"/>
      <c r="JJ27" s="125"/>
      <c r="JK27" s="125"/>
      <c r="JL27" s="125"/>
      <c r="JM27" s="125"/>
      <c r="JN27" s="125"/>
      <c r="JO27" s="125"/>
      <c r="JP27" s="125"/>
      <c r="JQ27" s="125"/>
      <c r="JR27" s="125"/>
      <c r="JS27" s="125"/>
      <c r="JT27" s="125"/>
      <c r="JU27" s="125"/>
      <c r="JV27" s="125"/>
      <c r="JW27" s="125"/>
      <c r="JX27" s="125"/>
      <c r="JY27" s="125"/>
      <c r="JZ27" s="125"/>
      <c r="KA27" s="125"/>
      <c r="KB27" s="125"/>
      <c r="KC27" s="125"/>
      <c r="KD27" s="125"/>
      <c r="KE27" s="125"/>
      <c r="KF27" s="125"/>
      <c r="KG27" s="125"/>
      <c r="KH27" s="125"/>
      <c r="KI27" s="125"/>
      <c r="KJ27" s="125"/>
      <c r="KK27" s="125"/>
      <c r="KL27" s="125"/>
      <c r="KM27" s="125"/>
      <c r="KN27" s="125"/>
      <c r="KO27" s="125"/>
      <c r="KP27" s="125"/>
      <c r="KQ27" s="125"/>
      <c r="KR27" s="125"/>
      <c r="KS27" s="125"/>
      <c r="KT27" s="125"/>
      <c r="KU27" s="125"/>
      <c r="KV27" s="125"/>
      <c r="KW27" s="125"/>
      <c r="KX27" s="125"/>
      <c r="KY27" s="125"/>
      <c r="KZ27" s="125"/>
      <c r="LA27" s="125"/>
      <c r="LB27" s="125"/>
      <c r="LC27" s="125"/>
      <c r="LD27" s="125"/>
      <c r="LE27" s="125"/>
      <c r="LF27" s="125"/>
      <c r="LG27" s="125"/>
      <c r="LH27" s="125"/>
      <c r="LI27" s="125"/>
      <c r="LJ27" s="125"/>
      <c r="LK27" s="125"/>
      <c r="LL27" s="125"/>
      <c r="LM27" s="125"/>
      <c r="LN27" s="125"/>
      <c r="LO27" s="125"/>
      <c r="LP27" s="125"/>
      <c r="LQ27" s="125"/>
      <c r="LR27" s="125"/>
      <c r="LS27" s="125"/>
      <c r="LT27" s="125"/>
      <c r="LU27" s="125"/>
      <c r="LV27" s="125"/>
      <c r="LW27" s="125"/>
      <c r="LX27" s="125"/>
      <c r="LY27" s="125"/>
      <c r="LZ27" s="125"/>
      <c r="MA27" s="125"/>
      <c r="MB27" s="125"/>
      <c r="MC27" s="125"/>
      <c r="MD27" s="125"/>
      <c r="ME27" s="125"/>
      <c r="MF27" s="125"/>
      <c r="MG27" s="125"/>
      <c r="MH27" s="125"/>
      <c r="MI27" s="125"/>
      <c r="MJ27" s="125"/>
      <c r="MK27" s="125"/>
      <c r="ML27" s="125"/>
      <c r="MM27" s="125"/>
      <c r="MN27" s="125"/>
      <c r="MO27" s="125"/>
      <c r="MP27" s="125"/>
      <c r="MQ27" s="125"/>
      <c r="MR27" s="125"/>
      <c r="MS27" s="125"/>
      <c r="MT27" s="125"/>
      <c r="MU27" s="125"/>
      <c r="MV27" s="125"/>
      <c r="MW27" s="125"/>
      <c r="MX27" s="125"/>
      <c r="MY27" s="125"/>
      <c r="MZ27" s="125"/>
      <c r="NA27" s="125"/>
      <c r="NB27" s="125"/>
      <c r="NC27" s="125"/>
      <c r="ND27" s="125"/>
      <c r="NE27" s="125"/>
      <c r="NF27" s="125"/>
      <c r="NG27" s="125"/>
      <c r="NH27" s="125"/>
      <c r="NI27" s="125"/>
      <c r="NJ27" s="125"/>
      <c r="NK27" s="125"/>
      <c r="NL27" s="125"/>
      <c r="NM27" s="125"/>
      <c r="NN27" s="125"/>
      <c r="NO27" s="125"/>
      <c r="NP27" s="125"/>
      <c r="NQ27" s="125"/>
      <c r="NR27" s="125"/>
      <c r="NS27" s="125"/>
      <c r="NT27" s="125"/>
      <c r="NU27" s="125"/>
      <c r="NV27" s="125"/>
      <c r="NW27" s="125"/>
      <c r="NX27" s="125"/>
      <c r="NY27" s="125"/>
      <c r="NZ27" s="125"/>
      <c r="OA27" s="125"/>
      <c r="OB27" s="125"/>
      <c r="OC27" s="125"/>
      <c r="OD27" s="125"/>
      <c r="OE27" s="125"/>
      <c r="OF27" s="125"/>
      <c r="OG27" s="125"/>
      <c r="OH27" s="125">
        <v>1</v>
      </c>
      <c r="OI27" s="125"/>
      <c r="OJ27" s="125"/>
      <c r="OK27" s="125"/>
      <c r="OL27" s="125"/>
      <c r="OM27" s="125"/>
      <c r="ON27" s="125"/>
      <c r="OO27" s="125"/>
      <c r="OP27" s="125"/>
      <c r="OQ27" s="125"/>
      <c r="OR27" s="125"/>
      <c r="OS27" s="125"/>
      <c r="OT27" s="125"/>
      <c r="OU27" s="125"/>
      <c r="OV27" s="125"/>
      <c r="OW27" s="125">
        <v>1</v>
      </c>
      <c r="OX27" s="125"/>
      <c r="OY27" s="125"/>
      <c r="OZ27" s="125"/>
      <c r="PA27" s="125"/>
      <c r="PB27" s="125"/>
      <c r="PC27" s="125"/>
      <c r="PD27" s="125"/>
      <c r="PE27" s="125"/>
      <c r="PF27" s="125"/>
      <c r="PG27" s="125"/>
      <c r="PH27" s="125"/>
      <c r="PI27" s="125"/>
      <c r="PJ27" s="125"/>
      <c r="PK27" s="125"/>
      <c r="PL27" s="125"/>
      <c r="PM27" s="125"/>
      <c r="PN27" s="125"/>
      <c r="PO27" s="125"/>
      <c r="PP27" s="125"/>
      <c r="PQ27" s="125"/>
      <c r="PR27" s="125"/>
      <c r="PS27" s="125"/>
      <c r="PT27" s="125"/>
      <c r="PU27" s="125"/>
      <c r="PV27" s="125"/>
      <c r="PW27" s="125"/>
      <c r="PX27" s="125"/>
      <c r="PY27" s="125"/>
      <c r="PZ27" s="125"/>
      <c r="QA27" s="125"/>
      <c r="QB27" s="125"/>
      <c r="QC27" s="125"/>
      <c r="QD27" s="125"/>
      <c r="QE27" s="125"/>
      <c r="QF27" s="125"/>
      <c r="QG27" s="125"/>
      <c r="QH27" s="125"/>
      <c r="QI27" s="125"/>
      <c r="QJ27" s="125"/>
      <c r="QK27" s="125"/>
      <c r="QL27" s="125"/>
      <c r="QM27" s="125"/>
      <c r="QN27" s="125"/>
      <c r="QO27" s="125"/>
      <c r="QP27" s="125"/>
      <c r="QQ27" s="125"/>
      <c r="QR27" s="125"/>
      <c r="QS27" s="125"/>
      <c r="QT27" s="125"/>
      <c r="QU27" s="125"/>
      <c r="QV27" s="125"/>
      <c r="QW27" s="125"/>
      <c r="QX27" s="125"/>
      <c r="QY27" s="125"/>
      <c r="QZ27" s="125"/>
      <c r="RA27" s="125"/>
      <c r="RB27" s="125"/>
      <c r="RC27" s="125"/>
      <c r="RD27" s="125"/>
      <c r="RE27" s="125"/>
      <c r="RF27" s="125"/>
      <c r="RG27" s="24">
        <f t="shared" si="0"/>
        <v>2</v>
      </c>
      <c r="RH27" s="60" t="s">
        <v>69</v>
      </c>
      <c r="RI27" s="121">
        <v>280.92</v>
      </c>
      <c r="RJ27" s="77">
        <f>RM27+RN27</f>
        <v>280.92</v>
      </c>
      <c r="RK27" s="77">
        <v>215.18</v>
      </c>
      <c r="RL27" s="121">
        <f t="shared" si="1"/>
        <v>0</v>
      </c>
      <c r="RM27" s="145"/>
      <c r="RN27" s="145">
        <v>280.92</v>
      </c>
      <c r="RO27" s="145"/>
      <c r="RP27" s="104">
        <f t="shared" si="2"/>
        <v>1.3055116646528488</v>
      </c>
      <c r="RQ27" s="172"/>
    </row>
    <row r="28" spans="1:485" s="5" customFormat="1" ht="12.75" customHeight="1" x14ac:dyDescent="0.25">
      <c r="A28" s="61">
        <v>44970</v>
      </c>
      <c r="B28" s="102" t="s">
        <v>366</v>
      </c>
      <c r="C28" s="123"/>
      <c r="D28" s="123"/>
      <c r="E28" s="124"/>
      <c r="F28" s="124"/>
      <c r="G28" s="124"/>
      <c r="H28" s="124"/>
      <c r="I28" s="124"/>
      <c r="J28" s="124"/>
      <c r="K28" s="124"/>
      <c r="L28" s="124"/>
      <c r="M28" s="124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>
        <v>100</v>
      </c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>
        <v>50</v>
      </c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  <c r="NK28" s="125"/>
      <c r="NL28" s="125"/>
      <c r="NM28" s="125"/>
      <c r="NN28" s="125"/>
      <c r="NO28" s="125"/>
      <c r="NP28" s="125"/>
      <c r="NQ28" s="125"/>
      <c r="NR28" s="125"/>
      <c r="NS28" s="125"/>
      <c r="NT28" s="125"/>
      <c r="NU28" s="125"/>
      <c r="NV28" s="125"/>
      <c r="NW28" s="125"/>
      <c r="NX28" s="125"/>
      <c r="NY28" s="125"/>
      <c r="NZ28" s="125"/>
      <c r="OA28" s="125"/>
      <c r="OB28" s="125"/>
      <c r="OC28" s="125"/>
      <c r="OD28" s="125"/>
      <c r="OE28" s="125"/>
      <c r="OF28" s="125"/>
      <c r="OG28" s="125"/>
      <c r="OH28" s="125"/>
      <c r="OI28" s="125"/>
      <c r="OJ28" s="125"/>
      <c r="OK28" s="125"/>
      <c r="OL28" s="125"/>
      <c r="OM28" s="125"/>
      <c r="ON28" s="125"/>
      <c r="OO28" s="125"/>
      <c r="OP28" s="125"/>
      <c r="OQ28" s="125"/>
      <c r="OR28" s="125"/>
      <c r="OS28" s="125"/>
      <c r="OT28" s="125"/>
      <c r="OU28" s="125"/>
      <c r="OV28" s="125"/>
      <c r="OW28" s="125"/>
      <c r="OX28" s="125"/>
      <c r="OY28" s="125"/>
      <c r="OZ28" s="125"/>
      <c r="PA28" s="125"/>
      <c r="PB28" s="125"/>
      <c r="PC28" s="125"/>
      <c r="PD28" s="125"/>
      <c r="PE28" s="125"/>
      <c r="PF28" s="125"/>
      <c r="PG28" s="125"/>
      <c r="PH28" s="125"/>
      <c r="PI28" s="125"/>
      <c r="PJ28" s="125"/>
      <c r="PK28" s="125"/>
      <c r="PL28" s="125"/>
      <c r="PM28" s="125"/>
      <c r="PN28" s="125"/>
      <c r="PO28" s="125"/>
      <c r="PP28" s="125"/>
      <c r="PQ28" s="125"/>
      <c r="PR28" s="125"/>
      <c r="PS28" s="125"/>
      <c r="PT28" s="125"/>
      <c r="PU28" s="125"/>
      <c r="PV28" s="125"/>
      <c r="PW28" s="125"/>
      <c r="PX28" s="125"/>
      <c r="PY28" s="125"/>
      <c r="PZ28" s="125"/>
      <c r="QA28" s="125"/>
      <c r="QB28" s="125"/>
      <c r="QC28" s="125"/>
      <c r="QD28" s="125"/>
      <c r="QE28" s="125"/>
      <c r="QF28" s="125"/>
      <c r="QG28" s="125"/>
      <c r="QH28" s="125"/>
      <c r="QI28" s="125"/>
      <c r="QJ28" s="125"/>
      <c r="QK28" s="125"/>
      <c r="QL28" s="125"/>
      <c r="QM28" s="125"/>
      <c r="QN28" s="125"/>
      <c r="QO28" s="125"/>
      <c r="QP28" s="125"/>
      <c r="QQ28" s="125"/>
      <c r="QR28" s="125"/>
      <c r="QS28" s="125"/>
      <c r="QT28" s="125"/>
      <c r="QU28" s="125"/>
      <c r="QV28" s="125"/>
      <c r="QW28" s="125"/>
      <c r="QX28" s="125"/>
      <c r="QY28" s="125"/>
      <c r="QZ28" s="125"/>
      <c r="RA28" s="125"/>
      <c r="RB28" s="125"/>
      <c r="RC28" s="125"/>
      <c r="RD28" s="125"/>
      <c r="RE28" s="125"/>
      <c r="RF28" s="125"/>
      <c r="RG28" s="24">
        <f t="shared" si="0"/>
        <v>150</v>
      </c>
      <c r="RH28" s="60" t="s">
        <v>36</v>
      </c>
      <c r="RI28" s="121">
        <v>8370</v>
      </c>
      <c r="RJ28" s="77">
        <f>RM28+RN28</f>
        <v>8370</v>
      </c>
      <c r="RK28" s="77">
        <v>4956</v>
      </c>
      <c r="RL28" s="121">
        <f t="shared" si="1"/>
        <v>0</v>
      </c>
      <c r="RM28" s="145"/>
      <c r="RN28" s="145">
        <v>8370</v>
      </c>
      <c r="RO28" s="145"/>
      <c r="RP28" s="104">
        <f t="shared" si="2"/>
        <v>1.6888619854721549</v>
      </c>
      <c r="RQ28" s="172"/>
    </row>
    <row r="29" spans="1:485" s="5" customFormat="1" ht="12.75" customHeight="1" x14ac:dyDescent="0.25">
      <c r="A29" s="61">
        <v>44970</v>
      </c>
      <c r="B29" s="112" t="s">
        <v>55</v>
      </c>
      <c r="C29" s="123"/>
      <c r="D29" s="123"/>
      <c r="E29" s="124"/>
      <c r="F29" s="124"/>
      <c r="G29" s="124"/>
      <c r="H29" s="124"/>
      <c r="I29" s="124"/>
      <c r="J29" s="124"/>
      <c r="K29" s="124"/>
      <c r="L29" s="124"/>
      <c r="M29" s="124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25"/>
      <c r="DN29" s="125"/>
      <c r="DO29" s="125"/>
      <c r="DP29" s="125"/>
      <c r="DQ29" s="125"/>
      <c r="DR29" s="125"/>
      <c r="DS29" s="125"/>
      <c r="DT29" s="125"/>
      <c r="DU29" s="125"/>
      <c r="DV29" s="125"/>
      <c r="DW29" s="125"/>
      <c r="DX29" s="125"/>
      <c r="DY29" s="125"/>
      <c r="DZ29" s="125"/>
      <c r="EA29" s="125"/>
      <c r="EB29" s="125"/>
      <c r="EC29" s="125"/>
      <c r="ED29" s="125"/>
      <c r="EE29" s="125"/>
      <c r="EF29" s="125"/>
      <c r="EG29" s="125"/>
      <c r="EH29" s="125"/>
      <c r="EI29" s="125"/>
      <c r="EJ29" s="125"/>
      <c r="EK29" s="125"/>
      <c r="EL29" s="125"/>
      <c r="EM29" s="125"/>
      <c r="EN29" s="125"/>
      <c r="EO29" s="125"/>
      <c r="EP29" s="125"/>
      <c r="EQ29" s="125"/>
      <c r="ER29" s="125"/>
      <c r="ES29" s="125"/>
      <c r="ET29" s="125"/>
      <c r="EU29" s="125"/>
      <c r="EV29" s="125"/>
      <c r="EW29" s="125"/>
      <c r="EX29" s="125"/>
      <c r="EY29" s="125"/>
      <c r="EZ29" s="125"/>
      <c r="FA29" s="125"/>
      <c r="FB29" s="125"/>
      <c r="FC29" s="125"/>
      <c r="FD29" s="125"/>
      <c r="FE29" s="125"/>
      <c r="FF29" s="125"/>
      <c r="FG29" s="125"/>
      <c r="FH29" s="125"/>
      <c r="FI29" s="125"/>
      <c r="FJ29" s="125"/>
      <c r="FK29" s="125"/>
      <c r="FL29" s="125"/>
      <c r="FM29" s="125"/>
      <c r="FN29" s="125"/>
      <c r="FO29" s="125"/>
      <c r="FP29" s="125"/>
      <c r="FQ29" s="125"/>
      <c r="FR29" s="125"/>
      <c r="FS29" s="125"/>
      <c r="FT29" s="125"/>
      <c r="FU29" s="125"/>
      <c r="FV29" s="125"/>
      <c r="FW29" s="125"/>
      <c r="FX29" s="125"/>
      <c r="FY29" s="125"/>
      <c r="FZ29" s="125"/>
      <c r="GA29" s="125"/>
      <c r="GB29" s="125"/>
      <c r="GC29" s="125"/>
      <c r="GD29" s="125"/>
      <c r="GE29" s="125"/>
      <c r="GF29" s="125"/>
      <c r="GG29" s="125"/>
      <c r="GH29" s="125"/>
      <c r="GI29" s="125"/>
      <c r="GJ29" s="125"/>
      <c r="GK29" s="125"/>
      <c r="GL29" s="125"/>
      <c r="GM29" s="125"/>
      <c r="GN29" s="125"/>
      <c r="GO29" s="125"/>
      <c r="GP29" s="125"/>
      <c r="GQ29" s="125"/>
      <c r="GR29" s="125"/>
      <c r="GS29" s="125"/>
      <c r="GT29" s="125"/>
      <c r="GU29" s="125"/>
      <c r="GV29" s="125"/>
      <c r="GW29" s="125"/>
      <c r="GX29" s="125"/>
      <c r="GY29" s="125"/>
      <c r="GZ29" s="125"/>
      <c r="HA29" s="125"/>
      <c r="HB29" s="125"/>
      <c r="HC29" s="125"/>
      <c r="HD29" s="125"/>
      <c r="HE29" s="125"/>
      <c r="HF29" s="125"/>
      <c r="HG29" s="125"/>
      <c r="HH29" s="125"/>
      <c r="HI29" s="125"/>
      <c r="HJ29" s="125"/>
      <c r="HK29" s="125"/>
      <c r="HL29" s="125"/>
      <c r="HM29" s="125"/>
      <c r="HN29" s="125"/>
      <c r="HO29" s="125"/>
      <c r="HP29" s="125"/>
      <c r="HQ29" s="125"/>
      <c r="HR29" s="125"/>
      <c r="HS29" s="125"/>
      <c r="HT29" s="125"/>
      <c r="HU29" s="125"/>
      <c r="HV29" s="125"/>
      <c r="HW29" s="125"/>
      <c r="HX29" s="125"/>
      <c r="HY29" s="125"/>
      <c r="HZ29" s="125"/>
      <c r="IA29" s="125"/>
      <c r="IB29" s="125"/>
      <c r="IC29" s="125"/>
      <c r="ID29" s="125"/>
      <c r="IE29" s="125"/>
      <c r="IF29" s="125"/>
      <c r="IG29" s="125"/>
      <c r="IH29" s="125"/>
      <c r="II29" s="125"/>
      <c r="IJ29" s="125"/>
      <c r="IK29" s="125"/>
      <c r="IL29" s="125"/>
      <c r="IM29" s="125"/>
      <c r="IN29" s="125"/>
      <c r="IO29" s="125"/>
      <c r="IP29" s="125"/>
      <c r="IQ29" s="125"/>
      <c r="IR29" s="125"/>
      <c r="IS29" s="125"/>
      <c r="IT29" s="125"/>
      <c r="IU29" s="125"/>
      <c r="IV29" s="125"/>
      <c r="IW29" s="125"/>
      <c r="IX29" s="125"/>
      <c r="IY29" s="125"/>
      <c r="IZ29" s="125"/>
      <c r="JA29" s="125"/>
      <c r="JB29" s="125"/>
      <c r="JC29" s="125"/>
      <c r="JD29" s="125"/>
      <c r="JE29" s="125"/>
      <c r="JF29" s="125"/>
      <c r="JG29" s="125"/>
      <c r="JH29" s="125"/>
      <c r="JI29" s="125"/>
      <c r="JJ29" s="125"/>
      <c r="JK29" s="125"/>
      <c r="JL29" s="125"/>
      <c r="JM29" s="125"/>
      <c r="JN29" s="125"/>
      <c r="JO29" s="125"/>
      <c r="JP29" s="125"/>
      <c r="JQ29" s="125"/>
      <c r="JR29" s="125"/>
      <c r="JS29" s="125"/>
      <c r="JT29" s="125"/>
      <c r="JU29" s="125"/>
      <c r="JV29" s="125"/>
      <c r="JW29" s="125"/>
      <c r="JX29" s="125"/>
      <c r="JY29" s="125"/>
      <c r="JZ29" s="125"/>
      <c r="KA29" s="125"/>
      <c r="KB29" s="125"/>
      <c r="KC29" s="125"/>
      <c r="KD29" s="125"/>
      <c r="KE29" s="125"/>
      <c r="KF29" s="125"/>
      <c r="KG29" s="125"/>
      <c r="KH29" s="125"/>
      <c r="KI29" s="125"/>
      <c r="KJ29" s="125"/>
      <c r="KK29" s="125"/>
      <c r="KL29" s="125"/>
      <c r="KM29" s="125"/>
      <c r="KN29" s="125"/>
      <c r="KO29" s="125"/>
      <c r="KP29" s="125"/>
      <c r="KQ29" s="125"/>
      <c r="KR29" s="125"/>
      <c r="KS29" s="125"/>
      <c r="KT29" s="125">
        <v>120</v>
      </c>
      <c r="KU29" s="125"/>
      <c r="KV29" s="125"/>
      <c r="KW29" s="125"/>
      <c r="KX29" s="125"/>
      <c r="KY29" s="125"/>
      <c r="KZ29" s="125"/>
      <c r="LA29" s="125"/>
      <c r="LB29" s="125"/>
      <c r="LC29" s="125"/>
      <c r="LD29" s="125"/>
      <c r="LE29" s="125"/>
      <c r="LF29" s="125"/>
      <c r="LG29" s="125"/>
      <c r="LH29" s="125"/>
      <c r="LI29" s="125"/>
      <c r="LJ29" s="125"/>
      <c r="LK29" s="125"/>
      <c r="LL29" s="125"/>
      <c r="LM29" s="125"/>
      <c r="LN29" s="125"/>
      <c r="LO29" s="125"/>
      <c r="LP29" s="125"/>
      <c r="LQ29" s="125"/>
      <c r="LR29" s="125"/>
      <c r="LS29" s="125"/>
      <c r="LT29" s="125"/>
      <c r="LU29" s="125"/>
      <c r="LV29" s="125"/>
      <c r="LW29" s="125"/>
      <c r="LX29" s="125"/>
      <c r="LY29" s="125"/>
      <c r="LZ29" s="125"/>
      <c r="MA29" s="125"/>
      <c r="MB29" s="125"/>
      <c r="MC29" s="125"/>
      <c r="MD29" s="125"/>
      <c r="ME29" s="125"/>
      <c r="MF29" s="125"/>
      <c r="MG29" s="125"/>
      <c r="MH29" s="125"/>
      <c r="MI29" s="125"/>
      <c r="MJ29" s="125"/>
      <c r="MK29" s="125"/>
      <c r="ML29" s="125"/>
      <c r="MM29" s="125"/>
      <c r="MN29" s="125"/>
      <c r="MO29" s="125"/>
      <c r="MP29" s="125"/>
      <c r="MQ29" s="125"/>
      <c r="MR29" s="125"/>
      <c r="MS29" s="125"/>
      <c r="MT29" s="125"/>
      <c r="MU29" s="125"/>
      <c r="MV29" s="125"/>
      <c r="MW29" s="125"/>
      <c r="MX29" s="125"/>
      <c r="MY29" s="125"/>
      <c r="MZ29" s="125"/>
      <c r="NA29" s="125"/>
      <c r="NB29" s="125"/>
      <c r="NC29" s="125"/>
      <c r="ND29" s="125"/>
      <c r="NE29" s="125"/>
      <c r="NF29" s="125"/>
      <c r="NG29" s="125"/>
      <c r="NH29" s="125"/>
      <c r="NI29" s="125"/>
      <c r="NJ29" s="125"/>
      <c r="NK29" s="125"/>
      <c r="NL29" s="125"/>
      <c r="NM29" s="125"/>
      <c r="NN29" s="125"/>
      <c r="NO29" s="125"/>
      <c r="NP29" s="125"/>
      <c r="NQ29" s="125"/>
      <c r="NR29" s="125"/>
      <c r="NS29" s="125"/>
      <c r="NT29" s="125"/>
      <c r="NU29" s="125"/>
      <c r="NV29" s="125"/>
      <c r="NW29" s="125"/>
      <c r="NX29" s="125"/>
      <c r="NY29" s="125"/>
      <c r="NZ29" s="125"/>
      <c r="OA29" s="125"/>
      <c r="OB29" s="125"/>
      <c r="OC29" s="125"/>
      <c r="OD29" s="125"/>
      <c r="OE29" s="125"/>
      <c r="OF29" s="125"/>
      <c r="OG29" s="125"/>
      <c r="OH29" s="125"/>
      <c r="OI29" s="125"/>
      <c r="OJ29" s="125"/>
      <c r="OK29" s="125"/>
      <c r="OL29" s="125"/>
      <c r="OM29" s="125"/>
      <c r="ON29" s="125"/>
      <c r="OO29" s="125"/>
      <c r="OP29" s="125"/>
      <c r="OQ29" s="125"/>
      <c r="OR29" s="125"/>
      <c r="OS29" s="125"/>
      <c r="OT29" s="125"/>
      <c r="OU29" s="125"/>
      <c r="OV29" s="125"/>
      <c r="OW29" s="125"/>
      <c r="OX29" s="125"/>
      <c r="OY29" s="125"/>
      <c r="OZ29" s="125"/>
      <c r="PA29" s="125"/>
      <c r="PB29" s="125"/>
      <c r="PC29" s="125"/>
      <c r="PD29" s="125"/>
      <c r="PE29" s="125"/>
      <c r="PF29" s="125"/>
      <c r="PG29" s="125"/>
      <c r="PH29" s="125"/>
      <c r="PI29" s="125"/>
      <c r="PJ29" s="125"/>
      <c r="PK29" s="125"/>
      <c r="PL29" s="125"/>
      <c r="PM29" s="125"/>
      <c r="PN29" s="125"/>
      <c r="PO29" s="125"/>
      <c r="PP29" s="125"/>
      <c r="PQ29" s="125"/>
      <c r="PR29" s="125"/>
      <c r="PS29" s="125"/>
      <c r="PT29" s="125"/>
      <c r="PU29" s="125"/>
      <c r="PV29" s="125"/>
      <c r="PW29" s="125"/>
      <c r="PX29" s="125"/>
      <c r="PY29" s="125"/>
      <c r="PZ29" s="125"/>
      <c r="QA29" s="125"/>
      <c r="QB29" s="125"/>
      <c r="QC29" s="125"/>
      <c r="QD29" s="125"/>
      <c r="QE29" s="125"/>
      <c r="QF29" s="125"/>
      <c r="QG29" s="125"/>
      <c r="QH29" s="125"/>
      <c r="QI29" s="125"/>
      <c r="QJ29" s="125"/>
      <c r="QK29" s="125"/>
      <c r="QL29" s="125"/>
      <c r="QM29" s="125"/>
      <c r="QN29" s="125"/>
      <c r="QO29" s="125"/>
      <c r="QP29" s="125"/>
      <c r="QQ29" s="125"/>
      <c r="QR29" s="125"/>
      <c r="QS29" s="125"/>
      <c r="QT29" s="125"/>
      <c r="QU29" s="125"/>
      <c r="QV29" s="125"/>
      <c r="QW29" s="125"/>
      <c r="QX29" s="125"/>
      <c r="QY29" s="125"/>
      <c r="QZ29" s="125"/>
      <c r="RA29" s="125"/>
      <c r="RB29" s="125"/>
      <c r="RC29" s="125"/>
      <c r="RD29" s="125"/>
      <c r="RE29" s="125"/>
      <c r="RF29" s="125"/>
      <c r="RG29" s="24">
        <f t="shared" si="0"/>
        <v>120</v>
      </c>
      <c r="RH29" s="60" t="s">
        <v>36</v>
      </c>
      <c r="RI29" s="121">
        <v>7878.24</v>
      </c>
      <c r="RJ29" s="77">
        <f>RM29+RN29+RO29</f>
        <v>0</v>
      </c>
      <c r="RK29" s="77">
        <v>5886.5</v>
      </c>
      <c r="RL29" s="121">
        <f t="shared" si="1"/>
        <v>7878.24</v>
      </c>
      <c r="RM29" s="145"/>
      <c r="RN29" s="145"/>
      <c r="RO29" s="145"/>
      <c r="RP29" s="104">
        <f t="shared" si="2"/>
        <v>1.3383572581330161</v>
      </c>
      <c r="RQ29" s="172" t="s">
        <v>596</v>
      </c>
    </row>
    <row r="30" spans="1:485" s="5" customFormat="1" ht="12.75" customHeight="1" x14ac:dyDescent="0.25">
      <c r="A30" s="61">
        <v>44970</v>
      </c>
      <c r="B30" s="112" t="s">
        <v>55</v>
      </c>
      <c r="C30" s="123"/>
      <c r="D30" s="123"/>
      <c r="E30" s="124"/>
      <c r="F30" s="124"/>
      <c r="G30" s="124"/>
      <c r="H30" s="124"/>
      <c r="I30" s="124"/>
      <c r="J30" s="124"/>
      <c r="K30" s="124"/>
      <c r="L30" s="124"/>
      <c r="M30" s="124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>
        <v>0.8</v>
      </c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25"/>
      <c r="DN30" s="125"/>
      <c r="DO30" s="125"/>
      <c r="DP30" s="125"/>
      <c r="DQ30" s="125"/>
      <c r="DR30" s="125"/>
      <c r="DS30" s="125"/>
      <c r="DT30" s="125"/>
      <c r="DU30" s="125"/>
      <c r="DV30" s="125"/>
      <c r="DW30" s="125"/>
      <c r="DX30" s="125"/>
      <c r="DY30" s="125"/>
      <c r="DZ30" s="125"/>
      <c r="EA30" s="125"/>
      <c r="EB30" s="125"/>
      <c r="EC30" s="125"/>
      <c r="ED30" s="125"/>
      <c r="EE30" s="125"/>
      <c r="EF30" s="125"/>
      <c r="EG30" s="125"/>
      <c r="EH30" s="125"/>
      <c r="EI30" s="125"/>
      <c r="EJ30" s="125"/>
      <c r="EK30" s="125"/>
      <c r="EL30" s="125"/>
      <c r="EM30" s="125"/>
      <c r="EN30" s="125"/>
      <c r="EO30" s="125"/>
      <c r="EP30" s="125"/>
      <c r="EQ30" s="125"/>
      <c r="ER30" s="125"/>
      <c r="ES30" s="125"/>
      <c r="ET30" s="125"/>
      <c r="EU30" s="125"/>
      <c r="EV30" s="125"/>
      <c r="EW30" s="125"/>
      <c r="EX30" s="125"/>
      <c r="EY30" s="125"/>
      <c r="EZ30" s="125"/>
      <c r="FA30" s="125"/>
      <c r="FB30" s="125"/>
      <c r="FC30" s="125"/>
      <c r="FD30" s="125"/>
      <c r="FE30" s="125"/>
      <c r="FF30" s="125"/>
      <c r="FG30" s="125"/>
      <c r="FH30" s="125"/>
      <c r="FI30" s="125"/>
      <c r="FJ30" s="125"/>
      <c r="FK30" s="125"/>
      <c r="FL30" s="125"/>
      <c r="FM30" s="125"/>
      <c r="FN30" s="125"/>
      <c r="FO30" s="125"/>
      <c r="FP30" s="125"/>
      <c r="FQ30" s="125"/>
      <c r="FR30" s="125"/>
      <c r="FS30" s="125"/>
      <c r="FT30" s="125"/>
      <c r="FU30" s="125"/>
      <c r="FV30" s="125"/>
      <c r="FW30" s="125"/>
      <c r="FX30" s="125"/>
      <c r="FY30" s="125"/>
      <c r="FZ30" s="125"/>
      <c r="GA30" s="125"/>
      <c r="GB30" s="125"/>
      <c r="GC30" s="125"/>
      <c r="GD30" s="125"/>
      <c r="GE30" s="125"/>
      <c r="GF30" s="125"/>
      <c r="GG30" s="125"/>
      <c r="GH30" s="125"/>
      <c r="GI30" s="125"/>
      <c r="GJ30" s="125"/>
      <c r="GK30" s="125"/>
      <c r="GL30" s="125"/>
      <c r="GM30" s="125"/>
      <c r="GN30" s="125"/>
      <c r="GO30" s="125"/>
      <c r="GP30" s="125"/>
      <c r="GQ30" s="125"/>
      <c r="GR30" s="125"/>
      <c r="GS30" s="125"/>
      <c r="GT30" s="125"/>
      <c r="GU30" s="125"/>
      <c r="GV30" s="125"/>
      <c r="GW30" s="125"/>
      <c r="GX30" s="125"/>
      <c r="GY30" s="125"/>
      <c r="GZ30" s="125"/>
      <c r="HA30" s="125"/>
      <c r="HB30" s="125"/>
      <c r="HC30" s="125"/>
      <c r="HD30" s="125"/>
      <c r="HE30" s="125"/>
      <c r="HF30" s="125"/>
      <c r="HG30" s="125"/>
      <c r="HH30" s="125"/>
      <c r="HI30" s="125"/>
      <c r="HJ30" s="125"/>
      <c r="HK30" s="125"/>
      <c r="HL30" s="125"/>
      <c r="HM30" s="125"/>
      <c r="HN30" s="125"/>
      <c r="HO30" s="125"/>
      <c r="HP30" s="125"/>
      <c r="HQ30" s="125"/>
      <c r="HR30" s="125"/>
      <c r="HS30" s="125"/>
      <c r="HT30" s="125"/>
      <c r="HU30" s="125"/>
      <c r="HV30" s="125"/>
      <c r="HW30" s="125"/>
      <c r="HX30" s="125"/>
      <c r="HY30" s="125"/>
      <c r="HZ30" s="125"/>
      <c r="IA30" s="125"/>
      <c r="IB30" s="125"/>
      <c r="IC30" s="125"/>
      <c r="ID30" s="125"/>
      <c r="IE30" s="125"/>
      <c r="IF30" s="125"/>
      <c r="IG30" s="125"/>
      <c r="IH30" s="125"/>
      <c r="II30" s="125"/>
      <c r="IJ30" s="125"/>
      <c r="IK30" s="125"/>
      <c r="IL30" s="125"/>
      <c r="IM30" s="125"/>
      <c r="IN30" s="125"/>
      <c r="IO30" s="125"/>
      <c r="IP30" s="125"/>
      <c r="IQ30" s="125"/>
      <c r="IR30" s="125"/>
      <c r="IS30" s="125"/>
      <c r="IT30" s="125"/>
      <c r="IU30" s="125"/>
      <c r="IV30" s="125"/>
      <c r="IW30" s="125"/>
      <c r="IX30" s="125"/>
      <c r="IY30" s="125"/>
      <c r="IZ30" s="125"/>
      <c r="JA30" s="125"/>
      <c r="JB30" s="125"/>
      <c r="JC30" s="125"/>
      <c r="JD30" s="125"/>
      <c r="JE30" s="125"/>
      <c r="JF30" s="125"/>
      <c r="JG30" s="125"/>
      <c r="JH30" s="125"/>
      <c r="JI30" s="125"/>
      <c r="JJ30" s="125"/>
      <c r="JK30" s="125"/>
      <c r="JL30" s="125"/>
      <c r="JM30" s="125"/>
      <c r="JN30" s="125"/>
      <c r="JO30" s="125"/>
      <c r="JP30" s="125"/>
      <c r="JQ30" s="125"/>
      <c r="JR30" s="125"/>
      <c r="JS30" s="125"/>
      <c r="JT30" s="125"/>
      <c r="JU30" s="125"/>
      <c r="JV30" s="125"/>
      <c r="JW30" s="125"/>
      <c r="JX30" s="125"/>
      <c r="JY30" s="125"/>
      <c r="JZ30" s="125"/>
      <c r="KA30" s="125"/>
      <c r="KB30" s="125"/>
      <c r="KC30" s="125"/>
      <c r="KD30" s="125"/>
      <c r="KE30" s="125"/>
      <c r="KF30" s="125"/>
      <c r="KG30" s="125"/>
      <c r="KH30" s="125"/>
      <c r="KI30" s="125"/>
      <c r="KJ30" s="125"/>
      <c r="KK30" s="125"/>
      <c r="KL30" s="125"/>
      <c r="KM30" s="125"/>
      <c r="KN30" s="125"/>
      <c r="KO30" s="125"/>
      <c r="KP30" s="125"/>
      <c r="KQ30" s="125"/>
      <c r="KR30" s="125"/>
      <c r="KS30" s="125"/>
      <c r="KT30" s="125"/>
      <c r="KU30" s="125"/>
      <c r="KV30" s="125"/>
      <c r="KW30" s="125"/>
      <c r="KX30" s="125"/>
      <c r="KY30" s="125"/>
      <c r="KZ30" s="125"/>
      <c r="LA30" s="125"/>
      <c r="LB30" s="125"/>
      <c r="LC30" s="125"/>
      <c r="LD30" s="125"/>
      <c r="LE30" s="125"/>
      <c r="LF30" s="125"/>
      <c r="LG30" s="125"/>
      <c r="LH30" s="125"/>
      <c r="LI30" s="125"/>
      <c r="LJ30" s="125"/>
      <c r="LK30" s="125"/>
      <c r="LL30" s="125"/>
      <c r="LM30" s="125"/>
      <c r="LN30" s="125"/>
      <c r="LO30" s="125"/>
      <c r="LP30" s="125"/>
      <c r="LQ30" s="125"/>
      <c r="LR30" s="125"/>
      <c r="LS30" s="125"/>
      <c r="LT30" s="125"/>
      <c r="LU30" s="125"/>
      <c r="LV30" s="125"/>
      <c r="LW30" s="125"/>
      <c r="LX30" s="125"/>
      <c r="LY30" s="125"/>
      <c r="LZ30" s="125"/>
      <c r="MA30" s="125"/>
      <c r="MB30" s="125"/>
      <c r="MC30" s="125"/>
      <c r="MD30" s="125"/>
      <c r="ME30" s="125"/>
      <c r="MF30" s="125"/>
      <c r="MG30" s="125"/>
      <c r="MH30" s="125"/>
      <c r="MI30" s="125"/>
      <c r="MJ30" s="125"/>
      <c r="MK30" s="125"/>
      <c r="ML30" s="125"/>
      <c r="MM30" s="125"/>
      <c r="MN30" s="125"/>
      <c r="MO30" s="125"/>
      <c r="MP30" s="125"/>
      <c r="MQ30" s="125"/>
      <c r="MR30" s="125"/>
      <c r="MS30" s="125"/>
      <c r="MT30" s="125"/>
      <c r="MU30" s="125"/>
      <c r="MV30" s="125"/>
      <c r="MW30" s="125"/>
      <c r="MX30" s="125"/>
      <c r="MY30" s="125"/>
      <c r="MZ30" s="125"/>
      <c r="NA30" s="125"/>
      <c r="NB30" s="125"/>
      <c r="NC30" s="125"/>
      <c r="ND30" s="125"/>
      <c r="NE30" s="125"/>
      <c r="NF30" s="125"/>
      <c r="NG30" s="125"/>
      <c r="NH30" s="125"/>
      <c r="NI30" s="125"/>
      <c r="NJ30" s="125"/>
      <c r="NK30" s="125"/>
      <c r="NL30" s="125"/>
      <c r="NM30" s="125"/>
      <c r="NN30" s="125"/>
      <c r="NO30" s="125"/>
      <c r="NP30" s="125"/>
      <c r="NQ30" s="125"/>
      <c r="NR30" s="125"/>
      <c r="NS30" s="125"/>
      <c r="NT30" s="125"/>
      <c r="NU30" s="125"/>
      <c r="NV30" s="125"/>
      <c r="NW30" s="125"/>
      <c r="NX30" s="125"/>
      <c r="NY30" s="125"/>
      <c r="NZ30" s="125"/>
      <c r="OA30" s="125"/>
      <c r="OB30" s="125"/>
      <c r="OC30" s="125"/>
      <c r="OD30" s="125"/>
      <c r="OE30" s="125"/>
      <c r="OF30" s="125"/>
      <c r="OG30" s="125"/>
      <c r="OH30" s="125"/>
      <c r="OI30" s="125"/>
      <c r="OJ30" s="125"/>
      <c r="OK30" s="125"/>
      <c r="OL30" s="125"/>
      <c r="OM30" s="125"/>
      <c r="ON30" s="125"/>
      <c r="OO30" s="125"/>
      <c r="OP30" s="125"/>
      <c r="OQ30" s="125"/>
      <c r="OR30" s="125"/>
      <c r="OS30" s="125"/>
      <c r="OT30" s="125"/>
      <c r="OU30" s="125"/>
      <c r="OV30" s="125"/>
      <c r="OW30" s="125"/>
      <c r="OX30" s="125"/>
      <c r="OY30" s="125"/>
      <c r="OZ30" s="125"/>
      <c r="PA30" s="125"/>
      <c r="PB30" s="125"/>
      <c r="PC30" s="125"/>
      <c r="PD30" s="125"/>
      <c r="PE30" s="125"/>
      <c r="PF30" s="125"/>
      <c r="PG30" s="125"/>
      <c r="PH30" s="125"/>
      <c r="PI30" s="125"/>
      <c r="PJ30" s="125"/>
      <c r="PK30" s="125"/>
      <c r="PL30" s="125"/>
      <c r="PM30" s="125"/>
      <c r="PN30" s="125"/>
      <c r="PO30" s="125"/>
      <c r="PP30" s="125"/>
      <c r="PQ30" s="125"/>
      <c r="PR30" s="125"/>
      <c r="PS30" s="125"/>
      <c r="PT30" s="125"/>
      <c r="PU30" s="125"/>
      <c r="PV30" s="125"/>
      <c r="PW30" s="125"/>
      <c r="PX30" s="125"/>
      <c r="PY30" s="125"/>
      <c r="PZ30" s="125"/>
      <c r="QA30" s="125"/>
      <c r="QB30" s="125"/>
      <c r="QC30" s="125"/>
      <c r="QD30" s="125"/>
      <c r="QE30" s="125"/>
      <c r="QF30" s="125"/>
      <c r="QG30" s="125"/>
      <c r="QH30" s="125"/>
      <c r="QI30" s="125"/>
      <c r="QJ30" s="125"/>
      <c r="QK30" s="125"/>
      <c r="QL30" s="125"/>
      <c r="QM30" s="125"/>
      <c r="QN30" s="125"/>
      <c r="QO30" s="125"/>
      <c r="QP30" s="125"/>
      <c r="QQ30" s="125"/>
      <c r="QR30" s="125"/>
      <c r="QS30" s="125"/>
      <c r="QT30" s="125"/>
      <c r="QU30" s="125"/>
      <c r="QV30" s="125"/>
      <c r="QW30" s="125"/>
      <c r="QX30" s="125"/>
      <c r="QY30" s="125"/>
      <c r="QZ30" s="125"/>
      <c r="RA30" s="125"/>
      <c r="RB30" s="125"/>
      <c r="RC30" s="125"/>
      <c r="RD30" s="125"/>
      <c r="RE30" s="125"/>
      <c r="RF30" s="125"/>
      <c r="RG30" s="24">
        <f t="shared" si="0"/>
        <v>0.8</v>
      </c>
      <c r="RH30" s="60" t="s">
        <v>36</v>
      </c>
      <c r="RI30" s="121">
        <v>96.82</v>
      </c>
      <c r="RJ30" s="77">
        <f>RM30+RN30+RO30</f>
        <v>0</v>
      </c>
      <c r="RK30" s="77">
        <v>55.296000000000006</v>
      </c>
      <c r="RL30" s="121">
        <f t="shared" si="1"/>
        <v>96.82</v>
      </c>
      <c r="RM30" s="145"/>
      <c r="RN30" s="145"/>
      <c r="RO30" s="145"/>
      <c r="RP30" s="104">
        <f t="shared" si="2"/>
        <v>1.7509403935185182</v>
      </c>
      <c r="RQ30" s="172" t="s">
        <v>594</v>
      </c>
    </row>
    <row r="31" spans="1:485" s="5" customFormat="1" ht="12.75" customHeight="1" x14ac:dyDescent="0.25">
      <c r="A31" s="61">
        <v>44970</v>
      </c>
      <c r="B31" s="112" t="s">
        <v>55</v>
      </c>
      <c r="C31" s="123"/>
      <c r="D31" s="123"/>
      <c r="E31" s="124"/>
      <c r="F31" s="124"/>
      <c r="G31" s="124"/>
      <c r="H31" s="124"/>
      <c r="I31" s="124"/>
      <c r="J31" s="124"/>
      <c r="K31" s="124"/>
      <c r="L31" s="124"/>
      <c r="M31" s="124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>
        <v>100</v>
      </c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125"/>
      <c r="FY31" s="125"/>
      <c r="FZ31" s="125"/>
      <c r="GA31" s="125"/>
      <c r="GB31" s="125"/>
      <c r="GC31" s="125"/>
      <c r="GD31" s="125"/>
      <c r="GE31" s="125"/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  <c r="HD31" s="125"/>
      <c r="HE31" s="125"/>
      <c r="HF31" s="125"/>
      <c r="HG31" s="125"/>
      <c r="HH31" s="125"/>
      <c r="HI31" s="125"/>
      <c r="HJ31" s="125"/>
      <c r="HK31" s="125"/>
      <c r="HL31" s="125"/>
      <c r="HM31" s="125"/>
      <c r="HN31" s="125"/>
      <c r="HO31" s="125"/>
      <c r="HP31" s="125"/>
      <c r="HQ31" s="125"/>
      <c r="HR31" s="125"/>
      <c r="HS31" s="125"/>
      <c r="HT31" s="125"/>
      <c r="HU31" s="125"/>
      <c r="HV31" s="125"/>
      <c r="HW31" s="125"/>
      <c r="HX31" s="125"/>
      <c r="HY31" s="125"/>
      <c r="HZ31" s="125"/>
      <c r="IA31" s="125"/>
      <c r="IB31" s="125"/>
      <c r="IC31" s="125"/>
      <c r="ID31" s="125"/>
      <c r="IE31" s="125"/>
      <c r="IF31" s="125"/>
      <c r="IG31" s="125"/>
      <c r="IH31" s="125"/>
      <c r="II31" s="125"/>
      <c r="IJ31" s="125"/>
      <c r="IK31" s="125"/>
      <c r="IL31" s="125"/>
      <c r="IM31" s="125"/>
      <c r="IN31" s="125"/>
      <c r="IO31" s="125"/>
      <c r="IP31" s="125"/>
      <c r="IQ31" s="125"/>
      <c r="IR31" s="125"/>
      <c r="IS31" s="125"/>
      <c r="IT31" s="125"/>
      <c r="IU31" s="125"/>
      <c r="IV31" s="125"/>
      <c r="IW31" s="125"/>
      <c r="IX31" s="125"/>
      <c r="IY31" s="125"/>
      <c r="IZ31" s="125"/>
      <c r="JA31" s="125"/>
      <c r="JB31" s="125"/>
      <c r="JC31" s="125"/>
      <c r="JD31" s="125"/>
      <c r="JE31" s="125"/>
      <c r="JF31" s="125"/>
      <c r="JG31" s="125"/>
      <c r="JH31" s="125"/>
      <c r="JI31" s="125"/>
      <c r="JJ31" s="125"/>
      <c r="JK31" s="125"/>
      <c r="JL31" s="125"/>
      <c r="JM31" s="125"/>
      <c r="JN31" s="125"/>
      <c r="JO31" s="125"/>
      <c r="JP31" s="125"/>
      <c r="JQ31" s="125"/>
      <c r="JR31" s="125"/>
      <c r="JS31" s="125"/>
      <c r="JT31" s="125"/>
      <c r="JU31" s="125"/>
      <c r="JV31" s="125"/>
      <c r="JW31" s="125"/>
      <c r="JX31" s="125"/>
      <c r="JY31" s="125"/>
      <c r="JZ31" s="125"/>
      <c r="KA31" s="125"/>
      <c r="KB31" s="125"/>
      <c r="KC31" s="125"/>
      <c r="KD31" s="125"/>
      <c r="KE31" s="125"/>
      <c r="KF31" s="125"/>
      <c r="KG31" s="125"/>
      <c r="KH31" s="125"/>
      <c r="KI31" s="125"/>
      <c r="KJ31" s="125"/>
      <c r="KK31" s="125"/>
      <c r="KL31" s="125"/>
      <c r="KM31" s="125"/>
      <c r="KN31" s="125"/>
      <c r="KO31" s="125"/>
      <c r="KP31" s="125"/>
      <c r="KQ31" s="125"/>
      <c r="KR31" s="125"/>
      <c r="KS31" s="125"/>
      <c r="KT31" s="125"/>
      <c r="KU31" s="125"/>
      <c r="KV31" s="125"/>
      <c r="KW31" s="125"/>
      <c r="KX31" s="125"/>
      <c r="KY31" s="125"/>
      <c r="KZ31" s="125"/>
      <c r="LA31" s="125"/>
      <c r="LB31" s="125"/>
      <c r="LC31" s="125"/>
      <c r="LD31" s="125"/>
      <c r="LE31" s="125"/>
      <c r="LF31" s="125"/>
      <c r="LG31" s="125"/>
      <c r="LH31" s="125"/>
      <c r="LI31" s="125"/>
      <c r="LJ31" s="125"/>
      <c r="LK31" s="125"/>
      <c r="LL31" s="125"/>
      <c r="LM31" s="125"/>
      <c r="LN31" s="125"/>
      <c r="LO31" s="125"/>
      <c r="LP31" s="125"/>
      <c r="LQ31" s="125"/>
      <c r="LR31" s="125"/>
      <c r="LS31" s="125"/>
      <c r="LT31" s="125"/>
      <c r="LU31" s="125"/>
      <c r="LV31" s="125"/>
      <c r="LW31" s="125"/>
      <c r="LX31" s="125"/>
      <c r="LY31" s="125"/>
      <c r="LZ31" s="125"/>
      <c r="MA31" s="125"/>
      <c r="MB31" s="125"/>
      <c r="MC31" s="125"/>
      <c r="MD31" s="125"/>
      <c r="ME31" s="125"/>
      <c r="MF31" s="125"/>
      <c r="MG31" s="125"/>
      <c r="MH31" s="125"/>
      <c r="MI31" s="125"/>
      <c r="MJ31" s="125"/>
      <c r="MK31" s="125"/>
      <c r="ML31" s="125"/>
      <c r="MM31" s="125"/>
      <c r="MN31" s="125"/>
      <c r="MO31" s="125"/>
      <c r="MP31" s="125"/>
      <c r="MQ31" s="125"/>
      <c r="MR31" s="125"/>
      <c r="MS31" s="125"/>
      <c r="MT31" s="125"/>
      <c r="MU31" s="125"/>
      <c r="MV31" s="125"/>
      <c r="MW31" s="125"/>
      <c r="MX31" s="125"/>
      <c r="MY31" s="125"/>
      <c r="MZ31" s="125"/>
      <c r="NA31" s="125"/>
      <c r="NB31" s="125"/>
      <c r="NC31" s="125"/>
      <c r="ND31" s="125"/>
      <c r="NE31" s="125"/>
      <c r="NF31" s="125"/>
      <c r="NG31" s="125"/>
      <c r="NH31" s="125"/>
      <c r="NI31" s="125"/>
      <c r="NJ31" s="125"/>
      <c r="NK31" s="125"/>
      <c r="NL31" s="125"/>
      <c r="NM31" s="125"/>
      <c r="NN31" s="125"/>
      <c r="NO31" s="125"/>
      <c r="NP31" s="125"/>
      <c r="NQ31" s="125"/>
      <c r="NR31" s="125"/>
      <c r="NS31" s="125"/>
      <c r="NT31" s="125"/>
      <c r="NU31" s="125"/>
      <c r="NV31" s="125"/>
      <c r="NW31" s="125"/>
      <c r="NX31" s="125"/>
      <c r="NY31" s="125"/>
      <c r="NZ31" s="125"/>
      <c r="OA31" s="125"/>
      <c r="OB31" s="125"/>
      <c r="OC31" s="125"/>
      <c r="OD31" s="125"/>
      <c r="OE31" s="125"/>
      <c r="OF31" s="125"/>
      <c r="OG31" s="125"/>
      <c r="OH31" s="125"/>
      <c r="OI31" s="125"/>
      <c r="OJ31" s="125"/>
      <c r="OK31" s="125"/>
      <c r="OL31" s="125"/>
      <c r="OM31" s="125"/>
      <c r="ON31" s="125"/>
      <c r="OO31" s="125"/>
      <c r="OP31" s="125"/>
      <c r="OQ31" s="125"/>
      <c r="OR31" s="125"/>
      <c r="OS31" s="125"/>
      <c r="OT31" s="125"/>
      <c r="OU31" s="125"/>
      <c r="OV31" s="125"/>
      <c r="OW31" s="125"/>
      <c r="OX31" s="125"/>
      <c r="OY31" s="125"/>
      <c r="OZ31" s="125"/>
      <c r="PA31" s="125"/>
      <c r="PB31" s="125"/>
      <c r="PC31" s="125"/>
      <c r="PD31" s="125"/>
      <c r="PE31" s="125"/>
      <c r="PF31" s="125"/>
      <c r="PG31" s="125"/>
      <c r="PH31" s="125"/>
      <c r="PI31" s="125"/>
      <c r="PJ31" s="125"/>
      <c r="PK31" s="125"/>
      <c r="PL31" s="125"/>
      <c r="PM31" s="125"/>
      <c r="PN31" s="125"/>
      <c r="PO31" s="125"/>
      <c r="PP31" s="125"/>
      <c r="PQ31" s="125"/>
      <c r="PR31" s="125"/>
      <c r="PS31" s="125"/>
      <c r="PT31" s="125"/>
      <c r="PU31" s="125"/>
      <c r="PV31" s="125"/>
      <c r="PW31" s="125"/>
      <c r="PX31" s="125"/>
      <c r="PY31" s="125"/>
      <c r="PZ31" s="125"/>
      <c r="QA31" s="125"/>
      <c r="QB31" s="125"/>
      <c r="QC31" s="125"/>
      <c r="QD31" s="125"/>
      <c r="QE31" s="125"/>
      <c r="QF31" s="125"/>
      <c r="QG31" s="125"/>
      <c r="QH31" s="125"/>
      <c r="QI31" s="125"/>
      <c r="QJ31" s="125"/>
      <c r="QK31" s="125"/>
      <c r="QL31" s="125"/>
      <c r="QM31" s="125"/>
      <c r="QN31" s="125"/>
      <c r="QO31" s="125"/>
      <c r="QP31" s="125"/>
      <c r="QQ31" s="125"/>
      <c r="QR31" s="125"/>
      <c r="QS31" s="125"/>
      <c r="QT31" s="125"/>
      <c r="QU31" s="125"/>
      <c r="QV31" s="125"/>
      <c r="QW31" s="125"/>
      <c r="QX31" s="125"/>
      <c r="QY31" s="125"/>
      <c r="QZ31" s="125"/>
      <c r="RA31" s="125"/>
      <c r="RB31" s="125"/>
      <c r="RC31" s="125"/>
      <c r="RD31" s="125"/>
      <c r="RE31" s="125"/>
      <c r="RF31" s="125"/>
      <c r="RG31" s="24">
        <f t="shared" si="0"/>
        <v>100</v>
      </c>
      <c r="RH31" s="60" t="s">
        <v>36</v>
      </c>
      <c r="RI31" s="121">
        <v>6631.2</v>
      </c>
      <c r="RJ31" s="77">
        <f>RM31+RN31+RO31</f>
        <v>0</v>
      </c>
      <c r="RK31" s="77">
        <v>4200</v>
      </c>
      <c r="RL31" s="121">
        <f t="shared" si="1"/>
        <v>6631.2</v>
      </c>
      <c r="RM31" s="145"/>
      <c r="RN31" s="145"/>
      <c r="RO31" s="145"/>
      <c r="RP31" s="104">
        <f t="shared" si="2"/>
        <v>1.5788571428571427</v>
      </c>
      <c r="RQ31" s="172" t="s">
        <v>594</v>
      </c>
    </row>
    <row r="32" spans="1:485" s="5" customFormat="1" ht="12.75" customHeight="1" x14ac:dyDescent="0.25">
      <c r="A32" s="61">
        <v>44970</v>
      </c>
      <c r="B32" s="112" t="s">
        <v>55</v>
      </c>
      <c r="C32" s="123"/>
      <c r="D32" s="123"/>
      <c r="E32" s="124"/>
      <c r="F32" s="124"/>
      <c r="G32" s="124"/>
      <c r="H32" s="124"/>
      <c r="I32" s="124"/>
      <c r="J32" s="124"/>
      <c r="K32" s="124"/>
      <c r="L32" s="124"/>
      <c r="M32" s="124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25"/>
      <c r="GA32" s="125"/>
      <c r="GB32" s="125"/>
      <c r="GC32" s="125"/>
      <c r="GD32" s="125"/>
      <c r="GE32" s="125"/>
      <c r="GF32" s="125"/>
      <c r="GG32" s="125"/>
      <c r="GH32" s="125"/>
      <c r="GI32" s="125"/>
      <c r="GJ32" s="125"/>
      <c r="GK32" s="125"/>
      <c r="GL32" s="125"/>
      <c r="GM32" s="125"/>
      <c r="GN32" s="125"/>
      <c r="GO32" s="125"/>
      <c r="GP32" s="125"/>
      <c r="GQ32" s="125"/>
      <c r="GR32" s="125"/>
      <c r="GS32" s="125"/>
      <c r="GT32" s="125"/>
      <c r="GU32" s="125"/>
      <c r="GV32" s="125"/>
      <c r="GW32" s="125"/>
      <c r="GX32" s="125"/>
      <c r="GY32" s="125"/>
      <c r="GZ32" s="125"/>
      <c r="HA32" s="125"/>
      <c r="HB32" s="125"/>
      <c r="HC32" s="125"/>
      <c r="HD32" s="125"/>
      <c r="HE32" s="125"/>
      <c r="HF32" s="125"/>
      <c r="HG32" s="125"/>
      <c r="HH32" s="125"/>
      <c r="HI32" s="125"/>
      <c r="HJ32" s="125"/>
      <c r="HK32" s="125"/>
      <c r="HL32" s="125"/>
      <c r="HM32" s="125"/>
      <c r="HN32" s="125"/>
      <c r="HO32" s="125"/>
      <c r="HP32" s="125"/>
      <c r="HQ32" s="125"/>
      <c r="HR32" s="125"/>
      <c r="HS32" s="125"/>
      <c r="HT32" s="125"/>
      <c r="HU32" s="125"/>
      <c r="HV32" s="125"/>
      <c r="HW32" s="125"/>
      <c r="HX32" s="125"/>
      <c r="HY32" s="125"/>
      <c r="HZ32" s="125"/>
      <c r="IA32" s="125"/>
      <c r="IB32" s="125"/>
      <c r="IC32" s="125"/>
      <c r="ID32" s="125"/>
      <c r="IE32" s="125"/>
      <c r="IF32" s="125"/>
      <c r="IG32" s="125">
        <v>50</v>
      </c>
      <c r="IH32" s="125"/>
      <c r="II32" s="125"/>
      <c r="IJ32" s="125"/>
      <c r="IK32" s="125"/>
      <c r="IL32" s="125"/>
      <c r="IM32" s="125"/>
      <c r="IN32" s="125"/>
      <c r="IO32" s="125"/>
      <c r="IP32" s="125"/>
      <c r="IQ32" s="125"/>
      <c r="IR32" s="125"/>
      <c r="IS32" s="125"/>
      <c r="IT32" s="125"/>
      <c r="IU32" s="125"/>
      <c r="IV32" s="125"/>
      <c r="IW32" s="125"/>
      <c r="IX32" s="125"/>
      <c r="IY32" s="125"/>
      <c r="IZ32" s="125"/>
      <c r="JA32" s="125"/>
      <c r="JB32" s="125"/>
      <c r="JC32" s="125"/>
      <c r="JD32" s="125"/>
      <c r="JE32" s="125"/>
      <c r="JF32" s="125"/>
      <c r="JG32" s="125"/>
      <c r="JH32" s="125"/>
      <c r="JI32" s="125"/>
      <c r="JJ32" s="125"/>
      <c r="JK32" s="125"/>
      <c r="JL32" s="125"/>
      <c r="JM32" s="125"/>
      <c r="JN32" s="125"/>
      <c r="JO32" s="125"/>
      <c r="JP32" s="125"/>
      <c r="JQ32" s="125"/>
      <c r="JR32" s="125"/>
      <c r="JS32" s="125"/>
      <c r="JT32" s="125"/>
      <c r="JU32" s="125"/>
      <c r="JV32" s="125"/>
      <c r="JW32" s="125"/>
      <c r="JX32" s="125"/>
      <c r="JY32" s="125"/>
      <c r="JZ32" s="125"/>
      <c r="KA32" s="125"/>
      <c r="KB32" s="125"/>
      <c r="KC32" s="125"/>
      <c r="KD32" s="125"/>
      <c r="KE32" s="125"/>
      <c r="KF32" s="125"/>
      <c r="KG32" s="125"/>
      <c r="KH32" s="125"/>
      <c r="KI32" s="125"/>
      <c r="KJ32" s="125"/>
      <c r="KK32" s="125"/>
      <c r="KL32" s="125"/>
      <c r="KM32" s="125"/>
      <c r="KN32" s="125"/>
      <c r="KO32" s="125"/>
      <c r="KP32" s="125"/>
      <c r="KQ32" s="125"/>
      <c r="KR32" s="125"/>
      <c r="KS32" s="125"/>
      <c r="KT32" s="125"/>
      <c r="KU32" s="125"/>
      <c r="KV32" s="125"/>
      <c r="KW32" s="125"/>
      <c r="KX32" s="125"/>
      <c r="KY32" s="125"/>
      <c r="KZ32" s="125"/>
      <c r="LA32" s="125"/>
      <c r="LB32" s="125"/>
      <c r="LC32" s="125"/>
      <c r="LD32" s="125"/>
      <c r="LE32" s="125"/>
      <c r="LF32" s="125"/>
      <c r="LG32" s="125"/>
      <c r="LH32" s="125"/>
      <c r="LI32" s="125"/>
      <c r="LJ32" s="125"/>
      <c r="LK32" s="125"/>
      <c r="LL32" s="125"/>
      <c r="LM32" s="125"/>
      <c r="LN32" s="125"/>
      <c r="LO32" s="125"/>
      <c r="LP32" s="125"/>
      <c r="LQ32" s="125"/>
      <c r="LR32" s="125"/>
      <c r="LS32" s="125"/>
      <c r="LT32" s="125"/>
      <c r="LU32" s="125"/>
      <c r="LV32" s="125"/>
      <c r="LW32" s="125"/>
      <c r="LX32" s="125"/>
      <c r="LY32" s="125"/>
      <c r="LZ32" s="125"/>
      <c r="MA32" s="125"/>
      <c r="MB32" s="125"/>
      <c r="MC32" s="125"/>
      <c r="MD32" s="125"/>
      <c r="ME32" s="125"/>
      <c r="MF32" s="125"/>
      <c r="MG32" s="125"/>
      <c r="MH32" s="125"/>
      <c r="MI32" s="125"/>
      <c r="MJ32" s="125"/>
      <c r="MK32" s="125"/>
      <c r="ML32" s="125"/>
      <c r="MM32" s="125"/>
      <c r="MN32" s="125"/>
      <c r="MO32" s="125"/>
      <c r="MP32" s="125"/>
      <c r="MQ32" s="125"/>
      <c r="MR32" s="125"/>
      <c r="MS32" s="125"/>
      <c r="MT32" s="125"/>
      <c r="MU32" s="125"/>
      <c r="MV32" s="125"/>
      <c r="MW32" s="125"/>
      <c r="MX32" s="125"/>
      <c r="MY32" s="125"/>
      <c r="MZ32" s="125"/>
      <c r="NA32" s="125"/>
      <c r="NB32" s="125"/>
      <c r="NC32" s="125"/>
      <c r="ND32" s="125"/>
      <c r="NE32" s="125"/>
      <c r="NF32" s="125"/>
      <c r="NG32" s="125"/>
      <c r="NH32" s="125"/>
      <c r="NI32" s="125"/>
      <c r="NJ32" s="125"/>
      <c r="NK32" s="125"/>
      <c r="NL32" s="125"/>
      <c r="NM32" s="125"/>
      <c r="NN32" s="125"/>
      <c r="NO32" s="125"/>
      <c r="NP32" s="125"/>
      <c r="NQ32" s="125"/>
      <c r="NR32" s="125"/>
      <c r="NS32" s="125"/>
      <c r="NT32" s="125"/>
      <c r="NU32" s="125"/>
      <c r="NV32" s="125"/>
      <c r="NW32" s="125"/>
      <c r="NX32" s="125"/>
      <c r="NY32" s="125"/>
      <c r="NZ32" s="125"/>
      <c r="OA32" s="125"/>
      <c r="OB32" s="125"/>
      <c r="OC32" s="125"/>
      <c r="OD32" s="125"/>
      <c r="OE32" s="125"/>
      <c r="OF32" s="125"/>
      <c r="OG32" s="125"/>
      <c r="OH32" s="125"/>
      <c r="OI32" s="125"/>
      <c r="OJ32" s="125"/>
      <c r="OK32" s="125"/>
      <c r="OL32" s="125"/>
      <c r="OM32" s="125"/>
      <c r="ON32" s="125"/>
      <c r="OO32" s="125"/>
      <c r="OP32" s="125"/>
      <c r="OQ32" s="125"/>
      <c r="OR32" s="125"/>
      <c r="OS32" s="125"/>
      <c r="OT32" s="125"/>
      <c r="OU32" s="125"/>
      <c r="OV32" s="125"/>
      <c r="OW32" s="125"/>
      <c r="OX32" s="125"/>
      <c r="OY32" s="125"/>
      <c r="OZ32" s="125"/>
      <c r="PA32" s="125"/>
      <c r="PB32" s="125"/>
      <c r="PC32" s="125"/>
      <c r="PD32" s="125"/>
      <c r="PE32" s="125"/>
      <c r="PF32" s="125"/>
      <c r="PG32" s="125"/>
      <c r="PH32" s="125"/>
      <c r="PI32" s="125"/>
      <c r="PJ32" s="125"/>
      <c r="PK32" s="125"/>
      <c r="PL32" s="125"/>
      <c r="PM32" s="125"/>
      <c r="PN32" s="125"/>
      <c r="PO32" s="125"/>
      <c r="PP32" s="125"/>
      <c r="PQ32" s="125"/>
      <c r="PR32" s="125"/>
      <c r="PS32" s="125"/>
      <c r="PT32" s="125"/>
      <c r="PU32" s="125"/>
      <c r="PV32" s="125"/>
      <c r="PW32" s="125"/>
      <c r="PX32" s="125"/>
      <c r="PY32" s="125"/>
      <c r="PZ32" s="125"/>
      <c r="QA32" s="125"/>
      <c r="QB32" s="125"/>
      <c r="QC32" s="125"/>
      <c r="QD32" s="125"/>
      <c r="QE32" s="125"/>
      <c r="QF32" s="125"/>
      <c r="QG32" s="125"/>
      <c r="QH32" s="125"/>
      <c r="QI32" s="125"/>
      <c r="QJ32" s="125"/>
      <c r="QK32" s="125"/>
      <c r="QL32" s="125"/>
      <c r="QM32" s="125"/>
      <c r="QN32" s="125"/>
      <c r="QO32" s="125"/>
      <c r="QP32" s="125"/>
      <c r="QQ32" s="125"/>
      <c r="QR32" s="125"/>
      <c r="QS32" s="125"/>
      <c r="QT32" s="125"/>
      <c r="QU32" s="125"/>
      <c r="QV32" s="125"/>
      <c r="QW32" s="125"/>
      <c r="QX32" s="125"/>
      <c r="QY32" s="125"/>
      <c r="QZ32" s="125"/>
      <c r="RA32" s="125"/>
      <c r="RB32" s="125"/>
      <c r="RC32" s="125"/>
      <c r="RD32" s="125"/>
      <c r="RE32" s="125"/>
      <c r="RF32" s="125"/>
      <c r="RG32" s="24">
        <f t="shared" si="0"/>
        <v>50</v>
      </c>
      <c r="RH32" s="60" t="s">
        <v>36</v>
      </c>
      <c r="RI32" s="121">
        <v>1570.2</v>
      </c>
      <c r="RJ32" s="77">
        <f>RM32+RN32+RO32</f>
        <v>0</v>
      </c>
      <c r="RK32" s="77">
        <v>1245</v>
      </c>
      <c r="RL32" s="121">
        <f t="shared" si="1"/>
        <v>1570.2</v>
      </c>
      <c r="RM32" s="145"/>
      <c r="RN32" s="145"/>
      <c r="RO32" s="145"/>
      <c r="RP32" s="104">
        <f t="shared" si="2"/>
        <v>1.2612048192771084</v>
      </c>
      <c r="RQ32" s="172" t="s">
        <v>594</v>
      </c>
    </row>
    <row r="33" spans="1:485" s="5" customFormat="1" ht="12.75" customHeight="1" x14ac:dyDescent="0.25">
      <c r="A33" s="61">
        <v>44970</v>
      </c>
      <c r="B33" s="165" t="s">
        <v>174</v>
      </c>
      <c r="C33" s="123"/>
      <c r="D33" s="123"/>
      <c r="E33" s="124"/>
      <c r="F33" s="124"/>
      <c r="G33" s="124"/>
      <c r="H33" s="124"/>
      <c r="I33" s="124"/>
      <c r="J33" s="124"/>
      <c r="K33" s="124"/>
      <c r="L33" s="124"/>
      <c r="M33" s="124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5"/>
      <c r="BA33" s="125"/>
      <c r="BB33" s="125"/>
      <c r="BC33" s="125"/>
      <c r="BD33" s="125"/>
      <c r="BE33" s="125"/>
      <c r="BF33" s="125"/>
      <c r="BG33" s="125"/>
      <c r="BH33" s="125"/>
      <c r="BI33" s="125"/>
      <c r="BJ33" s="125"/>
      <c r="BK33" s="125"/>
      <c r="BL33" s="125"/>
      <c r="BM33" s="125"/>
      <c r="BN33" s="125"/>
      <c r="BO33" s="125"/>
      <c r="BP33" s="125"/>
      <c r="BQ33" s="125"/>
      <c r="BR33" s="125"/>
      <c r="BS33" s="125"/>
      <c r="BT33" s="125"/>
      <c r="BU33" s="125"/>
      <c r="BV33" s="125"/>
      <c r="BW33" s="125"/>
      <c r="BX33" s="125"/>
      <c r="BY33" s="125"/>
      <c r="BZ33" s="125"/>
      <c r="CA33" s="125"/>
      <c r="CB33" s="125"/>
      <c r="CC33" s="125"/>
      <c r="CD33" s="125"/>
      <c r="CE33" s="125"/>
      <c r="CF33" s="125"/>
      <c r="CG33" s="125"/>
      <c r="CH33" s="125"/>
      <c r="CI33" s="125"/>
      <c r="CJ33" s="125"/>
      <c r="CK33" s="125"/>
      <c r="CL33" s="125"/>
      <c r="CM33" s="125"/>
      <c r="CN33" s="125"/>
      <c r="CO33" s="125"/>
      <c r="CP33" s="125"/>
      <c r="CQ33" s="125"/>
      <c r="CR33" s="125"/>
      <c r="CS33" s="125"/>
      <c r="CT33" s="125"/>
      <c r="CU33" s="125"/>
      <c r="CV33" s="125"/>
      <c r="CW33" s="125"/>
      <c r="CX33" s="125"/>
      <c r="CY33" s="125"/>
      <c r="CZ33" s="125"/>
      <c r="DA33" s="125"/>
      <c r="DB33" s="125"/>
      <c r="DC33" s="125"/>
      <c r="DD33" s="125"/>
      <c r="DE33" s="125"/>
      <c r="DF33" s="125"/>
      <c r="DG33" s="125"/>
      <c r="DH33" s="125"/>
      <c r="DI33" s="125"/>
      <c r="DJ33" s="125"/>
      <c r="DK33" s="125"/>
      <c r="DL33" s="125"/>
      <c r="DM33" s="125"/>
      <c r="DN33" s="125"/>
      <c r="DO33" s="125"/>
      <c r="DP33" s="125"/>
      <c r="DQ33" s="125"/>
      <c r="DR33" s="125"/>
      <c r="DS33" s="125"/>
      <c r="DT33" s="125"/>
      <c r="DU33" s="125"/>
      <c r="DV33" s="125"/>
      <c r="DW33" s="125"/>
      <c r="DX33" s="125"/>
      <c r="DY33" s="125"/>
      <c r="DZ33" s="125"/>
      <c r="EA33" s="125"/>
      <c r="EB33" s="125"/>
      <c r="EC33" s="125"/>
      <c r="ED33" s="125"/>
      <c r="EE33" s="125"/>
      <c r="EF33" s="125"/>
      <c r="EG33" s="125"/>
      <c r="EH33" s="125"/>
      <c r="EI33" s="125"/>
      <c r="EJ33" s="125"/>
      <c r="EK33" s="125"/>
      <c r="EL33" s="125"/>
      <c r="EM33" s="125"/>
      <c r="EN33" s="125"/>
      <c r="EO33" s="125"/>
      <c r="EP33" s="125"/>
      <c r="EQ33" s="125"/>
      <c r="ER33" s="125"/>
      <c r="ES33" s="125"/>
      <c r="ET33" s="125"/>
      <c r="EU33" s="125"/>
      <c r="EV33" s="125"/>
      <c r="EW33" s="125"/>
      <c r="EX33" s="125"/>
      <c r="EY33" s="125"/>
      <c r="EZ33" s="125"/>
      <c r="FA33" s="125"/>
      <c r="FB33" s="125"/>
      <c r="FC33" s="125"/>
      <c r="FD33" s="125"/>
      <c r="FE33" s="125"/>
      <c r="FF33" s="125"/>
      <c r="FG33" s="125"/>
      <c r="FH33" s="125"/>
      <c r="FI33" s="125"/>
      <c r="FJ33" s="125"/>
      <c r="FK33" s="125"/>
      <c r="FL33" s="125"/>
      <c r="FM33" s="125"/>
      <c r="FN33" s="125"/>
      <c r="FO33" s="125"/>
      <c r="FP33" s="125"/>
      <c r="FQ33" s="125"/>
      <c r="FR33" s="125"/>
      <c r="FS33" s="125"/>
      <c r="FT33" s="125"/>
      <c r="FU33" s="125"/>
      <c r="FV33" s="125"/>
      <c r="FW33" s="125"/>
      <c r="FX33" s="125"/>
      <c r="FY33" s="125"/>
      <c r="FZ33" s="125"/>
      <c r="GA33" s="125"/>
      <c r="GB33" s="125"/>
      <c r="GC33" s="125"/>
      <c r="GD33" s="125"/>
      <c r="GE33" s="125"/>
      <c r="GF33" s="125"/>
      <c r="GG33" s="125"/>
      <c r="GH33" s="125"/>
      <c r="GI33" s="125"/>
      <c r="GJ33" s="125"/>
      <c r="GK33" s="125"/>
      <c r="GL33" s="125"/>
      <c r="GM33" s="125"/>
      <c r="GN33" s="125"/>
      <c r="GO33" s="125"/>
      <c r="GP33" s="125"/>
      <c r="GQ33" s="125"/>
      <c r="GR33" s="125"/>
      <c r="GS33" s="125"/>
      <c r="GT33" s="125"/>
      <c r="GU33" s="125"/>
      <c r="GV33" s="125"/>
      <c r="GW33" s="125"/>
      <c r="GX33" s="125"/>
      <c r="GY33" s="125"/>
      <c r="GZ33" s="125"/>
      <c r="HA33" s="125"/>
      <c r="HB33" s="125"/>
      <c r="HC33" s="125"/>
      <c r="HD33" s="125"/>
      <c r="HE33" s="125"/>
      <c r="HF33" s="125"/>
      <c r="HG33" s="125"/>
      <c r="HH33" s="125"/>
      <c r="HI33" s="125"/>
      <c r="HJ33" s="125"/>
      <c r="HK33" s="125"/>
      <c r="HL33" s="125"/>
      <c r="HM33" s="125"/>
      <c r="HN33" s="125"/>
      <c r="HO33" s="125"/>
      <c r="HP33" s="125"/>
      <c r="HQ33" s="125"/>
      <c r="HR33" s="125"/>
      <c r="HS33" s="125"/>
      <c r="HT33" s="125"/>
      <c r="HU33" s="125"/>
      <c r="HV33" s="125"/>
      <c r="HW33" s="125"/>
      <c r="HX33" s="125"/>
      <c r="HY33" s="125"/>
      <c r="HZ33" s="125"/>
      <c r="IA33" s="125"/>
      <c r="IB33" s="125"/>
      <c r="IC33" s="125"/>
      <c r="ID33" s="125"/>
      <c r="IE33" s="125"/>
      <c r="IF33" s="125"/>
      <c r="IG33" s="125"/>
      <c r="IH33" s="125"/>
      <c r="II33" s="125"/>
      <c r="IJ33" s="125"/>
      <c r="IK33" s="125"/>
      <c r="IL33" s="125"/>
      <c r="IM33" s="125"/>
      <c r="IN33" s="125"/>
      <c r="IO33" s="125"/>
      <c r="IP33" s="125"/>
      <c r="IQ33" s="125"/>
      <c r="IR33" s="125"/>
      <c r="IS33" s="125">
        <v>11</v>
      </c>
      <c r="IT33" s="125"/>
      <c r="IU33" s="125"/>
      <c r="IV33" s="125"/>
      <c r="IW33" s="125"/>
      <c r="IX33" s="125"/>
      <c r="IY33" s="125"/>
      <c r="IZ33" s="125"/>
      <c r="JA33" s="125"/>
      <c r="JB33" s="125"/>
      <c r="JC33" s="125"/>
      <c r="JD33" s="125"/>
      <c r="JE33" s="125"/>
      <c r="JF33" s="125"/>
      <c r="JG33" s="125"/>
      <c r="JH33" s="125"/>
      <c r="JI33" s="125"/>
      <c r="JJ33" s="125"/>
      <c r="JK33" s="125"/>
      <c r="JL33" s="125"/>
      <c r="JM33" s="125"/>
      <c r="JN33" s="125"/>
      <c r="JO33" s="125"/>
      <c r="JP33" s="125"/>
      <c r="JQ33" s="125"/>
      <c r="JR33" s="125"/>
      <c r="JS33" s="125"/>
      <c r="JT33" s="125"/>
      <c r="JU33" s="125"/>
      <c r="JV33" s="125"/>
      <c r="JW33" s="125"/>
      <c r="JX33" s="125"/>
      <c r="JY33" s="125"/>
      <c r="JZ33" s="125"/>
      <c r="KA33" s="125"/>
      <c r="KB33" s="125"/>
      <c r="KC33" s="125"/>
      <c r="KD33" s="125"/>
      <c r="KE33" s="125"/>
      <c r="KF33" s="125"/>
      <c r="KG33" s="125"/>
      <c r="KH33" s="125"/>
      <c r="KI33" s="125"/>
      <c r="KJ33" s="125"/>
      <c r="KK33" s="125"/>
      <c r="KL33" s="125"/>
      <c r="KM33" s="125"/>
      <c r="KN33" s="125"/>
      <c r="KO33" s="125"/>
      <c r="KP33" s="125"/>
      <c r="KQ33" s="125"/>
      <c r="KR33" s="125"/>
      <c r="KS33" s="125"/>
      <c r="KT33" s="125"/>
      <c r="KU33" s="125"/>
      <c r="KV33" s="125"/>
      <c r="KW33" s="125"/>
      <c r="KX33" s="125"/>
      <c r="KY33" s="125"/>
      <c r="KZ33" s="125"/>
      <c r="LA33" s="125"/>
      <c r="LB33" s="125"/>
      <c r="LC33" s="125"/>
      <c r="LD33" s="125"/>
      <c r="LE33" s="125"/>
      <c r="LF33" s="125"/>
      <c r="LG33" s="125"/>
      <c r="LH33" s="125"/>
      <c r="LI33" s="125"/>
      <c r="LJ33" s="125"/>
      <c r="LK33" s="125"/>
      <c r="LL33" s="125"/>
      <c r="LM33" s="125"/>
      <c r="LN33" s="125"/>
      <c r="LO33" s="125"/>
      <c r="LP33" s="125"/>
      <c r="LQ33" s="125"/>
      <c r="LR33" s="125"/>
      <c r="LS33" s="125"/>
      <c r="LT33" s="125"/>
      <c r="LU33" s="125"/>
      <c r="LV33" s="125"/>
      <c r="LW33" s="125"/>
      <c r="LX33" s="125"/>
      <c r="LY33" s="125"/>
      <c r="LZ33" s="125"/>
      <c r="MA33" s="125"/>
      <c r="MB33" s="125"/>
      <c r="MC33" s="125"/>
      <c r="MD33" s="125"/>
      <c r="ME33" s="125"/>
      <c r="MF33" s="125"/>
      <c r="MG33" s="125"/>
      <c r="MH33" s="125"/>
      <c r="MI33" s="125"/>
      <c r="MJ33" s="125"/>
      <c r="MK33" s="125"/>
      <c r="ML33" s="125"/>
      <c r="MM33" s="125"/>
      <c r="MN33" s="125"/>
      <c r="MO33" s="125"/>
      <c r="MP33" s="125"/>
      <c r="MQ33" s="125"/>
      <c r="MR33" s="125"/>
      <c r="MS33" s="125"/>
      <c r="MT33" s="125"/>
      <c r="MU33" s="125"/>
      <c r="MV33" s="125"/>
      <c r="MW33" s="125"/>
      <c r="MX33" s="125"/>
      <c r="MY33" s="125"/>
      <c r="MZ33" s="125"/>
      <c r="NA33" s="125"/>
      <c r="NB33" s="125"/>
      <c r="NC33" s="125"/>
      <c r="ND33" s="125"/>
      <c r="NE33" s="125"/>
      <c r="NF33" s="125"/>
      <c r="NG33" s="125"/>
      <c r="NH33" s="125"/>
      <c r="NI33" s="125"/>
      <c r="NJ33" s="125"/>
      <c r="NK33" s="125"/>
      <c r="NL33" s="125"/>
      <c r="NM33" s="125"/>
      <c r="NN33" s="125"/>
      <c r="NO33" s="125"/>
      <c r="NP33" s="125"/>
      <c r="NQ33" s="125"/>
      <c r="NR33" s="125"/>
      <c r="NS33" s="125"/>
      <c r="NT33" s="125"/>
      <c r="NU33" s="125"/>
      <c r="NV33" s="125"/>
      <c r="NW33" s="125"/>
      <c r="NX33" s="125"/>
      <c r="NY33" s="125"/>
      <c r="NZ33" s="125"/>
      <c r="OA33" s="125"/>
      <c r="OB33" s="125"/>
      <c r="OC33" s="125"/>
      <c r="OD33" s="125"/>
      <c r="OE33" s="125"/>
      <c r="OF33" s="125"/>
      <c r="OG33" s="125"/>
      <c r="OH33" s="125"/>
      <c r="OI33" s="125"/>
      <c r="OJ33" s="125"/>
      <c r="OK33" s="125"/>
      <c r="OL33" s="125"/>
      <c r="OM33" s="125"/>
      <c r="ON33" s="125"/>
      <c r="OO33" s="125"/>
      <c r="OP33" s="125"/>
      <c r="OQ33" s="125"/>
      <c r="OR33" s="125"/>
      <c r="OS33" s="125"/>
      <c r="OT33" s="125"/>
      <c r="OU33" s="125"/>
      <c r="OV33" s="125"/>
      <c r="OW33" s="125"/>
      <c r="OX33" s="125"/>
      <c r="OY33" s="125"/>
      <c r="OZ33" s="125"/>
      <c r="PA33" s="125"/>
      <c r="PB33" s="125"/>
      <c r="PC33" s="125"/>
      <c r="PD33" s="125"/>
      <c r="PE33" s="125"/>
      <c r="PF33" s="125"/>
      <c r="PG33" s="125"/>
      <c r="PH33" s="125"/>
      <c r="PI33" s="125"/>
      <c r="PJ33" s="125"/>
      <c r="PK33" s="125"/>
      <c r="PL33" s="125"/>
      <c r="PM33" s="125"/>
      <c r="PN33" s="125"/>
      <c r="PO33" s="125"/>
      <c r="PP33" s="125"/>
      <c r="PQ33" s="125"/>
      <c r="PR33" s="125"/>
      <c r="PS33" s="125"/>
      <c r="PT33" s="125"/>
      <c r="PU33" s="125"/>
      <c r="PV33" s="125"/>
      <c r="PW33" s="125"/>
      <c r="PX33" s="125"/>
      <c r="PY33" s="125"/>
      <c r="PZ33" s="125"/>
      <c r="QA33" s="125"/>
      <c r="QB33" s="125"/>
      <c r="QC33" s="125"/>
      <c r="QD33" s="125"/>
      <c r="QE33" s="125"/>
      <c r="QF33" s="125"/>
      <c r="QG33" s="125"/>
      <c r="QH33" s="125"/>
      <c r="QI33" s="125"/>
      <c r="QJ33" s="125"/>
      <c r="QK33" s="125"/>
      <c r="QL33" s="125"/>
      <c r="QM33" s="125"/>
      <c r="QN33" s="125"/>
      <c r="QO33" s="125"/>
      <c r="QP33" s="125"/>
      <c r="QQ33" s="125"/>
      <c r="QR33" s="125"/>
      <c r="QS33" s="125"/>
      <c r="QT33" s="125"/>
      <c r="QU33" s="125"/>
      <c r="QV33" s="125"/>
      <c r="QW33" s="125"/>
      <c r="QX33" s="125"/>
      <c r="QY33" s="125"/>
      <c r="QZ33" s="125"/>
      <c r="RA33" s="125"/>
      <c r="RB33" s="125"/>
      <c r="RC33" s="125"/>
      <c r="RD33" s="125"/>
      <c r="RE33" s="125"/>
      <c r="RF33" s="125"/>
      <c r="RG33" s="24">
        <f t="shared" si="0"/>
        <v>11</v>
      </c>
      <c r="RH33" s="60" t="s">
        <v>36</v>
      </c>
      <c r="RI33" s="121">
        <v>463.22</v>
      </c>
      <c r="RJ33" s="77">
        <f>RM33+RN33+RO33</f>
        <v>0</v>
      </c>
      <c r="RK33" s="77">
        <v>299.64</v>
      </c>
      <c r="RL33" s="121">
        <f t="shared" si="1"/>
        <v>463.22</v>
      </c>
      <c r="RM33" s="145"/>
      <c r="RN33" s="145"/>
      <c r="RO33" s="145"/>
      <c r="RP33" s="104">
        <f t="shared" si="2"/>
        <v>1.5459217727940195</v>
      </c>
      <c r="RQ33" s="172" t="s">
        <v>594</v>
      </c>
    </row>
    <row r="34" spans="1:485" s="5" customFormat="1" ht="12.75" customHeight="1" x14ac:dyDescent="0.25">
      <c r="A34" s="61">
        <v>44971</v>
      </c>
      <c r="B34" s="176" t="s">
        <v>358</v>
      </c>
      <c r="C34" s="123"/>
      <c r="D34" s="123"/>
      <c r="E34" s="124"/>
      <c r="F34" s="124"/>
      <c r="G34" s="124"/>
      <c r="H34" s="124"/>
      <c r="I34" s="124"/>
      <c r="J34" s="124"/>
      <c r="K34" s="124"/>
      <c r="L34" s="124"/>
      <c r="M34" s="124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  <c r="CY34" s="125"/>
      <c r="CZ34" s="125"/>
      <c r="DA34" s="125"/>
      <c r="DB34" s="125"/>
      <c r="DC34" s="125"/>
      <c r="DD34" s="125"/>
      <c r="DE34" s="125"/>
      <c r="DF34" s="125"/>
      <c r="DG34" s="125"/>
      <c r="DH34" s="125"/>
      <c r="DI34" s="125"/>
      <c r="DJ34" s="125"/>
      <c r="DK34" s="125"/>
      <c r="DL34" s="125"/>
      <c r="DM34" s="125"/>
      <c r="DN34" s="125"/>
      <c r="DO34" s="125"/>
      <c r="DP34" s="125"/>
      <c r="DQ34" s="125"/>
      <c r="DR34" s="125"/>
      <c r="DS34" s="125"/>
      <c r="DT34" s="125"/>
      <c r="DU34" s="125"/>
      <c r="DV34" s="125"/>
      <c r="DW34" s="125"/>
      <c r="DX34" s="125"/>
      <c r="DY34" s="125"/>
      <c r="DZ34" s="125"/>
      <c r="EA34" s="125"/>
      <c r="EB34" s="125"/>
      <c r="EC34" s="125"/>
      <c r="ED34" s="125"/>
      <c r="EE34" s="125"/>
      <c r="EF34" s="125"/>
      <c r="EG34" s="125"/>
      <c r="EH34" s="125"/>
      <c r="EI34" s="125"/>
      <c r="EJ34" s="125"/>
      <c r="EK34" s="125"/>
      <c r="EL34" s="125"/>
      <c r="EM34" s="125"/>
      <c r="EN34" s="125"/>
      <c r="EO34" s="125"/>
      <c r="EP34" s="125"/>
      <c r="EQ34" s="125"/>
      <c r="ER34" s="125"/>
      <c r="ES34" s="125"/>
      <c r="ET34" s="125"/>
      <c r="EU34" s="125"/>
      <c r="EV34" s="125"/>
      <c r="EW34" s="125"/>
      <c r="EX34" s="125"/>
      <c r="EY34" s="125"/>
      <c r="EZ34" s="125"/>
      <c r="FA34" s="125"/>
      <c r="FB34" s="125"/>
      <c r="FC34" s="125"/>
      <c r="FD34" s="125"/>
      <c r="FE34" s="125"/>
      <c r="FF34" s="125"/>
      <c r="FG34" s="125"/>
      <c r="FH34" s="125"/>
      <c r="FI34" s="125"/>
      <c r="FJ34" s="125"/>
      <c r="FK34" s="125"/>
      <c r="FL34" s="125"/>
      <c r="FM34" s="125"/>
      <c r="FN34" s="125"/>
      <c r="FO34" s="125"/>
      <c r="FP34" s="125"/>
      <c r="FQ34" s="125"/>
      <c r="FR34" s="125"/>
      <c r="FS34" s="125"/>
      <c r="FT34" s="125"/>
      <c r="FU34" s="125"/>
      <c r="FV34" s="125"/>
      <c r="FW34" s="125"/>
      <c r="FX34" s="125"/>
      <c r="FY34" s="125"/>
      <c r="FZ34" s="125"/>
      <c r="GA34" s="125"/>
      <c r="GB34" s="125"/>
      <c r="GC34" s="125"/>
      <c r="GD34" s="125"/>
      <c r="GE34" s="125"/>
      <c r="GF34" s="125"/>
      <c r="GG34" s="125"/>
      <c r="GH34" s="125"/>
      <c r="GI34" s="125"/>
      <c r="GJ34" s="125"/>
      <c r="GK34" s="125"/>
      <c r="GL34" s="125"/>
      <c r="GM34" s="125"/>
      <c r="GN34" s="125"/>
      <c r="GO34" s="125"/>
      <c r="GP34" s="125"/>
      <c r="GQ34" s="125"/>
      <c r="GR34" s="125"/>
      <c r="GS34" s="125"/>
      <c r="GT34" s="125"/>
      <c r="GU34" s="125"/>
      <c r="GV34" s="125"/>
      <c r="GW34" s="125"/>
      <c r="GX34" s="125"/>
      <c r="GY34" s="125"/>
      <c r="GZ34" s="125">
        <v>20</v>
      </c>
      <c r="HA34" s="125"/>
      <c r="HB34" s="125"/>
      <c r="HC34" s="125"/>
      <c r="HD34" s="125"/>
      <c r="HE34" s="125"/>
      <c r="HF34" s="125"/>
      <c r="HG34" s="125"/>
      <c r="HH34" s="125"/>
      <c r="HI34" s="125"/>
      <c r="HJ34" s="125"/>
      <c r="HK34" s="125"/>
      <c r="HL34" s="125"/>
      <c r="HM34" s="125"/>
      <c r="HN34" s="125"/>
      <c r="HO34" s="125"/>
      <c r="HP34" s="125"/>
      <c r="HQ34" s="125"/>
      <c r="HR34" s="125"/>
      <c r="HS34" s="125"/>
      <c r="HT34" s="125"/>
      <c r="HU34" s="125"/>
      <c r="HV34" s="125"/>
      <c r="HW34" s="125"/>
      <c r="HX34" s="125"/>
      <c r="HY34" s="125"/>
      <c r="HZ34" s="125"/>
      <c r="IA34" s="125"/>
      <c r="IB34" s="125"/>
      <c r="IC34" s="125"/>
      <c r="ID34" s="125"/>
      <c r="IE34" s="125"/>
      <c r="IF34" s="125"/>
      <c r="IG34" s="125"/>
      <c r="IH34" s="125"/>
      <c r="II34" s="125"/>
      <c r="IJ34" s="125"/>
      <c r="IK34" s="125"/>
      <c r="IL34" s="125"/>
      <c r="IM34" s="125"/>
      <c r="IN34" s="125"/>
      <c r="IO34" s="125"/>
      <c r="IP34" s="125"/>
      <c r="IQ34" s="125"/>
      <c r="IR34" s="125"/>
      <c r="IS34" s="125"/>
      <c r="IT34" s="125"/>
      <c r="IU34" s="125"/>
      <c r="IV34" s="125"/>
      <c r="IW34" s="125"/>
      <c r="IX34" s="125"/>
      <c r="IY34" s="125"/>
      <c r="IZ34" s="125"/>
      <c r="JA34" s="125"/>
      <c r="JB34" s="125"/>
      <c r="JC34" s="125"/>
      <c r="JD34" s="125"/>
      <c r="JE34" s="125"/>
      <c r="JF34" s="125"/>
      <c r="JG34" s="125"/>
      <c r="JH34" s="125"/>
      <c r="JI34" s="125"/>
      <c r="JJ34" s="125"/>
      <c r="JK34" s="125"/>
      <c r="JL34" s="125"/>
      <c r="JM34" s="125"/>
      <c r="JN34" s="125"/>
      <c r="JO34" s="125"/>
      <c r="JP34" s="125"/>
      <c r="JQ34" s="125"/>
      <c r="JR34" s="125"/>
      <c r="JS34" s="125"/>
      <c r="JT34" s="125"/>
      <c r="JU34" s="125"/>
      <c r="JV34" s="125"/>
      <c r="JW34" s="125"/>
      <c r="JX34" s="125"/>
      <c r="JY34" s="125"/>
      <c r="JZ34" s="125"/>
      <c r="KA34" s="125"/>
      <c r="KB34" s="125"/>
      <c r="KC34" s="125"/>
      <c r="KD34" s="125"/>
      <c r="KE34" s="125"/>
      <c r="KF34" s="125"/>
      <c r="KG34" s="125"/>
      <c r="KH34" s="125"/>
      <c r="KI34" s="125"/>
      <c r="KJ34" s="125"/>
      <c r="KK34" s="125"/>
      <c r="KL34" s="125"/>
      <c r="KM34" s="125"/>
      <c r="KN34" s="125"/>
      <c r="KO34" s="125"/>
      <c r="KP34" s="125"/>
      <c r="KQ34" s="125"/>
      <c r="KR34" s="125"/>
      <c r="KS34" s="125"/>
      <c r="KT34" s="125"/>
      <c r="KU34" s="125"/>
      <c r="KV34" s="125"/>
      <c r="KW34" s="125"/>
      <c r="KX34" s="125"/>
      <c r="KY34" s="125"/>
      <c r="KZ34" s="125"/>
      <c r="LA34" s="125"/>
      <c r="LB34" s="125">
        <v>20</v>
      </c>
      <c r="LC34" s="125"/>
      <c r="LD34" s="125"/>
      <c r="LE34" s="125"/>
      <c r="LF34" s="125"/>
      <c r="LG34" s="125"/>
      <c r="LH34" s="125"/>
      <c r="LI34" s="125"/>
      <c r="LJ34" s="125"/>
      <c r="LK34" s="125"/>
      <c r="LL34" s="125"/>
      <c r="LM34" s="125"/>
      <c r="LN34" s="125"/>
      <c r="LO34" s="125"/>
      <c r="LP34" s="125"/>
      <c r="LQ34" s="125"/>
      <c r="LR34" s="125"/>
      <c r="LS34" s="125"/>
      <c r="LT34" s="125"/>
      <c r="LU34" s="125"/>
      <c r="LV34" s="125"/>
      <c r="LW34" s="125"/>
      <c r="LX34" s="125"/>
      <c r="LY34" s="125"/>
      <c r="LZ34" s="125"/>
      <c r="MA34" s="125"/>
      <c r="MB34" s="125"/>
      <c r="MC34" s="125"/>
      <c r="MD34" s="125"/>
      <c r="ME34" s="125"/>
      <c r="MF34" s="125"/>
      <c r="MG34" s="125"/>
      <c r="MH34" s="125"/>
      <c r="MI34" s="125"/>
      <c r="MJ34" s="125"/>
      <c r="MK34" s="125"/>
      <c r="ML34" s="125"/>
      <c r="MM34" s="125"/>
      <c r="MN34" s="125"/>
      <c r="MO34" s="125"/>
      <c r="MP34" s="125"/>
      <c r="MQ34" s="125"/>
      <c r="MR34" s="125"/>
      <c r="MS34" s="125"/>
      <c r="MT34" s="125"/>
      <c r="MU34" s="125"/>
      <c r="MV34" s="125"/>
      <c r="MW34" s="125"/>
      <c r="MX34" s="125"/>
      <c r="MY34" s="125"/>
      <c r="MZ34" s="125"/>
      <c r="NA34" s="125"/>
      <c r="NB34" s="125"/>
      <c r="NC34" s="125"/>
      <c r="ND34" s="125"/>
      <c r="NE34" s="125"/>
      <c r="NF34" s="125"/>
      <c r="NG34" s="125"/>
      <c r="NH34" s="125"/>
      <c r="NI34" s="125"/>
      <c r="NJ34" s="125"/>
      <c r="NK34" s="125"/>
      <c r="NL34" s="125"/>
      <c r="NM34" s="125"/>
      <c r="NN34" s="125"/>
      <c r="NO34" s="125"/>
      <c r="NP34" s="125"/>
      <c r="NQ34" s="125"/>
      <c r="NR34" s="125"/>
      <c r="NS34" s="125"/>
      <c r="NT34" s="125"/>
      <c r="NU34" s="125"/>
      <c r="NV34" s="125"/>
      <c r="NW34" s="125"/>
      <c r="NX34" s="125"/>
      <c r="NY34" s="125"/>
      <c r="NZ34" s="125"/>
      <c r="OA34" s="125"/>
      <c r="OB34" s="125"/>
      <c r="OC34" s="125"/>
      <c r="OD34" s="125"/>
      <c r="OE34" s="125"/>
      <c r="OF34" s="125"/>
      <c r="OG34" s="125"/>
      <c r="OH34" s="125"/>
      <c r="OI34" s="125"/>
      <c r="OJ34" s="125"/>
      <c r="OK34" s="125"/>
      <c r="OL34" s="125"/>
      <c r="OM34" s="125"/>
      <c r="ON34" s="125"/>
      <c r="OO34" s="125"/>
      <c r="OP34" s="125"/>
      <c r="OQ34" s="125"/>
      <c r="OR34" s="125"/>
      <c r="OS34" s="125"/>
      <c r="OT34" s="125"/>
      <c r="OU34" s="125"/>
      <c r="OV34" s="125"/>
      <c r="OW34" s="125"/>
      <c r="OX34" s="125"/>
      <c r="OY34" s="125"/>
      <c r="OZ34" s="125"/>
      <c r="PA34" s="125"/>
      <c r="PB34" s="125"/>
      <c r="PC34" s="125"/>
      <c r="PD34" s="125"/>
      <c r="PE34" s="125"/>
      <c r="PF34" s="125"/>
      <c r="PG34" s="125"/>
      <c r="PH34" s="125"/>
      <c r="PI34" s="125"/>
      <c r="PJ34" s="125"/>
      <c r="PK34" s="125"/>
      <c r="PL34" s="125"/>
      <c r="PM34" s="125"/>
      <c r="PN34" s="125"/>
      <c r="PO34" s="125"/>
      <c r="PP34" s="125"/>
      <c r="PQ34" s="125"/>
      <c r="PR34" s="125"/>
      <c r="PS34" s="125"/>
      <c r="PT34" s="125"/>
      <c r="PU34" s="125"/>
      <c r="PV34" s="125"/>
      <c r="PW34" s="125"/>
      <c r="PX34" s="125"/>
      <c r="PY34" s="125"/>
      <c r="PZ34" s="125"/>
      <c r="QA34" s="125"/>
      <c r="QB34" s="125"/>
      <c r="QC34" s="125"/>
      <c r="QD34" s="125"/>
      <c r="QE34" s="125"/>
      <c r="QF34" s="125"/>
      <c r="QG34" s="125"/>
      <c r="QH34" s="125"/>
      <c r="QI34" s="125"/>
      <c r="QJ34" s="125"/>
      <c r="QK34" s="125"/>
      <c r="QL34" s="125"/>
      <c r="QM34" s="125"/>
      <c r="QN34" s="125"/>
      <c r="QO34" s="125"/>
      <c r="QP34" s="125"/>
      <c r="QQ34" s="125"/>
      <c r="QR34" s="125"/>
      <c r="QS34" s="125"/>
      <c r="QT34" s="125"/>
      <c r="QU34" s="125"/>
      <c r="QV34" s="125"/>
      <c r="QW34" s="125"/>
      <c r="QX34" s="125"/>
      <c r="QY34" s="125"/>
      <c r="QZ34" s="125"/>
      <c r="RA34" s="125"/>
      <c r="RB34" s="125"/>
      <c r="RC34" s="125"/>
      <c r="RD34" s="125"/>
      <c r="RE34" s="125"/>
      <c r="RF34" s="125"/>
      <c r="RG34" s="24">
        <f t="shared" ref="RG34:RG65" si="3">SUBTOTAL(9,C34:RF34)</f>
        <v>40</v>
      </c>
      <c r="RH34" s="60" t="s">
        <v>36</v>
      </c>
      <c r="RI34" s="121">
        <v>2618.4</v>
      </c>
      <c r="RJ34" s="77">
        <f>RM34+RN34</f>
        <v>2618.4</v>
      </c>
      <c r="RK34" s="77">
        <v>1685.1999999999998</v>
      </c>
      <c r="RL34" s="121">
        <f t="shared" ref="RL34:RL65" si="4">RI34-RJ34</f>
        <v>0</v>
      </c>
      <c r="RM34" s="145"/>
      <c r="RN34" s="145">
        <v>2618.4</v>
      </c>
      <c r="RO34" s="145"/>
      <c r="RP34" s="104">
        <f t="shared" ref="RP34:RP65" si="5">RI34/RK34</f>
        <v>1.5537621647282225</v>
      </c>
      <c r="RQ34" s="172"/>
    </row>
    <row r="35" spans="1:485" s="5" customFormat="1" ht="12.75" customHeight="1" x14ac:dyDescent="0.25">
      <c r="A35" s="61">
        <v>44971</v>
      </c>
      <c r="B35" s="112" t="s">
        <v>592</v>
      </c>
      <c r="C35" s="123"/>
      <c r="D35" s="123"/>
      <c r="E35" s="124"/>
      <c r="F35" s="124"/>
      <c r="G35" s="124"/>
      <c r="H35" s="124"/>
      <c r="I35" s="124"/>
      <c r="J35" s="124"/>
      <c r="K35" s="124"/>
      <c r="L35" s="124"/>
      <c r="M35" s="124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5"/>
      <c r="CJ35" s="125"/>
      <c r="CK35" s="125"/>
      <c r="CL35" s="125"/>
      <c r="CM35" s="125"/>
      <c r="CN35" s="125"/>
      <c r="CO35" s="125"/>
      <c r="CP35" s="125"/>
      <c r="CQ35" s="125"/>
      <c r="CR35" s="125"/>
      <c r="CS35" s="125"/>
      <c r="CT35" s="125"/>
      <c r="CU35" s="125"/>
      <c r="CV35" s="125"/>
      <c r="CW35" s="125"/>
      <c r="CX35" s="125"/>
      <c r="CY35" s="125"/>
      <c r="CZ35" s="125"/>
      <c r="DA35" s="125"/>
      <c r="DB35" s="125"/>
      <c r="DC35" s="125"/>
      <c r="DD35" s="125"/>
      <c r="DE35" s="125"/>
      <c r="DF35" s="125"/>
      <c r="DG35" s="125"/>
      <c r="DH35" s="125"/>
      <c r="DI35" s="125"/>
      <c r="DJ35" s="125"/>
      <c r="DK35" s="125"/>
      <c r="DL35" s="125"/>
      <c r="DM35" s="125"/>
      <c r="DN35" s="125"/>
      <c r="DO35" s="125"/>
      <c r="DP35" s="125"/>
      <c r="DQ35" s="125"/>
      <c r="DR35" s="125"/>
      <c r="DS35" s="125"/>
      <c r="DT35" s="125"/>
      <c r="DU35" s="125"/>
      <c r="DV35" s="125"/>
      <c r="DW35" s="125"/>
      <c r="DX35" s="125"/>
      <c r="DY35" s="125"/>
      <c r="DZ35" s="125"/>
      <c r="EA35" s="125"/>
      <c r="EB35" s="125"/>
      <c r="EC35" s="125"/>
      <c r="ED35" s="125"/>
      <c r="EE35" s="125"/>
      <c r="EF35" s="125"/>
      <c r="EG35" s="125"/>
      <c r="EH35" s="125"/>
      <c r="EI35" s="125"/>
      <c r="EJ35" s="125"/>
      <c r="EK35" s="125"/>
      <c r="EL35" s="125"/>
      <c r="EM35" s="125"/>
      <c r="EN35" s="125"/>
      <c r="EO35" s="125"/>
      <c r="EP35" s="125"/>
      <c r="EQ35" s="125"/>
      <c r="ER35" s="125"/>
      <c r="ES35" s="125"/>
      <c r="ET35" s="125"/>
      <c r="EU35" s="125"/>
      <c r="EV35" s="125"/>
      <c r="EW35" s="125"/>
      <c r="EX35" s="125"/>
      <c r="EY35" s="125"/>
      <c r="EZ35" s="125"/>
      <c r="FA35" s="125"/>
      <c r="FB35" s="125"/>
      <c r="FC35" s="125"/>
      <c r="FD35" s="125"/>
      <c r="FE35" s="125"/>
      <c r="FF35" s="125"/>
      <c r="FG35" s="125"/>
      <c r="FH35" s="125"/>
      <c r="FI35" s="125"/>
      <c r="FJ35" s="125"/>
      <c r="FK35" s="125"/>
      <c r="FL35" s="125"/>
      <c r="FM35" s="125"/>
      <c r="FN35" s="125"/>
      <c r="FO35" s="125"/>
      <c r="FP35" s="125"/>
      <c r="FQ35" s="125"/>
      <c r="FR35" s="125"/>
      <c r="FS35" s="125"/>
      <c r="FT35" s="125"/>
      <c r="FU35" s="125"/>
      <c r="FV35" s="125"/>
      <c r="FW35" s="125"/>
      <c r="FX35" s="125"/>
      <c r="FY35" s="125"/>
      <c r="FZ35" s="125"/>
      <c r="GA35" s="125"/>
      <c r="GB35" s="125"/>
      <c r="GC35" s="125"/>
      <c r="GD35" s="125"/>
      <c r="GE35" s="125"/>
      <c r="GF35" s="125"/>
      <c r="GG35" s="125"/>
      <c r="GH35" s="125"/>
      <c r="GI35" s="125"/>
      <c r="GJ35" s="125"/>
      <c r="GK35" s="125"/>
      <c r="GL35" s="125"/>
      <c r="GM35" s="125"/>
      <c r="GN35" s="125"/>
      <c r="GO35" s="125"/>
      <c r="GP35" s="125"/>
      <c r="GQ35" s="125"/>
      <c r="GR35" s="125"/>
      <c r="GS35" s="125"/>
      <c r="GT35" s="125"/>
      <c r="GU35" s="125"/>
      <c r="GV35" s="125"/>
      <c r="GW35" s="125"/>
      <c r="GX35" s="125"/>
      <c r="GY35" s="125"/>
      <c r="GZ35" s="125"/>
      <c r="HA35" s="125"/>
      <c r="HB35" s="125"/>
      <c r="HC35" s="125"/>
      <c r="HD35" s="125"/>
      <c r="HE35" s="125"/>
      <c r="HF35" s="125"/>
      <c r="HG35" s="125"/>
      <c r="HH35" s="125"/>
      <c r="HI35" s="125"/>
      <c r="HJ35" s="125"/>
      <c r="HK35" s="125"/>
      <c r="HL35" s="125"/>
      <c r="HM35" s="125"/>
      <c r="HN35" s="125"/>
      <c r="HO35" s="125"/>
      <c r="HP35" s="125"/>
      <c r="HQ35" s="125"/>
      <c r="HR35" s="125"/>
      <c r="HS35" s="125"/>
      <c r="HT35" s="125"/>
      <c r="HU35" s="125"/>
      <c r="HV35" s="125"/>
      <c r="HW35" s="125"/>
      <c r="HX35" s="125"/>
      <c r="HY35" s="125"/>
      <c r="HZ35" s="125"/>
      <c r="IA35" s="125"/>
      <c r="IB35" s="125"/>
      <c r="IC35" s="125"/>
      <c r="ID35" s="125"/>
      <c r="IE35" s="125"/>
      <c r="IF35" s="125"/>
      <c r="IG35" s="125"/>
      <c r="IH35" s="125"/>
      <c r="II35" s="125"/>
      <c r="IJ35" s="125"/>
      <c r="IK35" s="125"/>
      <c r="IL35" s="125"/>
      <c r="IM35" s="125"/>
      <c r="IN35" s="125"/>
      <c r="IO35" s="125"/>
      <c r="IP35" s="125"/>
      <c r="IQ35" s="125"/>
      <c r="IR35" s="125"/>
      <c r="IS35" s="125"/>
      <c r="IT35" s="125"/>
      <c r="IU35" s="12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>
        <v>15</v>
      </c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  <c r="PV35" s="125"/>
      <c r="PW35" s="125"/>
      <c r="PX35" s="125"/>
      <c r="PY35" s="125"/>
      <c r="PZ35" s="125"/>
      <c r="QA35" s="125"/>
      <c r="QB35" s="125"/>
      <c r="QC35" s="125"/>
      <c r="QD35" s="125"/>
      <c r="QE35" s="125"/>
      <c r="QF35" s="125"/>
      <c r="QG35" s="125"/>
      <c r="QH35" s="125"/>
      <c r="QI35" s="125"/>
      <c r="QJ35" s="125"/>
      <c r="QK35" s="125"/>
      <c r="QL35" s="125"/>
      <c r="QM35" s="125"/>
      <c r="QN35" s="125"/>
      <c r="QO35" s="125"/>
      <c r="QP35" s="125"/>
      <c r="QQ35" s="125"/>
      <c r="QR35" s="125"/>
      <c r="QS35" s="125"/>
      <c r="QT35" s="125"/>
      <c r="QU35" s="125"/>
      <c r="QV35" s="125"/>
      <c r="QW35" s="125"/>
      <c r="QX35" s="125"/>
      <c r="QY35" s="125"/>
      <c r="QZ35" s="125"/>
      <c r="RA35" s="125"/>
      <c r="RB35" s="125"/>
      <c r="RC35" s="125"/>
      <c r="RD35" s="125"/>
      <c r="RE35" s="125"/>
      <c r="RF35" s="125"/>
      <c r="RG35" s="24">
        <f t="shared" si="3"/>
        <v>15</v>
      </c>
      <c r="RH35" s="60" t="s">
        <v>36</v>
      </c>
      <c r="RI35" s="121">
        <v>657</v>
      </c>
      <c r="RJ35" s="77">
        <f>RM35+RN35</f>
        <v>657</v>
      </c>
      <c r="RK35" s="77">
        <v>460.05</v>
      </c>
      <c r="RL35" s="121">
        <f t="shared" si="4"/>
        <v>0</v>
      </c>
      <c r="RM35" s="145"/>
      <c r="RN35" s="145">
        <v>657</v>
      </c>
      <c r="RO35" s="145"/>
      <c r="RP35" s="104">
        <f t="shared" si="5"/>
        <v>1.4281056406912291</v>
      </c>
      <c r="RQ35" s="172"/>
    </row>
    <row r="36" spans="1:485" s="5" customFormat="1" ht="12.75" customHeight="1" x14ac:dyDescent="0.25">
      <c r="A36" s="61">
        <v>44971</v>
      </c>
      <c r="B36" s="102" t="s">
        <v>462</v>
      </c>
      <c r="C36" s="123"/>
      <c r="D36" s="123"/>
      <c r="E36" s="124"/>
      <c r="F36" s="124"/>
      <c r="G36" s="124"/>
      <c r="H36" s="124"/>
      <c r="I36" s="124"/>
      <c r="J36" s="124"/>
      <c r="K36" s="124"/>
      <c r="L36" s="124"/>
      <c r="M36" s="124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5"/>
      <c r="HG36" s="125"/>
      <c r="HH36" s="125"/>
      <c r="HI36" s="125"/>
      <c r="HJ36" s="125"/>
      <c r="HK36" s="125"/>
      <c r="HL36" s="125"/>
      <c r="HM36" s="125"/>
      <c r="HN36" s="125"/>
      <c r="HO36" s="125"/>
      <c r="HP36" s="125"/>
      <c r="HQ36" s="125"/>
      <c r="HR36" s="125"/>
      <c r="HS36" s="125"/>
      <c r="HT36" s="125"/>
      <c r="HU36" s="125"/>
      <c r="HV36" s="125"/>
      <c r="HW36" s="125">
        <v>6</v>
      </c>
      <c r="HX36" s="125"/>
      <c r="HY36" s="125"/>
      <c r="HZ36" s="125"/>
      <c r="IA36" s="125"/>
      <c r="IB36" s="125"/>
      <c r="IC36" s="125"/>
      <c r="ID36" s="125"/>
      <c r="IE36" s="125"/>
      <c r="IF36" s="125"/>
      <c r="IG36" s="125"/>
      <c r="IH36" s="125"/>
      <c r="II36" s="125"/>
      <c r="IJ36" s="125"/>
      <c r="IK36" s="125"/>
      <c r="IL36" s="125">
        <v>3</v>
      </c>
      <c r="IM36" s="125"/>
      <c r="IN36" s="125"/>
      <c r="IO36" s="125"/>
      <c r="IP36" s="125"/>
      <c r="IQ36" s="125"/>
      <c r="IR36" s="125"/>
      <c r="IS36" s="125"/>
      <c r="IT36" s="125"/>
      <c r="IU36" s="125"/>
      <c r="IV36" s="125"/>
      <c r="IW36" s="125"/>
      <c r="IX36" s="125"/>
      <c r="IY36" s="125"/>
      <c r="IZ36" s="125"/>
      <c r="JA36" s="125"/>
      <c r="JB36" s="125"/>
      <c r="JC36" s="125"/>
      <c r="JD36" s="125"/>
      <c r="JE36" s="125"/>
      <c r="JF36" s="125"/>
      <c r="JG36" s="125"/>
      <c r="JH36" s="125"/>
      <c r="JI36" s="125"/>
      <c r="JJ36" s="125"/>
      <c r="JK36" s="125"/>
      <c r="JL36" s="125">
        <v>3.2</v>
      </c>
      <c r="JM36" s="125"/>
      <c r="JN36" s="125"/>
      <c r="JO36" s="125"/>
      <c r="JP36" s="125"/>
      <c r="JQ36" s="125"/>
      <c r="JR36" s="125"/>
      <c r="JS36" s="125"/>
      <c r="JT36" s="125"/>
      <c r="JU36" s="125"/>
      <c r="JV36" s="125"/>
      <c r="JW36" s="125"/>
      <c r="JX36" s="125"/>
      <c r="JY36" s="125"/>
      <c r="JZ36" s="125"/>
      <c r="KA36" s="125"/>
      <c r="KB36" s="125"/>
      <c r="KC36" s="125"/>
      <c r="KD36" s="125"/>
      <c r="KE36" s="125"/>
      <c r="KF36" s="125"/>
      <c r="KG36" s="125"/>
      <c r="KH36" s="125"/>
      <c r="KI36" s="125"/>
      <c r="KJ36" s="125"/>
      <c r="KK36" s="125"/>
      <c r="KL36" s="125"/>
      <c r="KM36" s="125"/>
      <c r="KN36" s="125"/>
      <c r="KO36" s="125"/>
      <c r="KP36" s="125"/>
      <c r="KQ36" s="125"/>
      <c r="KR36" s="125"/>
      <c r="KS36" s="125"/>
      <c r="KT36" s="125"/>
      <c r="KU36" s="125"/>
      <c r="KV36" s="125"/>
      <c r="KW36" s="125"/>
      <c r="KX36" s="125"/>
      <c r="KY36" s="125"/>
      <c r="KZ36" s="125"/>
      <c r="LA36" s="125">
        <v>50</v>
      </c>
      <c r="LB36" s="125"/>
      <c r="LC36" s="125"/>
      <c r="LD36" s="125"/>
      <c r="LE36" s="125"/>
      <c r="LF36" s="125"/>
      <c r="LG36" s="125"/>
      <c r="LH36" s="125"/>
      <c r="LI36" s="125"/>
      <c r="LJ36" s="125"/>
      <c r="LK36" s="125"/>
      <c r="LL36" s="125"/>
      <c r="LM36" s="125"/>
      <c r="LN36" s="125"/>
      <c r="LO36" s="125"/>
      <c r="LP36" s="125"/>
      <c r="LQ36" s="125"/>
      <c r="LR36" s="125"/>
      <c r="LS36" s="125"/>
      <c r="LT36" s="125"/>
      <c r="LU36" s="125"/>
      <c r="LV36" s="125"/>
      <c r="LW36" s="125"/>
      <c r="LX36" s="125"/>
      <c r="LY36" s="125"/>
      <c r="LZ36" s="125"/>
      <c r="MA36" s="125"/>
      <c r="MB36" s="125"/>
      <c r="MC36" s="125"/>
      <c r="MD36" s="125"/>
      <c r="ME36" s="125"/>
      <c r="MF36" s="125"/>
      <c r="MG36" s="125"/>
      <c r="MH36" s="125"/>
      <c r="MI36" s="125"/>
      <c r="MJ36" s="125"/>
      <c r="MK36" s="125"/>
      <c r="ML36" s="125"/>
      <c r="MM36" s="125"/>
      <c r="MN36" s="125"/>
      <c r="MO36" s="125"/>
      <c r="MP36" s="125"/>
      <c r="MQ36" s="125"/>
      <c r="MR36" s="125"/>
      <c r="MS36" s="125"/>
      <c r="MT36" s="125"/>
      <c r="MU36" s="125"/>
      <c r="MV36" s="125"/>
      <c r="MW36" s="125"/>
      <c r="MX36" s="125"/>
      <c r="MY36" s="125"/>
      <c r="MZ36" s="125"/>
      <c r="NA36" s="125"/>
      <c r="NB36" s="125"/>
      <c r="NC36" s="125"/>
      <c r="ND36" s="125"/>
      <c r="NE36" s="125"/>
      <c r="NF36" s="125"/>
      <c r="NG36" s="125"/>
      <c r="NH36" s="125"/>
      <c r="NI36" s="125"/>
      <c r="NJ36" s="125"/>
      <c r="NK36" s="125"/>
      <c r="NL36" s="125"/>
      <c r="NM36" s="125"/>
      <c r="NN36" s="125"/>
      <c r="NO36" s="125"/>
      <c r="NP36" s="125"/>
      <c r="NQ36" s="125"/>
      <c r="NR36" s="125"/>
      <c r="NS36" s="125"/>
      <c r="NT36" s="125"/>
      <c r="NU36" s="125"/>
      <c r="NV36" s="125"/>
      <c r="NW36" s="125"/>
      <c r="NX36" s="125"/>
      <c r="NY36" s="125"/>
      <c r="NZ36" s="125"/>
      <c r="OA36" s="125"/>
      <c r="OB36" s="125"/>
      <c r="OC36" s="125"/>
      <c r="OD36" s="125"/>
      <c r="OE36" s="125"/>
      <c r="OF36" s="125"/>
      <c r="OG36" s="125"/>
      <c r="OH36" s="125"/>
      <c r="OI36" s="125"/>
      <c r="OJ36" s="125"/>
      <c r="OK36" s="125"/>
      <c r="OL36" s="125"/>
      <c r="OM36" s="125"/>
      <c r="ON36" s="125"/>
      <c r="OO36" s="125"/>
      <c r="OP36" s="125"/>
      <c r="OQ36" s="125"/>
      <c r="OR36" s="125"/>
      <c r="OS36" s="125"/>
      <c r="OT36" s="125"/>
      <c r="OU36" s="125"/>
      <c r="OV36" s="125"/>
      <c r="OW36" s="125"/>
      <c r="OX36" s="125"/>
      <c r="OY36" s="125"/>
      <c r="OZ36" s="125"/>
      <c r="PA36" s="125"/>
      <c r="PB36" s="125"/>
      <c r="PC36" s="125"/>
      <c r="PD36" s="125"/>
      <c r="PE36" s="125"/>
      <c r="PF36" s="125"/>
      <c r="PG36" s="125"/>
      <c r="PH36" s="125"/>
      <c r="PI36" s="125"/>
      <c r="PJ36" s="125"/>
      <c r="PK36" s="125"/>
      <c r="PL36" s="125"/>
      <c r="PM36" s="125"/>
      <c r="PN36" s="125"/>
      <c r="PO36" s="125"/>
      <c r="PP36" s="125"/>
      <c r="PQ36" s="125"/>
      <c r="PR36" s="125"/>
      <c r="PS36" s="125"/>
      <c r="PT36" s="125"/>
      <c r="PU36" s="125"/>
      <c r="PV36" s="125"/>
      <c r="PW36" s="125"/>
      <c r="PX36" s="125"/>
      <c r="PY36" s="125"/>
      <c r="PZ36" s="125"/>
      <c r="QA36" s="125"/>
      <c r="QB36" s="125"/>
      <c r="QC36" s="125"/>
      <c r="QD36" s="125"/>
      <c r="QE36" s="125"/>
      <c r="QF36" s="125"/>
      <c r="QG36" s="125"/>
      <c r="QH36" s="125"/>
      <c r="QI36" s="125"/>
      <c r="QJ36" s="125"/>
      <c r="QK36" s="125"/>
      <c r="QL36" s="125"/>
      <c r="QM36" s="125"/>
      <c r="QN36" s="125"/>
      <c r="QO36" s="125"/>
      <c r="QP36" s="125"/>
      <c r="QQ36" s="125"/>
      <c r="QR36" s="125"/>
      <c r="QS36" s="125"/>
      <c r="QT36" s="125"/>
      <c r="QU36" s="125"/>
      <c r="QV36" s="125"/>
      <c r="QW36" s="125"/>
      <c r="QX36" s="125"/>
      <c r="QY36" s="125"/>
      <c r="QZ36" s="125"/>
      <c r="RA36" s="125"/>
      <c r="RB36" s="125"/>
      <c r="RC36" s="125"/>
      <c r="RD36" s="125"/>
      <c r="RE36" s="125"/>
      <c r="RF36" s="125"/>
      <c r="RG36" s="24">
        <f t="shared" si="3"/>
        <v>62.2</v>
      </c>
      <c r="RH36" s="60" t="s">
        <v>36</v>
      </c>
      <c r="RI36" s="121">
        <v>4954.91</v>
      </c>
      <c r="RJ36" s="77">
        <f>RM36+RN36</f>
        <v>4954.91</v>
      </c>
      <c r="RK36" s="77">
        <v>2637.3440000000001</v>
      </c>
      <c r="RL36" s="121">
        <f t="shared" si="4"/>
        <v>0</v>
      </c>
      <c r="RM36" s="145"/>
      <c r="RN36" s="145">
        <v>4954.91</v>
      </c>
      <c r="RO36" s="145"/>
      <c r="RP36" s="104">
        <f t="shared" si="5"/>
        <v>1.8787499848332261</v>
      </c>
      <c r="RQ36" s="172"/>
    </row>
    <row r="37" spans="1:485" s="5" customFormat="1" ht="12.75" customHeight="1" x14ac:dyDescent="0.25">
      <c r="A37" s="61">
        <v>44971</v>
      </c>
      <c r="B37" s="102" t="s">
        <v>140</v>
      </c>
      <c r="C37" s="123"/>
      <c r="D37" s="123"/>
      <c r="E37" s="124"/>
      <c r="F37" s="124"/>
      <c r="G37" s="124"/>
      <c r="H37" s="124"/>
      <c r="I37" s="124"/>
      <c r="J37" s="124"/>
      <c r="K37" s="124"/>
      <c r="L37" s="124"/>
      <c r="M37" s="124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>
        <v>1.8</v>
      </c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25"/>
      <c r="JP37" s="125"/>
      <c r="JQ37" s="125"/>
      <c r="JR37" s="125"/>
      <c r="JS37" s="125"/>
      <c r="JT37" s="125"/>
      <c r="JU37" s="125">
        <v>10</v>
      </c>
      <c r="JV37" s="125"/>
      <c r="JW37" s="125"/>
      <c r="JX37" s="125"/>
      <c r="JY37" s="125"/>
      <c r="JZ37" s="125"/>
      <c r="KA37" s="125"/>
      <c r="KB37" s="125">
        <v>1</v>
      </c>
      <c r="KC37" s="125"/>
      <c r="KD37" s="125"/>
      <c r="KE37" s="125"/>
      <c r="KF37" s="125"/>
      <c r="KG37" s="125"/>
      <c r="KH37" s="125"/>
      <c r="KI37" s="125"/>
      <c r="KJ37" s="125"/>
      <c r="KK37" s="125"/>
      <c r="KL37" s="125"/>
      <c r="KM37" s="125"/>
      <c r="KN37" s="125"/>
      <c r="KO37" s="125"/>
      <c r="KP37" s="125"/>
      <c r="KQ37" s="125"/>
      <c r="KR37" s="125"/>
      <c r="KS37" s="125"/>
      <c r="KT37" s="125"/>
      <c r="KU37" s="125"/>
      <c r="KV37" s="125"/>
      <c r="KW37" s="125"/>
      <c r="KX37" s="125"/>
      <c r="KY37" s="125"/>
      <c r="KZ37" s="125"/>
      <c r="LA37" s="125"/>
      <c r="LB37" s="125"/>
      <c r="LC37" s="125"/>
      <c r="LD37" s="125"/>
      <c r="LE37" s="125"/>
      <c r="LF37" s="125"/>
      <c r="LG37" s="125"/>
      <c r="LH37" s="125"/>
      <c r="LI37" s="125"/>
      <c r="LJ37" s="125"/>
      <c r="LK37" s="125"/>
      <c r="LL37" s="125"/>
      <c r="LM37" s="125"/>
      <c r="LN37" s="125"/>
      <c r="LO37" s="125"/>
      <c r="LP37" s="125"/>
      <c r="LQ37" s="125"/>
      <c r="LR37" s="125"/>
      <c r="LS37" s="125"/>
      <c r="LT37" s="125"/>
      <c r="LU37" s="125"/>
      <c r="LV37" s="125"/>
      <c r="LW37" s="125"/>
      <c r="LX37" s="125"/>
      <c r="LY37" s="125"/>
      <c r="LZ37" s="125"/>
      <c r="MA37" s="125"/>
      <c r="MB37" s="125"/>
      <c r="MC37" s="125"/>
      <c r="MD37" s="125"/>
      <c r="ME37" s="125"/>
      <c r="MF37" s="125"/>
      <c r="MG37" s="125"/>
      <c r="MH37" s="125"/>
      <c r="MI37" s="125"/>
      <c r="MJ37" s="125"/>
      <c r="MK37" s="125"/>
      <c r="ML37" s="125"/>
      <c r="MM37" s="125"/>
      <c r="MN37" s="125"/>
      <c r="MO37" s="125"/>
      <c r="MP37" s="125"/>
      <c r="MQ37" s="125"/>
      <c r="MR37" s="125"/>
      <c r="MS37" s="125"/>
      <c r="MT37" s="125"/>
      <c r="MU37" s="125"/>
      <c r="MV37" s="125"/>
      <c r="MW37" s="125"/>
      <c r="MX37" s="125"/>
      <c r="MY37" s="125"/>
      <c r="MZ37" s="125"/>
      <c r="NA37" s="125"/>
      <c r="NB37" s="125"/>
      <c r="NC37" s="125"/>
      <c r="ND37" s="125"/>
      <c r="NE37" s="125"/>
      <c r="NF37" s="125"/>
      <c r="NG37" s="125"/>
      <c r="NH37" s="125"/>
      <c r="NI37" s="125"/>
      <c r="NJ37" s="125"/>
      <c r="NK37" s="125"/>
      <c r="NL37" s="125"/>
      <c r="NM37" s="125"/>
      <c r="NN37" s="125"/>
      <c r="NO37" s="125"/>
      <c r="NP37" s="125"/>
      <c r="NQ37" s="125"/>
      <c r="NR37" s="125"/>
      <c r="NS37" s="125"/>
      <c r="NT37" s="125"/>
      <c r="NU37" s="125"/>
      <c r="NV37" s="125"/>
      <c r="NW37" s="125"/>
      <c r="NX37" s="125"/>
      <c r="NY37" s="125"/>
      <c r="NZ37" s="125"/>
      <c r="OA37" s="125"/>
      <c r="OB37" s="125"/>
      <c r="OC37" s="125"/>
      <c r="OD37" s="125"/>
      <c r="OE37" s="125"/>
      <c r="OF37" s="125"/>
      <c r="OG37" s="125"/>
      <c r="OH37" s="125"/>
      <c r="OI37" s="125"/>
      <c r="OJ37" s="125"/>
      <c r="OK37" s="125"/>
      <c r="OL37" s="125"/>
      <c r="OM37" s="125"/>
      <c r="ON37" s="125"/>
      <c r="OO37" s="125"/>
      <c r="OP37" s="125"/>
      <c r="OQ37" s="125"/>
      <c r="OR37" s="125"/>
      <c r="OS37" s="125"/>
      <c r="OT37" s="125"/>
      <c r="OU37" s="125"/>
      <c r="OV37" s="125"/>
      <c r="OW37" s="125"/>
      <c r="OX37" s="125"/>
      <c r="OY37" s="125"/>
      <c r="OZ37" s="125"/>
      <c r="PA37" s="125"/>
      <c r="PB37" s="125"/>
      <c r="PC37" s="125"/>
      <c r="PD37" s="125"/>
      <c r="PE37" s="125"/>
      <c r="PF37" s="125"/>
      <c r="PG37" s="125"/>
      <c r="PH37" s="125"/>
      <c r="PI37" s="125"/>
      <c r="PJ37" s="125"/>
      <c r="PK37" s="125"/>
      <c r="PL37" s="125"/>
      <c r="PM37" s="125"/>
      <c r="PN37" s="125"/>
      <c r="PO37" s="125"/>
      <c r="PP37" s="125"/>
      <c r="PQ37" s="125"/>
      <c r="PR37" s="125"/>
      <c r="PS37" s="125"/>
      <c r="PT37" s="125"/>
      <c r="PU37" s="125"/>
      <c r="PV37" s="125"/>
      <c r="PW37" s="125"/>
      <c r="PX37" s="125"/>
      <c r="PY37" s="125"/>
      <c r="PZ37" s="125"/>
      <c r="QA37" s="125"/>
      <c r="QB37" s="125"/>
      <c r="QC37" s="125"/>
      <c r="QD37" s="125"/>
      <c r="QE37" s="125"/>
      <c r="QF37" s="125"/>
      <c r="QG37" s="125"/>
      <c r="QH37" s="125"/>
      <c r="QI37" s="125"/>
      <c r="QJ37" s="125"/>
      <c r="QK37" s="125"/>
      <c r="QL37" s="125"/>
      <c r="QM37" s="125"/>
      <c r="QN37" s="125"/>
      <c r="QO37" s="125"/>
      <c r="QP37" s="125"/>
      <c r="QQ37" s="125"/>
      <c r="QR37" s="125"/>
      <c r="QS37" s="125"/>
      <c r="QT37" s="125"/>
      <c r="QU37" s="125"/>
      <c r="QV37" s="125"/>
      <c r="QW37" s="125"/>
      <c r="QX37" s="125"/>
      <c r="QY37" s="125"/>
      <c r="QZ37" s="125"/>
      <c r="RA37" s="125"/>
      <c r="RB37" s="125"/>
      <c r="RC37" s="125"/>
      <c r="RD37" s="125"/>
      <c r="RE37" s="125"/>
      <c r="RF37" s="125"/>
      <c r="RG37" s="24">
        <f t="shared" si="3"/>
        <v>12.8</v>
      </c>
      <c r="RH37" s="60" t="s">
        <v>36</v>
      </c>
      <c r="RI37" s="121">
        <v>761.15</v>
      </c>
      <c r="RJ37" s="77">
        <f>RM37+RN37+RO37</f>
        <v>0</v>
      </c>
      <c r="RK37" s="77">
        <v>451.54399999999998</v>
      </c>
      <c r="RL37" s="121">
        <f t="shared" si="4"/>
        <v>761.15</v>
      </c>
      <c r="RM37" s="145"/>
      <c r="RN37" s="145"/>
      <c r="RO37" s="145"/>
      <c r="RP37" s="104">
        <f t="shared" si="5"/>
        <v>1.6856607550980636</v>
      </c>
      <c r="RQ37" s="172" t="s">
        <v>598</v>
      </c>
    </row>
    <row r="38" spans="1:485" s="5" customFormat="1" ht="12.75" customHeight="1" x14ac:dyDescent="0.25">
      <c r="A38" s="61">
        <v>44971</v>
      </c>
      <c r="B38" s="102" t="s">
        <v>140</v>
      </c>
      <c r="C38" s="123"/>
      <c r="D38" s="123"/>
      <c r="E38" s="124"/>
      <c r="F38" s="124"/>
      <c r="G38" s="124"/>
      <c r="H38" s="124"/>
      <c r="I38" s="124"/>
      <c r="J38" s="124"/>
      <c r="K38" s="124"/>
      <c r="L38" s="124"/>
      <c r="M38" s="124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5"/>
      <c r="BA38" s="125"/>
      <c r="BB38" s="125"/>
      <c r="BC38" s="125"/>
      <c r="BD38" s="125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  <c r="CG38" s="125"/>
      <c r="CH38" s="125"/>
      <c r="CI38" s="125"/>
      <c r="CJ38" s="125"/>
      <c r="CK38" s="125"/>
      <c r="CL38" s="125"/>
      <c r="CM38" s="125"/>
      <c r="CN38" s="125"/>
      <c r="CO38" s="125"/>
      <c r="CP38" s="125"/>
      <c r="CQ38" s="125"/>
      <c r="CR38" s="125"/>
      <c r="CS38" s="125"/>
      <c r="CT38" s="125"/>
      <c r="CU38" s="125"/>
      <c r="CV38" s="125"/>
      <c r="CW38" s="125"/>
      <c r="CX38" s="125"/>
      <c r="CY38" s="125"/>
      <c r="CZ38" s="125"/>
      <c r="DA38" s="125"/>
      <c r="DB38" s="125"/>
      <c r="DC38" s="125"/>
      <c r="DD38" s="125"/>
      <c r="DE38" s="125"/>
      <c r="DF38" s="125"/>
      <c r="DG38" s="125"/>
      <c r="DH38" s="125"/>
      <c r="DI38" s="125"/>
      <c r="DJ38" s="125"/>
      <c r="DK38" s="125"/>
      <c r="DL38" s="125"/>
      <c r="DM38" s="125"/>
      <c r="DN38" s="125"/>
      <c r="DO38" s="125"/>
      <c r="DP38" s="125"/>
      <c r="DQ38" s="125"/>
      <c r="DR38" s="125"/>
      <c r="DS38" s="125"/>
      <c r="DT38" s="125"/>
      <c r="DU38" s="125"/>
      <c r="DV38" s="125"/>
      <c r="DW38" s="125"/>
      <c r="DX38" s="125"/>
      <c r="DY38" s="125"/>
      <c r="DZ38" s="125"/>
      <c r="EA38" s="125"/>
      <c r="EB38" s="125"/>
      <c r="EC38" s="125"/>
      <c r="ED38" s="125">
        <v>1</v>
      </c>
      <c r="EE38" s="125"/>
      <c r="EF38" s="125"/>
      <c r="EG38" s="125"/>
      <c r="EH38" s="125"/>
      <c r="EI38" s="125"/>
      <c r="EJ38" s="125"/>
      <c r="EK38" s="125"/>
      <c r="EL38" s="125"/>
      <c r="EM38" s="125"/>
      <c r="EN38" s="125"/>
      <c r="EO38" s="125"/>
      <c r="EP38" s="125"/>
      <c r="EQ38" s="125"/>
      <c r="ER38" s="125"/>
      <c r="ES38" s="125"/>
      <c r="ET38" s="125"/>
      <c r="EU38" s="125"/>
      <c r="EV38" s="125"/>
      <c r="EW38" s="125"/>
      <c r="EX38" s="125"/>
      <c r="EY38" s="125"/>
      <c r="EZ38" s="125"/>
      <c r="FA38" s="125"/>
      <c r="FB38" s="125"/>
      <c r="FC38" s="125"/>
      <c r="FD38" s="125"/>
      <c r="FE38" s="125"/>
      <c r="FF38" s="125"/>
      <c r="FG38" s="125"/>
      <c r="FH38" s="125"/>
      <c r="FI38" s="125"/>
      <c r="FJ38" s="125"/>
      <c r="FK38" s="125"/>
      <c r="FL38" s="125"/>
      <c r="FM38" s="125"/>
      <c r="FN38" s="125"/>
      <c r="FO38" s="125"/>
      <c r="FP38" s="125"/>
      <c r="FQ38" s="125"/>
      <c r="FR38" s="125"/>
      <c r="FS38" s="125"/>
      <c r="FT38" s="125"/>
      <c r="FU38" s="125"/>
      <c r="FV38" s="125"/>
      <c r="FW38" s="125"/>
      <c r="FX38" s="125"/>
      <c r="FY38" s="125"/>
      <c r="FZ38" s="125"/>
      <c r="GA38" s="125"/>
      <c r="GB38" s="125"/>
      <c r="GC38" s="125"/>
      <c r="GD38" s="125"/>
      <c r="GE38" s="125"/>
      <c r="GF38" s="125"/>
      <c r="GG38" s="125"/>
      <c r="GH38" s="125"/>
      <c r="GI38" s="125"/>
      <c r="GJ38" s="125">
        <v>1</v>
      </c>
      <c r="GK38" s="125"/>
      <c r="GL38" s="125"/>
      <c r="GM38" s="125"/>
      <c r="GN38" s="125"/>
      <c r="GO38" s="125"/>
      <c r="GP38" s="125"/>
      <c r="GQ38" s="125"/>
      <c r="GR38" s="125"/>
      <c r="GS38" s="125"/>
      <c r="GT38" s="125"/>
      <c r="GU38" s="125"/>
      <c r="GV38" s="125"/>
      <c r="GW38" s="125"/>
      <c r="GX38" s="125"/>
      <c r="GY38" s="125"/>
      <c r="GZ38" s="125"/>
      <c r="HA38" s="125"/>
      <c r="HB38" s="125"/>
      <c r="HC38" s="125"/>
      <c r="HD38" s="125"/>
      <c r="HE38" s="125"/>
      <c r="HF38" s="125"/>
      <c r="HG38" s="125"/>
      <c r="HH38" s="125"/>
      <c r="HI38" s="125"/>
      <c r="HJ38" s="125"/>
      <c r="HK38" s="125"/>
      <c r="HL38" s="125"/>
      <c r="HM38" s="125"/>
      <c r="HN38" s="125"/>
      <c r="HO38" s="125"/>
      <c r="HP38" s="125"/>
      <c r="HQ38" s="125"/>
      <c r="HR38" s="125"/>
      <c r="HS38" s="125"/>
      <c r="HT38" s="125"/>
      <c r="HU38" s="125"/>
      <c r="HV38" s="125"/>
      <c r="HW38" s="125"/>
      <c r="HX38" s="125"/>
      <c r="HY38" s="125"/>
      <c r="HZ38" s="125"/>
      <c r="IA38" s="125"/>
      <c r="IB38" s="125"/>
      <c r="IC38" s="125"/>
      <c r="ID38" s="125"/>
      <c r="IE38" s="125"/>
      <c r="IF38" s="125"/>
      <c r="IG38" s="125"/>
      <c r="IH38" s="125"/>
      <c r="II38" s="125"/>
      <c r="IJ38" s="125"/>
      <c r="IK38" s="125"/>
      <c r="IL38" s="125"/>
      <c r="IM38" s="125"/>
      <c r="IN38" s="125"/>
      <c r="IO38" s="125"/>
      <c r="IP38" s="125"/>
      <c r="IQ38" s="125"/>
      <c r="IR38" s="125"/>
      <c r="IS38" s="125"/>
      <c r="IT38" s="125"/>
      <c r="IU38" s="125"/>
      <c r="IV38" s="125"/>
      <c r="IW38" s="125"/>
      <c r="IX38" s="125"/>
      <c r="IY38" s="125"/>
      <c r="IZ38" s="125"/>
      <c r="JA38" s="125"/>
      <c r="JB38" s="125"/>
      <c r="JC38" s="125"/>
      <c r="JD38" s="125"/>
      <c r="JE38" s="125"/>
      <c r="JF38" s="125"/>
      <c r="JG38" s="125"/>
      <c r="JH38" s="125"/>
      <c r="JI38" s="125"/>
      <c r="JJ38" s="125"/>
      <c r="JK38" s="125"/>
      <c r="JL38" s="125"/>
      <c r="JM38" s="125"/>
      <c r="JN38" s="125"/>
      <c r="JO38" s="125"/>
      <c r="JP38" s="125"/>
      <c r="JQ38" s="125"/>
      <c r="JR38" s="125"/>
      <c r="JS38" s="125"/>
      <c r="JT38" s="125"/>
      <c r="JU38" s="125"/>
      <c r="JV38" s="125"/>
      <c r="JW38" s="125"/>
      <c r="JX38" s="125"/>
      <c r="JY38" s="125"/>
      <c r="JZ38" s="125"/>
      <c r="KA38" s="125"/>
      <c r="KB38" s="125"/>
      <c r="KC38" s="125"/>
      <c r="KD38" s="125"/>
      <c r="KE38" s="125"/>
      <c r="KF38" s="125"/>
      <c r="KG38" s="125"/>
      <c r="KH38" s="125"/>
      <c r="KI38" s="125"/>
      <c r="KJ38" s="125"/>
      <c r="KK38" s="125"/>
      <c r="KL38" s="125"/>
      <c r="KM38" s="125"/>
      <c r="KN38" s="125"/>
      <c r="KO38" s="125"/>
      <c r="KP38" s="125"/>
      <c r="KQ38" s="125"/>
      <c r="KR38" s="125"/>
      <c r="KS38" s="125"/>
      <c r="KT38" s="125"/>
      <c r="KU38" s="125"/>
      <c r="KV38" s="125"/>
      <c r="KW38" s="125"/>
      <c r="KX38" s="125"/>
      <c r="KY38" s="125"/>
      <c r="KZ38" s="125"/>
      <c r="LA38" s="125"/>
      <c r="LB38" s="125"/>
      <c r="LC38" s="125"/>
      <c r="LD38" s="125"/>
      <c r="LE38" s="125"/>
      <c r="LF38" s="125"/>
      <c r="LG38" s="125"/>
      <c r="LH38" s="125"/>
      <c r="LI38" s="125"/>
      <c r="LJ38" s="125"/>
      <c r="LK38" s="125"/>
      <c r="LL38" s="125"/>
      <c r="LM38" s="125"/>
      <c r="LN38" s="125"/>
      <c r="LO38" s="125"/>
      <c r="LP38" s="125"/>
      <c r="LQ38" s="125"/>
      <c r="LR38" s="125"/>
      <c r="LS38" s="125"/>
      <c r="LT38" s="125"/>
      <c r="LU38" s="125"/>
      <c r="LV38" s="125"/>
      <c r="LW38" s="125"/>
      <c r="LX38" s="125"/>
      <c r="LY38" s="125"/>
      <c r="LZ38" s="125"/>
      <c r="MA38" s="125"/>
      <c r="MB38" s="125"/>
      <c r="MC38" s="125"/>
      <c r="MD38" s="125"/>
      <c r="ME38" s="125"/>
      <c r="MF38" s="125"/>
      <c r="MG38" s="125"/>
      <c r="MH38" s="125"/>
      <c r="MI38" s="125"/>
      <c r="MJ38" s="125"/>
      <c r="MK38" s="125"/>
      <c r="ML38" s="125"/>
      <c r="MM38" s="125"/>
      <c r="MN38" s="125"/>
      <c r="MO38" s="125"/>
      <c r="MP38" s="125"/>
      <c r="MQ38" s="125"/>
      <c r="MR38" s="125"/>
      <c r="MS38" s="125"/>
      <c r="MT38" s="125"/>
      <c r="MU38" s="125"/>
      <c r="MV38" s="125"/>
      <c r="MW38" s="125"/>
      <c r="MX38" s="125"/>
      <c r="MY38" s="125"/>
      <c r="MZ38" s="125"/>
      <c r="NA38" s="125"/>
      <c r="NB38" s="125"/>
      <c r="NC38" s="125"/>
      <c r="ND38" s="125"/>
      <c r="NE38" s="125"/>
      <c r="NF38" s="125"/>
      <c r="NG38" s="125"/>
      <c r="NH38" s="125"/>
      <c r="NI38" s="125"/>
      <c r="NJ38" s="125"/>
      <c r="NK38" s="125"/>
      <c r="NL38" s="125"/>
      <c r="NM38" s="125"/>
      <c r="NN38" s="125"/>
      <c r="NO38" s="125"/>
      <c r="NP38" s="125"/>
      <c r="NQ38" s="125"/>
      <c r="NR38" s="125"/>
      <c r="NS38" s="125"/>
      <c r="NT38" s="125"/>
      <c r="NU38" s="125"/>
      <c r="NV38" s="125"/>
      <c r="NW38" s="125"/>
      <c r="NX38" s="125"/>
      <c r="NY38" s="125"/>
      <c r="NZ38" s="125"/>
      <c r="OA38" s="125"/>
      <c r="OB38" s="125"/>
      <c r="OC38" s="125"/>
      <c r="OD38" s="125"/>
      <c r="OE38" s="125"/>
      <c r="OF38" s="125"/>
      <c r="OG38" s="125"/>
      <c r="OH38" s="125"/>
      <c r="OI38" s="125"/>
      <c r="OJ38" s="125"/>
      <c r="OK38" s="125"/>
      <c r="OL38" s="125"/>
      <c r="OM38" s="125"/>
      <c r="ON38" s="125"/>
      <c r="OO38" s="125"/>
      <c r="OP38" s="125"/>
      <c r="OQ38" s="125"/>
      <c r="OR38" s="125"/>
      <c r="OS38" s="125"/>
      <c r="OT38" s="125"/>
      <c r="OU38" s="125"/>
      <c r="OV38" s="125"/>
      <c r="OW38" s="125"/>
      <c r="OX38" s="125"/>
      <c r="OY38" s="125"/>
      <c r="OZ38" s="125"/>
      <c r="PA38" s="125"/>
      <c r="PB38" s="125"/>
      <c r="PC38" s="125"/>
      <c r="PD38" s="125"/>
      <c r="PE38" s="125"/>
      <c r="PF38" s="125"/>
      <c r="PG38" s="125"/>
      <c r="PH38" s="125"/>
      <c r="PI38" s="125"/>
      <c r="PJ38" s="125"/>
      <c r="PK38" s="125"/>
      <c r="PL38" s="125"/>
      <c r="PM38" s="125"/>
      <c r="PN38" s="125"/>
      <c r="PO38" s="125"/>
      <c r="PP38" s="125"/>
      <c r="PQ38" s="125"/>
      <c r="PR38" s="125"/>
      <c r="PS38" s="125"/>
      <c r="PT38" s="125"/>
      <c r="PU38" s="125"/>
      <c r="PV38" s="125"/>
      <c r="PW38" s="125"/>
      <c r="PX38" s="125"/>
      <c r="PY38" s="125"/>
      <c r="PZ38" s="125"/>
      <c r="QA38" s="125"/>
      <c r="QB38" s="125"/>
      <c r="QC38" s="125"/>
      <c r="QD38" s="125"/>
      <c r="QE38" s="125"/>
      <c r="QF38" s="125"/>
      <c r="QG38" s="125"/>
      <c r="QH38" s="125"/>
      <c r="QI38" s="125"/>
      <c r="QJ38" s="125"/>
      <c r="QK38" s="125"/>
      <c r="QL38" s="125"/>
      <c r="QM38" s="125"/>
      <c r="QN38" s="125"/>
      <c r="QO38" s="125"/>
      <c r="QP38" s="125"/>
      <c r="QQ38" s="125"/>
      <c r="QR38" s="125"/>
      <c r="QS38" s="125"/>
      <c r="QT38" s="125"/>
      <c r="QU38" s="125"/>
      <c r="QV38" s="125"/>
      <c r="QW38" s="125"/>
      <c r="QX38" s="125"/>
      <c r="QY38" s="125"/>
      <c r="QZ38" s="125"/>
      <c r="RA38" s="125"/>
      <c r="RB38" s="125"/>
      <c r="RC38" s="125"/>
      <c r="RD38" s="125"/>
      <c r="RE38" s="125"/>
      <c r="RF38" s="125"/>
      <c r="RG38" s="24">
        <f t="shared" si="3"/>
        <v>2</v>
      </c>
      <c r="RH38" s="60" t="s">
        <v>36</v>
      </c>
      <c r="RI38" s="121">
        <v>151.13999999999999</v>
      </c>
      <c r="RJ38" s="77">
        <f>RM38+RN38+RO38</f>
        <v>90</v>
      </c>
      <c r="RK38" s="77">
        <v>96.36</v>
      </c>
      <c r="RL38" s="121">
        <f t="shared" si="4"/>
        <v>61.139999999999986</v>
      </c>
      <c r="RM38" s="145"/>
      <c r="RN38" s="145">
        <v>90</v>
      </c>
      <c r="RO38" s="145"/>
      <c r="RP38" s="104">
        <f t="shared" si="5"/>
        <v>1.5684931506849313</v>
      </c>
      <c r="RQ38" s="172" t="s">
        <v>599</v>
      </c>
    </row>
    <row r="39" spans="1:485" s="5" customFormat="1" ht="12.75" customHeight="1" x14ac:dyDescent="0.25">
      <c r="A39" s="61">
        <v>44971</v>
      </c>
      <c r="B39" s="112" t="s">
        <v>581</v>
      </c>
      <c r="C39" s="123"/>
      <c r="D39" s="123"/>
      <c r="E39" s="124"/>
      <c r="F39" s="124"/>
      <c r="G39" s="124"/>
      <c r="H39" s="124"/>
      <c r="I39" s="124"/>
      <c r="J39" s="124"/>
      <c r="K39" s="124"/>
      <c r="L39" s="124"/>
      <c r="M39" s="124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B39" s="125"/>
      <c r="BC39" s="125"/>
      <c r="BD39" s="125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5"/>
      <c r="CH39" s="125"/>
      <c r="CI39" s="125"/>
      <c r="CJ39" s="125"/>
      <c r="CK39" s="125"/>
      <c r="CL39" s="125"/>
      <c r="CM39" s="125"/>
      <c r="CN39" s="125"/>
      <c r="CO39" s="125"/>
      <c r="CP39" s="125"/>
      <c r="CQ39" s="125"/>
      <c r="CR39" s="125"/>
      <c r="CS39" s="125"/>
      <c r="CT39" s="125"/>
      <c r="CU39" s="125"/>
      <c r="CV39" s="125"/>
      <c r="CW39" s="125"/>
      <c r="CX39" s="125"/>
      <c r="CY39" s="125"/>
      <c r="CZ39" s="125"/>
      <c r="DA39" s="125"/>
      <c r="DB39" s="125"/>
      <c r="DC39" s="125"/>
      <c r="DD39" s="125"/>
      <c r="DE39" s="125"/>
      <c r="DF39" s="125"/>
      <c r="DG39" s="125"/>
      <c r="DH39" s="125"/>
      <c r="DI39" s="125"/>
      <c r="DJ39" s="125"/>
      <c r="DK39" s="125"/>
      <c r="DL39" s="125"/>
      <c r="DM39" s="125"/>
      <c r="DN39" s="125"/>
      <c r="DO39" s="125"/>
      <c r="DP39" s="125"/>
      <c r="DQ39" s="125"/>
      <c r="DR39" s="125"/>
      <c r="DS39" s="125"/>
      <c r="DT39" s="125"/>
      <c r="DU39" s="125"/>
      <c r="DV39" s="125"/>
      <c r="DW39" s="125"/>
      <c r="DX39" s="125"/>
      <c r="DY39" s="125"/>
      <c r="DZ39" s="125"/>
      <c r="EA39" s="125"/>
      <c r="EB39" s="125">
        <v>2.2000000000000002</v>
      </c>
      <c r="EC39" s="125">
        <v>9</v>
      </c>
      <c r="ED39" s="125">
        <v>1</v>
      </c>
      <c r="EE39" s="125"/>
      <c r="EF39" s="125"/>
      <c r="EG39" s="125"/>
      <c r="EH39" s="125"/>
      <c r="EI39" s="125"/>
      <c r="EJ39" s="125"/>
      <c r="EK39" s="125"/>
      <c r="EL39" s="125"/>
      <c r="EM39" s="125"/>
      <c r="EN39" s="125"/>
      <c r="EO39" s="125"/>
      <c r="EP39" s="125"/>
      <c r="EQ39" s="125"/>
      <c r="ER39" s="125"/>
      <c r="ES39" s="125"/>
      <c r="ET39" s="125"/>
      <c r="EU39" s="125"/>
      <c r="EV39" s="125"/>
      <c r="EW39" s="125"/>
      <c r="EX39" s="125"/>
      <c r="EY39" s="125"/>
      <c r="EZ39" s="125"/>
      <c r="FA39" s="125"/>
      <c r="FB39" s="125"/>
      <c r="FC39" s="125"/>
      <c r="FD39" s="125"/>
      <c r="FE39" s="125"/>
      <c r="FF39" s="125"/>
      <c r="FG39" s="125"/>
      <c r="FH39" s="125"/>
      <c r="FI39" s="125"/>
      <c r="FJ39" s="125"/>
      <c r="FK39" s="125"/>
      <c r="FL39" s="125"/>
      <c r="FM39" s="125"/>
      <c r="FN39" s="125"/>
      <c r="FO39" s="125"/>
      <c r="FP39" s="125"/>
      <c r="FQ39" s="125"/>
      <c r="FR39" s="125"/>
      <c r="FS39" s="125"/>
      <c r="FT39" s="125"/>
      <c r="FU39" s="125"/>
      <c r="FV39" s="125"/>
      <c r="FW39" s="125"/>
      <c r="FX39" s="125"/>
      <c r="FY39" s="125"/>
      <c r="FZ39" s="125"/>
      <c r="GA39" s="125"/>
      <c r="GB39" s="125"/>
      <c r="GC39" s="125"/>
      <c r="GD39" s="125"/>
      <c r="GE39" s="125"/>
      <c r="GF39" s="125"/>
      <c r="GG39" s="125"/>
      <c r="GH39" s="125"/>
      <c r="GI39" s="125"/>
      <c r="GJ39" s="125"/>
      <c r="GK39" s="125"/>
      <c r="GL39" s="125"/>
      <c r="GM39" s="125"/>
      <c r="GN39" s="125"/>
      <c r="GO39" s="125"/>
      <c r="GP39" s="125"/>
      <c r="GQ39" s="125"/>
      <c r="GR39" s="125"/>
      <c r="GS39" s="125"/>
      <c r="GT39" s="125"/>
      <c r="GU39" s="125"/>
      <c r="GV39" s="125"/>
      <c r="GW39" s="125"/>
      <c r="GX39" s="125"/>
      <c r="GY39" s="125"/>
      <c r="GZ39" s="125"/>
      <c r="HA39" s="125"/>
      <c r="HB39" s="125"/>
      <c r="HC39" s="125"/>
      <c r="HD39" s="125"/>
      <c r="HE39" s="125"/>
      <c r="HF39" s="125"/>
      <c r="HG39" s="125"/>
      <c r="HH39" s="125"/>
      <c r="HI39" s="125"/>
      <c r="HJ39" s="125"/>
      <c r="HK39" s="125"/>
      <c r="HL39" s="125"/>
      <c r="HM39" s="125"/>
      <c r="HN39" s="125"/>
      <c r="HO39" s="125"/>
      <c r="HP39" s="125"/>
      <c r="HQ39" s="125"/>
      <c r="HR39" s="125"/>
      <c r="HS39" s="125"/>
      <c r="HT39" s="125"/>
      <c r="HU39" s="125"/>
      <c r="HV39" s="125"/>
      <c r="HW39" s="125"/>
      <c r="HX39" s="125"/>
      <c r="HY39" s="125"/>
      <c r="HZ39" s="125"/>
      <c r="IA39" s="125"/>
      <c r="IB39" s="125"/>
      <c r="IC39" s="125"/>
      <c r="ID39" s="125"/>
      <c r="IE39" s="125"/>
      <c r="IF39" s="125"/>
      <c r="IG39" s="125"/>
      <c r="IH39" s="125"/>
      <c r="II39" s="125"/>
      <c r="IJ39" s="125"/>
      <c r="IK39" s="125"/>
      <c r="IL39" s="125"/>
      <c r="IM39" s="125"/>
      <c r="IN39" s="125"/>
      <c r="IO39" s="125"/>
      <c r="IP39" s="125"/>
      <c r="IQ39" s="125"/>
      <c r="IR39" s="125"/>
      <c r="IS39" s="125"/>
      <c r="IT39" s="125"/>
      <c r="IU39" s="125"/>
      <c r="IV39" s="125"/>
      <c r="IW39" s="125"/>
      <c r="IX39" s="125"/>
      <c r="IY39" s="125"/>
      <c r="IZ39" s="125"/>
      <c r="JA39" s="125"/>
      <c r="JB39" s="125"/>
      <c r="JC39" s="125"/>
      <c r="JD39" s="125"/>
      <c r="JE39" s="125"/>
      <c r="JF39" s="125"/>
      <c r="JG39" s="125"/>
      <c r="JH39" s="125"/>
      <c r="JI39" s="125"/>
      <c r="JJ39" s="125"/>
      <c r="JK39" s="125"/>
      <c r="JL39" s="125"/>
      <c r="JM39" s="125"/>
      <c r="JN39" s="125"/>
      <c r="JO39" s="125"/>
      <c r="JP39" s="125"/>
      <c r="JQ39" s="125"/>
      <c r="JR39" s="125"/>
      <c r="JS39" s="125"/>
      <c r="JT39" s="125"/>
      <c r="JU39" s="125"/>
      <c r="JV39" s="125"/>
      <c r="JW39" s="125"/>
      <c r="JX39" s="125"/>
      <c r="JY39" s="125"/>
      <c r="JZ39" s="125"/>
      <c r="KA39" s="125"/>
      <c r="KB39" s="125"/>
      <c r="KC39" s="125"/>
      <c r="KD39" s="125"/>
      <c r="KE39" s="125"/>
      <c r="KF39" s="125"/>
      <c r="KG39" s="125"/>
      <c r="KH39" s="125"/>
      <c r="KI39" s="125"/>
      <c r="KJ39" s="125"/>
      <c r="KK39" s="125"/>
      <c r="KL39" s="125"/>
      <c r="KM39" s="125"/>
      <c r="KN39" s="125"/>
      <c r="KO39" s="125"/>
      <c r="KP39" s="125"/>
      <c r="KQ39" s="125"/>
      <c r="KR39" s="125"/>
      <c r="KS39" s="125"/>
      <c r="KT39" s="125"/>
      <c r="KU39" s="125"/>
      <c r="KV39" s="125"/>
      <c r="KW39" s="125"/>
      <c r="KX39" s="125"/>
      <c r="KY39" s="125"/>
      <c r="KZ39" s="125"/>
      <c r="LA39" s="125"/>
      <c r="LB39" s="125"/>
      <c r="LC39" s="125"/>
      <c r="LD39" s="125"/>
      <c r="LE39" s="125"/>
      <c r="LF39" s="125"/>
      <c r="LG39" s="125"/>
      <c r="LH39" s="125"/>
      <c r="LI39" s="125"/>
      <c r="LJ39" s="125"/>
      <c r="LK39" s="125"/>
      <c r="LL39" s="125"/>
      <c r="LM39" s="125"/>
      <c r="LN39" s="125"/>
      <c r="LO39" s="125"/>
      <c r="LP39" s="125"/>
      <c r="LQ39" s="125"/>
      <c r="LR39" s="125"/>
      <c r="LS39" s="125"/>
      <c r="LT39" s="125"/>
      <c r="LU39" s="125"/>
      <c r="LV39" s="125"/>
      <c r="LW39" s="125"/>
      <c r="LX39" s="125"/>
      <c r="LY39" s="125"/>
      <c r="LZ39" s="125"/>
      <c r="MA39" s="125"/>
      <c r="MB39" s="125"/>
      <c r="MC39" s="125"/>
      <c r="MD39" s="125"/>
      <c r="ME39" s="125"/>
      <c r="MF39" s="125"/>
      <c r="MG39" s="125"/>
      <c r="MH39" s="125"/>
      <c r="MI39" s="125"/>
      <c r="MJ39" s="125"/>
      <c r="MK39" s="125"/>
      <c r="ML39" s="125"/>
      <c r="MM39" s="125"/>
      <c r="MN39" s="125"/>
      <c r="MO39" s="125"/>
      <c r="MP39" s="125"/>
      <c r="MQ39" s="125"/>
      <c r="MR39" s="125"/>
      <c r="MS39" s="125"/>
      <c r="MT39" s="125"/>
      <c r="MU39" s="125"/>
      <c r="MV39" s="125"/>
      <c r="MW39" s="125"/>
      <c r="MX39" s="125"/>
      <c r="MY39" s="125"/>
      <c r="MZ39" s="125"/>
      <c r="NA39" s="125"/>
      <c r="NB39" s="125"/>
      <c r="NC39" s="125"/>
      <c r="ND39" s="125"/>
      <c r="NE39" s="125"/>
      <c r="NF39" s="125"/>
      <c r="NG39" s="125"/>
      <c r="NH39" s="125"/>
      <c r="NI39" s="125"/>
      <c r="NJ39" s="125"/>
      <c r="NK39" s="125"/>
      <c r="NL39" s="125"/>
      <c r="NM39" s="125"/>
      <c r="NN39" s="125"/>
      <c r="NO39" s="125"/>
      <c r="NP39" s="125"/>
      <c r="NQ39" s="125"/>
      <c r="NR39" s="125"/>
      <c r="NS39" s="125"/>
      <c r="NT39" s="125"/>
      <c r="NU39" s="125"/>
      <c r="NV39" s="125"/>
      <c r="NW39" s="125"/>
      <c r="NX39" s="125"/>
      <c r="NY39" s="125"/>
      <c r="NZ39" s="125"/>
      <c r="OA39" s="125"/>
      <c r="OB39" s="125"/>
      <c r="OC39" s="125"/>
      <c r="OD39" s="125"/>
      <c r="OE39" s="125"/>
      <c r="OF39" s="125"/>
      <c r="OG39" s="125"/>
      <c r="OH39" s="125"/>
      <c r="OI39" s="125"/>
      <c r="OJ39" s="125"/>
      <c r="OK39" s="125"/>
      <c r="OL39" s="125"/>
      <c r="OM39" s="125"/>
      <c r="ON39" s="125"/>
      <c r="OO39" s="125"/>
      <c r="OP39" s="125"/>
      <c r="OQ39" s="125"/>
      <c r="OR39" s="125"/>
      <c r="OS39" s="125"/>
      <c r="OT39" s="125"/>
      <c r="OU39" s="125"/>
      <c r="OV39" s="125"/>
      <c r="OW39" s="125"/>
      <c r="OX39" s="125"/>
      <c r="OY39" s="125"/>
      <c r="OZ39" s="125"/>
      <c r="PA39" s="125"/>
      <c r="PB39" s="125"/>
      <c r="PC39" s="125"/>
      <c r="PD39" s="125"/>
      <c r="PE39" s="125"/>
      <c r="PF39" s="125"/>
      <c r="PG39" s="125"/>
      <c r="PH39" s="125"/>
      <c r="PI39" s="125"/>
      <c r="PJ39" s="125"/>
      <c r="PK39" s="125"/>
      <c r="PL39" s="125"/>
      <c r="PM39" s="125"/>
      <c r="PN39" s="125"/>
      <c r="PO39" s="125"/>
      <c r="PP39" s="125"/>
      <c r="PQ39" s="125"/>
      <c r="PR39" s="125"/>
      <c r="PS39" s="125"/>
      <c r="PT39" s="125"/>
      <c r="PU39" s="125"/>
      <c r="PV39" s="125"/>
      <c r="PW39" s="125"/>
      <c r="PX39" s="125"/>
      <c r="PY39" s="125"/>
      <c r="PZ39" s="125"/>
      <c r="QA39" s="125"/>
      <c r="QB39" s="125"/>
      <c r="QC39" s="125"/>
      <c r="QD39" s="125"/>
      <c r="QE39" s="125"/>
      <c r="QF39" s="125"/>
      <c r="QG39" s="125"/>
      <c r="QH39" s="125"/>
      <c r="QI39" s="125"/>
      <c r="QJ39" s="125"/>
      <c r="QK39" s="125"/>
      <c r="QL39" s="125"/>
      <c r="QM39" s="125"/>
      <c r="QN39" s="125"/>
      <c r="QO39" s="125"/>
      <c r="QP39" s="125"/>
      <c r="QQ39" s="125"/>
      <c r="QR39" s="125"/>
      <c r="QS39" s="125"/>
      <c r="QT39" s="125"/>
      <c r="QU39" s="125"/>
      <c r="QV39" s="125"/>
      <c r="QW39" s="125"/>
      <c r="QX39" s="125"/>
      <c r="QY39" s="125"/>
      <c r="QZ39" s="125"/>
      <c r="RA39" s="125"/>
      <c r="RB39" s="125"/>
      <c r="RC39" s="125"/>
      <c r="RD39" s="125"/>
      <c r="RE39" s="125"/>
      <c r="RF39" s="125"/>
      <c r="RG39" s="24">
        <f t="shared" si="3"/>
        <v>12.2</v>
      </c>
      <c r="RH39" s="60" t="s">
        <v>36</v>
      </c>
      <c r="RI39" s="121">
        <v>876.16</v>
      </c>
      <c r="RJ39" s="77">
        <f>RM39+RN39</f>
        <v>876.16</v>
      </c>
      <c r="RK39" s="77">
        <v>540.39</v>
      </c>
      <c r="RL39" s="121">
        <f t="shared" si="4"/>
        <v>0</v>
      </c>
      <c r="RM39" s="145"/>
      <c r="RN39" s="145">
        <f>855.87+20.29</f>
        <v>876.16</v>
      </c>
      <c r="RO39" s="145"/>
      <c r="RP39" s="104">
        <f t="shared" si="5"/>
        <v>1.6213475452913637</v>
      </c>
      <c r="RQ39" s="172"/>
    </row>
    <row r="40" spans="1:485" s="5" customFormat="1" ht="12.75" customHeight="1" x14ac:dyDescent="0.25">
      <c r="A40" s="61">
        <v>44971</v>
      </c>
      <c r="B40" s="112" t="s">
        <v>527</v>
      </c>
      <c r="C40" s="123"/>
      <c r="D40" s="123"/>
      <c r="E40" s="124"/>
      <c r="F40" s="124"/>
      <c r="G40" s="124"/>
      <c r="H40" s="124"/>
      <c r="I40" s="124"/>
      <c r="J40" s="124"/>
      <c r="K40" s="124"/>
      <c r="L40" s="124"/>
      <c r="M40" s="124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B40" s="125"/>
      <c r="BC40" s="125"/>
      <c r="BD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5"/>
      <c r="CJ40" s="125"/>
      <c r="CK40" s="125"/>
      <c r="CL40" s="125"/>
      <c r="CM40" s="125"/>
      <c r="CN40" s="125"/>
      <c r="CO40" s="125"/>
      <c r="CP40" s="125"/>
      <c r="CQ40" s="125"/>
      <c r="CR40" s="125"/>
      <c r="CS40" s="125"/>
      <c r="CT40" s="125"/>
      <c r="CU40" s="125"/>
      <c r="CV40" s="125"/>
      <c r="CW40" s="125"/>
      <c r="CX40" s="125"/>
      <c r="CY40" s="125"/>
      <c r="CZ40" s="125"/>
      <c r="DA40" s="125"/>
      <c r="DB40" s="125"/>
      <c r="DC40" s="125"/>
      <c r="DD40" s="125"/>
      <c r="DE40" s="125"/>
      <c r="DF40" s="125"/>
      <c r="DG40" s="125"/>
      <c r="DH40" s="125"/>
      <c r="DI40" s="125"/>
      <c r="DJ40" s="125"/>
      <c r="DK40" s="125"/>
      <c r="DL40" s="125"/>
      <c r="DM40" s="125"/>
      <c r="DN40" s="125"/>
      <c r="DO40" s="125"/>
      <c r="DP40" s="125"/>
      <c r="DQ40" s="125"/>
      <c r="DR40" s="125"/>
      <c r="DS40" s="125"/>
      <c r="DT40" s="125"/>
      <c r="DU40" s="125"/>
      <c r="DV40" s="125"/>
      <c r="DW40" s="125"/>
      <c r="DX40" s="125"/>
      <c r="DY40" s="125"/>
      <c r="DZ40" s="125"/>
      <c r="EA40" s="125"/>
      <c r="EB40" s="125"/>
      <c r="EC40" s="125"/>
      <c r="ED40" s="125"/>
      <c r="EE40" s="125"/>
      <c r="EF40" s="125"/>
      <c r="EG40" s="125"/>
      <c r="EH40" s="125"/>
      <c r="EI40" s="125"/>
      <c r="EJ40" s="125"/>
      <c r="EK40" s="125"/>
      <c r="EL40" s="125"/>
      <c r="EM40" s="125"/>
      <c r="EN40" s="125"/>
      <c r="EO40" s="125"/>
      <c r="EP40" s="125"/>
      <c r="EQ40" s="125"/>
      <c r="ER40" s="125"/>
      <c r="ES40" s="125"/>
      <c r="ET40" s="125"/>
      <c r="EU40" s="125"/>
      <c r="EV40" s="125"/>
      <c r="EW40" s="125"/>
      <c r="EX40" s="125"/>
      <c r="EY40" s="125"/>
      <c r="EZ40" s="125"/>
      <c r="FA40" s="125"/>
      <c r="FB40" s="125"/>
      <c r="FC40" s="125"/>
      <c r="FD40" s="125"/>
      <c r="FE40" s="125"/>
      <c r="FF40" s="125"/>
      <c r="FG40" s="125"/>
      <c r="FH40" s="125"/>
      <c r="FI40" s="125"/>
      <c r="FJ40" s="125"/>
      <c r="FK40" s="125"/>
      <c r="FL40" s="125"/>
      <c r="FM40" s="125"/>
      <c r="FN40" s="125"/>
      <c r="FO40" s="125"/>
      <c r="FP40" s="125"/>
      <c r="FQ40" s="125"/>
      <c r="FR40" s="125"/>
      <c r="FS40" s="125"/>
      <c r="FT40" s="125"/>
      <c r="FU40" s="125"/>
      <c r="FV40" s="125"/>
      <c r="FW40" s="125"/>
      <c r="FX40" s="125"/>
      <c r="FY40" s="125"/>
      <c r="FZ40" s="125"/>
      <c r="GA40" s="125"/>
      <c r="GB40" s="125"/>
      <c r="GC40" s="125"/>
      <c r="GD40" s="125"/>
      <c r="GE40" s="125"/>
      <c r="GF40" s="125"/>
      <c r="GG40" s="125"/>
      <c r="GH40" s="125"/>
      <c r="GI40" s="125"/>
      <c r="GJ40" s="125"/>
      <c r="GK40" s="125"/>
      <c r="GL40" s="125"/>
      <c r="GM40" s="125"/>
      <c r="GN40" s="125"/>
      <c r="GO40" s="125"/>
      <c r="GP40" s="125"/>
      <c r="GQ40" s="125"/>
      <c r="GR40" s="125"/>
      <c r="GS40" s="125"/>
      <c r="GT40" s="125"/>
      <c r="GU40" s="125"/>
      <c r="GV40" s="125"/>
      <c r="GW40" s="125"/>
      <c r="GX40" s="125"/>
      <c r="GY40" s="125"/>
      <c r="GZ40" s="125"/>
      <c r="HA40" s="125"/>
      <c r="HB40" s="125"/>
      <c r="HC40" s="125"/>
      <c r="HD40" s="125"/>
      <c r="HE40" s="125"/>
      <c r="HF40" s="125"/>
      <c r="HG40" s="125"/>
      <c r="HH40" s="125"/>
      <c r="HI40" s="125"/>
      <c r="HJ40" s="125"/>
      <c r="HK40" s="125"/>
      <c r="HL40" s="125"/>
      <c r="HM40" s="125"/>
      <c r="HN40" s="125"/>
      <c r="HO40" s="125"/>
      <c r="HP40" s="125"/>
      <c r="HQ40" s="125"/>
      <c r="HR40" s="125"/>
      <c r="HS40" s="125"/>
      <c r="HT40" s="125"/>
      <c r="HU40" s="125"/>
      <c r="HV40" s="125"/>
      <c r="HW40" s="125"/>
      <c r="HX40" s="125"/>
      <c r="HY40" s="125"/>
      <c r="HZ40" s="125"/>
      <c r="IA40" s="125"/>
      <c r="IB40" s="125"/>
      <c r="IC40" s="125"/>
      <c r="ID40" s="125"/>
      <c r="IE40" s="125"/>
      <c r="IF40" s="125"/>
      <c r="IG40" s="125"/>
      <c r="IH40" s="125"/>
      <c r="II40" s="125"/>
      <c r="IJ40" s="125"/>
      <c r="IK40" s="125"/>
      <c r="IL40" s="125"/>
      <c r="IM40" s="125"/>
      <c r="IN40" s="125"/>
      <c r="IO40" s="125"/>
      <c r="IP40" s="125"/>
      <c r="IQ40" s="125"/>
      <c r="IR40" s="125"/>
      <c r="IS40" s="125"/>
      <c r="IT40" s="125"/>
      <c r="IU40" s="125"/>
      <c r="IV40" s="125"/>
      <c r="IW40" s="125"/>
      <c r="IX40" s="125"/>
      <c r="IY40" s="125"/>
      <c r="IZ40" s="125"/>
      <c r="JA40" s="125"/>
      <c r="JB40" s="125"/>
      <c r="JC40" s="125"/>
      <c r="JD40" s="125"/>
      <c r="JE40" s="125"/>
      <c r="JF40" s="125"/>
      <c r="JG40" s="125"/>
      <c r="JH40" s="125"/>
      <c r="JI40" s="125"/>
      <c r="JJ40" s="125"/>
      <c r="JK40" s="125"/>
      <c r="JL40" s="125"/>
      <c r="JM40" s="125"/>
      <c r="JN40" s="125"/>
      <c r="JO40" s="125"/>
      <c r="JP40" s="125"/>
      <c r="JQ40" s="125"/>
      <c r="JR40" s="125"/>
      <c r="JS40" s="125"/>
      <c r="JT40" s="125"/>
      <c r="JU40" s="125"/>
      <c r="JV40" s="125"/>
      <c r="JW40" s="125"/>
      <c r="JX40" s="125"/>
      <c r="JY40" s="125"/>
      <c r="JZ40" s="125"/>
      <c r="KA40" s="125"/>
      <c r="KB40" s="125"/>
      <c r="KC40" s="125"/>
      <c r="KD40" s="125"/>
      <c r="KE40" s="125"/>
      <c r="KF40" s="125"/>
      <c r="KG40" s="125"/>
      <c r="KH40" s="125"/>
      <c r="KI40" s="125"/>
      <c r="KJ40" s="125"/>
      <c r="KK40" s="125"/>
      <c r="KL40" s="125"/>
      <c r="KM40" s="125"/>
      <c r="KN40" s="125"/>
      <c r="KO40" s="125"/>
      <c r="KP40" s="125"/>
      <c r="KQ40" s="125"/>
      <c r="KR40" s="125"/>
      <c r="KS40" s="125"/>
      <c r="KT40" s="125"/>
      <c r="KU40" s="125"/>
      <c r="KV40" s="125"/>
      <c r="KW40" s="125"/>
      <c r="KX40" s="125"/>
      <c r="KY40" s="125"/>
      <c r="KZ40" s="125">
        <v>20</v>
      </c>
      <c r="LA40" s="125"/>
      <c r="LB40" s="125"/>
      <c r="LC40" s="125"/>
      <c r="LD40" s="125"/>
      <c r="LE40" s="125"/>
      <c r="LF40" s="125"/>
      <c r="LG40" s="125"/>
      <c r="LH40" s="125"/>
      <c r="LI40" s="125"/>
      <c r="LJ40" s="125"/>
      <c r="LK40" s="125"/>
      <c r="LL40" s="125"/>
      <c r="LM40" s="125"/>
      <c r="LN40" s="125"/>
      <c r="LO40" s="125"/>
      <c r="LP40" s="125"/>
      <c r="LQ40" s="125"/>
      <c r="LR40" s="125"/>
      <c r="LS40" s="125"/>
      <c r="LT40" s="125"/>
      <c r="LU40" s="125"/>
      <c r="LV40" s="125"/>
      <c r="LW40" s="125"/>
      <c r="LX40" s="125"/>
      <c r="LY40" s="125"/>
      <c r="LZ40" s="125"/>
      <c r="MA40" s="125"/>
      <c r="MB40" s="125"/>
      <c r="MC40" s="125"/>
      <c r="MD40" s="125"/>
      <c r="ME40" s="125"/>
      <c r="MF40" s="125"/>
      <c r="MG40" s="125"/>
      <c r="MH40" s="125"/>
      <c r="MI40" s="125"/>
      <c r="MJ40" s="125"/>
      <c r="MK40" s="125"/>
      <c r="ML40" s="125"/>
      <c r="MM40" s="125"/>
      <c r="MN40" s="125"/>
      <c r="MO40" s="125"/>
      <c r="MP40" s="125"/>
      <c r="MQ40" s="125"/>
      <c r="MR40" s="125"/>
      <c r="MS40" s="125"/>
      <c r="MT40" s="125"/>
      <c r="MU40" s="125"/>
      <c r="MV40" s="125"/>
      <c r="MW40" s="125"/>
      <c r="MX40" s="125"/>
      <c r="MY40" s="125"/>
      <c r="MZ40" s="125"/>
      <c r="NA40" s="125"/>
      <c r="NB40" s="125"/>
      <c r="NC40" s="125"/>
      <c r="ND40" s="125"/>
      <c r="NE40" s="125"/>
      <c r="NF40" s="125"/>
      <c r="NG40" s="125"/>
      <c r="NH40" s="125"/>
      <c r="NI40" s="125"/>
      <c r="NJ40" s="125"/>
      <c r="NK40" s="125"/>
      <c r="NL40" s="125"/>
      <c r="NM40" s="125"/>
      <c r="NN40" s="125"/>
      <c r="NO40" s="125"/>
      <c r="NP40" s="125"/>
      <c r="NQ40" s="125"/>
      <c r="NR40" s="125"/>
      <c r="NS40" s="125"/>
      <c r="NT40" s="125"/>
      <c r="NU40" s="125"/>
      <c r="NV40" s="125"/>
      <c r="NW40" s="125"/>
      <c r="NX40" s="125"/>
      <c r="NY40" s="125"/>
      <c r="NZ40" s="125"/>
      <c r="OA40" s="125"/>
      <c r="OB40" s="125"/>
      <c r="OC40" s="125"/>
      <c r="OD40" s="125"/>
      <c r="OE40" s="125"/>
      <c r="OF40" s="125"/>
      <c r="OG40" s="125"/>
      <c r="OH40" s="125"/>
      <c r="OI40" s="125"/>
      <c r="OJ40" s="125"/>
      <c r="OK40" s="125"/>
      <c r="OL40" s="125"/>
      <c r="OM40" s="125"/>
      <c r="ON40" s="125"/>
      <c r="OO40" s="125"/>
      <c r="OP40" s="125"/>
      <c r="OQ40" s="125"/>
      <c r="OR40" s="125"/>
      <c r="OS40" s="125"/>
      <c r="OT40" s="125"/>
      <c r="OU40" s="125"/>
      <c r="OV40" s="125"/>
      <c r="OW40" s="125"/>
      <c r="OX40" s="125"/>
      <c r="OY40" s="125"/>
      <c r="OZ40" s="125"/>
      <c r="PA40" s="125"/>
      <c r="PB40" s="125"/>
      <c r="PC40" s="125"/>
      <c r="PD40" s="125"/>
      <c r="PE40" s="125"/>
      <c r="PF40" s="125"/>
      <c r="PG40" s="125"/>
      <c r="PH40" s="125"/>
      <c r="PI40" s="125"/>
      <c r="PJ40" s="125"/>
      <c r="PK40" s="125"/>
      <c r="PL40" s="125"/>
      <c r="PM40" s="125"/>
      <c r="PN40" s="125"/>
      <c r="PO40" s="125"/>
      <c r="PP40" s="125"/>
      <c r="PQ40" s="125"/>
      <c r="PR40" s="125"/>
      <c r="PS40" s="125"/>
      <c r="PT40" s="125"/>
      <c r="PU40" s="125"/>
      <c r="PV40" s="125"/>
      <c r="PW40" s="125"/>
      <c r="PX40" s="125"/>
      <c r="PY40" s="125"/>
      <c r="PZ40" s="125"/>
      <c r="QA40" s="125"/>
      <c r="QB40" s="125"/>
      <c r="QC40" s="125"/>
      <c r="QD40" s="125"/>
      <c r="QE40" s="125"/>
      <c r="QF40" s="125"/>
      <c r="QG40" s="125"/>
      <c r="QH40" s="125"/>
      <c r="QI40" s="125"/>
      <c r="QJ40" s="125"/>
      <c r="QK40" s="125"/>
      <c r="QL40" s="125"/>
      <c r="QM40" s="125"/>
      <c r="QN40" s="125"/>
      <c r="QO40" s="125"/>
      <c r="QP40" s="125"/>
      <c r="QQ40" s="125"/>
      <c r="QR40" s="125"/>
      <c r="QS40" s="125"/>
      <c r="QT40" s="125"/>
      <c r="QU40" s="125"/>
      <c r="QV40" s="125"/>
      <c r="QW40" s="125"/>
      <c r="QX40" s="125"/>
      <c r="QY40" s="125"/>
      <c r="QZ40" s="125"/>
      <c r="RA40" s="125"/>
      <c r="RB40" s="125"/>
      <c r="RC40" s="125"/>
      <c r="RD40" s="125"/>
      <c r="RE40" s="125"/>
      <c r="RF40" s="125"/>
      <c r="RG40" s="24">
        <f t="shared" si="3"/>
        <v>20</v>
      </c>
      <c r="RH40" s="60" t="s">
        <v>36</v>
      </c>
      <c r="RI40" s="121">
        <v>946.32</v>
      </c>
      <c r="RJ40" s="77">
        <f>RM40+RN40</f>
        <v>946.31999999999994</v>
      </c>
      <c r="RK40" s="77">
        <v>586.4</v>
      </c>
      <c r="RL40" s="121">
        <f t="shared" si="4"/>
        <v>0</v>
      </c>
      <c r="RM40" s="145"/>
      <c r="RN40" s="145">
        <f>466+480.32</f>
        <v>946.31999999999994</v>
      </c>
      <c r="RO40" s="145"/>
      <c r="RP40" s="104">
        <f t="shared" si="5"/>
        <v>1.6137789904502047</v>
      </c>
      <c r="RQ40" s="172"/>
    </row>
    <row r="41" spans="1:485" s="5" customFormat="1" ht="12.75" customHeight="1" x14ac:dyDescent="0.25">
      <c r="A41" s="61">
        <v>44972</v>
      </c>
      <c r="B41" s="102" t="s">
        <v>559</v>
      </c>
      <c r="C41" s="123"/>
      <c r="D41" s="123"/>
      <c r="E41" s="124"/>
      <c r="F41" s="124"/>
      <c r="G41" s="124"/>
      <c r="H41" s="124"/>
      <c r="I41" s="124"/>
      <c r="J41" s="124"/>
      <c r="K41" s="124"/>
      <c r="L41" s="124"/>
      <c r="M41" s="124"/>
      <c r="N41" s="125"/>
      <c r="O41" s="125"/>
      <c r="P41" s="125"/>
      <c r="Q41" s="125"/>
      <c r="R41" s="125">
        <v>1</v>
      </c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125"/>
      <c r="CO41" s="125"/>
      <c r="CP41" s="125"/>
      <c r="CQ41" s="125"/>
      <c r="CR41" s="125"/>
      <c r="CS41" s="125"/>
      <c r="CT41" s="125"/>
      <c r="CU41" s="125"/>
      <c r="CV41" s="125"/>
      <c r="CW41" s="125"/>
      <c r="CX41" s="125"/>
      <c r="CY41" s="125"/>
      <c r="CZ41" s="125"/>
      <c r="DA41" s="125"/>
      <c r="DB41" s="125"/>
      <c r="DC41" s="125"/>
      <c r="DD41" s="125"/>
      <c r="DE41" s="125"/>
      <c r="DF41" s="125"/>
      <c r="DG41" s="125"/>
      <c r="DH41" s="125"/>
      <c r="DI41" s="125"/>
      <c r="DJ41" s="125"/>
      <c r="DK41" s="125"/>
      <c r="DL41" s="125"/>
      <c r="DM41" s="125"/>
      <c r="DN41" s="125"/>
      <c r="DO41" s="125"/>
      <c r="DP41" s="125"/>
      <c r="DQ41" s="125"/>
      <c r="DR41" s="125"/>
      <c r="DS41" s="125"/>
      <c r="DT41" s="125"/>
      <c r="DU41" s="125"/>
      <c r="DV41" s="125"/>
      <c r="DW41" s="125"/>
      <c r="DX41" s="125"/>
      <c r="DY41" s="125"/>
      <c r="DZ41" s="125"/>
      <c r="EA41" s="125"/>
      <c r="EB41" s="125"/>
      <c r="EC41" s="125"/>
      <c r="ED41" s="125"/>
      <c r="EE41" s="125"/>
      <c r="EF41" s="125"/>
      <c r="EG41" s="125"/>
      <c r="EH41" s="125"/>
      <c r="EI41" s="125"/>
      <c r="EJ41" s="125"/>
      <c r="EK41" s="125"/>
      <c r="EL41" s="125"/>
      <c r="EM41" s="125"/>
      <c r="EN41" s="125"/>
      <c r="EO41" s="125"/>
      <c r="EP41" s="125"/>
      <c r="EQ41" s="125"/>
      <c r="ER41" s="125"/>
      <c r="ES41" s="125"/>
      <c r="ET41" s="125"/>
      <c r="EU41" s="125"/>
      <c r="EV41" s="125"/>
      <c r="EW41" s="125"/>
      <c r="EX41" s="125"/>
      <c r="EY41" s="125"/>
      <c r="EZ41" s="125"/>
      <c r="FA41" s="125"/>
      <c r="FB41" s="125"/>
      <c r="FC41" s="125"/>
      <c r="FD41" s="125"/>
      <c r="FE41" s="125"/>
      <c r="FF41" s="125"/>
      <c r="FG41" s="125"/>
      <c r="FH41" s="125"/>
      <c r="FI41" s="125"/>
      <c r="FJ41" s="125"/>
      <c r="FK41" s="125"/>
      <c r="FL41" s="125"/>
      <c r="FM41" s="125"/>
      <c r="FN41" s="125"/>
      <c r="FO41" s="125"/>
      <c r="FP41" s="125"/>
      <c r="FQ41" s="125"/>
      <c r="FR41" s="125"/>
      <c r="FS41" s="125"/>
      <c r="FT41" s="125"/>
      <c r="FU41" s="125"/>
      <c r="FV41" s="125"/>
      <c r="FW41" s="125"/>
      <c r="FX41" s="125"/>
      <c r="FY41" s="125"/>
      <c r="FZ41" s="125"/>
      <c r="GA41" s="125"/>
      <c r="GB41" s="125"/>
      <c r="GC41" s="125"/>
      <c r="GD41" s="125"/>
      <c r="GE41" s="125"/>
      <c r="GF41" s="125"/>
      <c r="GG41" s="125"/>
      <c r="GH41" s="125"/>
      <c r="GI41" s="125"/>
      <c r="GJ41" s="125"/>
      <c r="GK41" s="125"/>
      <c r="GL41" s="125"/>
      <c r="GM41" s="125"/>
      <c r="GN41" s="125"/>
      <c r="GO41" s="125"/>
      <c r="GP41" s="125"/>
      <c r="GQ41" s="125"/>
      <c r="GR41" s="125"/>
      <c r="GS41" s="125"/>
      <c r="GT41" s="125"/>
      <c r="GU41" s="125"/>
      <c r="GV41" s="125"/>
      <c r="GW41" s="125"/>
      <c r="GX41" s="125"/>
      <c r="GY41" s="125"/>
      <c r="GZ41" s="125"/>
      <c r="HA41" s="125"/>
      <c r="HB41" s="125"/>
      <c r="HC41" s="125"/>
      <c r="HD41" s="125"/>
      <c r="HE41" s="125"/>
      <c r="HF41" s="125"/>
      <c r="HG41" s="125"/>
      <c r="HH41" s="125"/>
      <c r="HI41" s="125"/>
      <c r="HJ41" s="125"/>
      <c r="HK41" s="125"/>
      <c r="HL41" s="125"/>
      <c r="HM41" s="125"/>
      <c r="HN41" s="125"/>
      <c r="HO41" s="125"/>
      <c r="HP41" s="125"/>
      <c r="HQ41" s="125"/>
      <c r="HR41" s="125"/>
      <c r="HS41" s="125"/>
      <c r="HT41" s="125"/>
      <c r="HU41" s="125"/>
      <c r="HV41" s="125"/>
      <c r="HW41" s="125"/>
      <c r="HX41" s="125"/>
      <c r="HY41" s="125"/>
      <c r="HZ41" s="125"/>
      <c r="IA41" s="125"/>
      <c r="IB41" s="125"/>
      <c r="IC41" s="125"/>
      <c r="ID41" s="125"/>
      <c r="IE41" s="125"/>
      <c r="IF41" s="125"/>
      <c r="IG41" s="125"/>
      <c r="IH41" s="125"/>
      <c r="II41" s="125"/>
      <c r="IJ41" s="125"/>
      <c r="IK41" s="125"/>
      <c r="IL41" s="125"/>
      <c r="IM41" s="125"/>
      <c r="IN41" s="125"/>
      <c r="IO41" s="125"/>
      <c r="IP41" s="125"/>
      <c r="IQ41" s="125"/>
      <c r="IR41" s="125"/>
      <c r="IS41" s="125"/>
      <c r="IT41" s="125"/>
      <c r="IU41" s="125"/>
      <c r="IV41" s="125"/>
      <c r="IW41" s="125"/>
      <c r="IX41" s="125"/>
      <c r="IY41" s="125"/>
      <c r="IZ41" s="125"/>
      <c r="JA41" s="125"/>
      <c r="JB41" s="125"/>
      <c r="JC41" s="125"/>
      <c r="JD41" s="125"/>
      <c r="JE41" s="125"/>
      <c r="JF41" s="125"/>
      <c r="JG41" s="125"/>
      <c r="JH41" s="125"/>
      <c r="JI41" s="125"/>
      <c r="JJ41" s="125"/>
      <c r="JK41" s="125"/>
      <c r="JL41" s="125"/>
      <c r="JM41" s="125"/>
      <c r="JN41" s="125"/>
      <c r="JO41" s="125"/>
      <c r="JP41" s="125"/>
      <c r="JQ41" s="125"/>
      <c r="JR41" s="125"/>
      <c r="JS41" s="125"/>
      <c r="JT41" s="125"/>
      <c r="JU41" s="125"/>
      <c r="JV41" s="125"/>
      <c r="JW41" s="125"/>
      <c r="JX41" s="125"/>
      <c r="JY41" s="125"/>
      <c r="JZ41" s="125"/>
      <c r="KA41" s="125"/>
      <c r="KB41" s="125"/>
      <c r="KC41" s="125"/>
      <c r="KD41" s="125"/>
      <c r="KE41" s="125"/>
      <c r="KF41" s="125"/>
      <c r="KG41" s="125"/>
      <c r="KH41" s="125"/>
      <c r="KI41" s="125"/>
      <c r="KJ41" s="125"/>
      <c r="KK41" s="125"/>
      <c r="KL41" s="125"/>
      <c r="KM41" s="125"/>
      <c r="KN41" s="125"/>
      <c r="KO41" s="125"/>
      <c r="KP41" s="125"/>
      <c r="KQ41" s="125"/>
      <c r="KR41" s="125"/>
      <c r="KS41" s="125"/>
      <c r="KT41" s="125"/>
      <c r="KU41" s="125"/>
      <c r="KV41" s="125"/>
      <c r="KW41" s="125"/>
      <c r="KX41" s="125"/>
      <c r="KY41" s="125"/>
      <c r="KZ41" s="125"/>
      <c r="LA41" s="125"/>
      <c r="LB41" s="125"/>
      <c r="LC41" s="125"/>
      <c r="LD41" s="125"/>
      <c r="LE41" s="125"/>
      <c r="LF41" s="125"/>
      <c r="LG41" s="125"/>
      <c r="LH41" s="125"/>
      <c r="LI41" s="125"/>
      <c r="LJ41" s="125"/>
      <c r="LK41" s="125"/>
      <c r="LL41" s="125"/>
      <c r="LM41" s="125"/>
      <c r="LN41" s="125"/>
      <c r="LO41" s="125"/>
      <c r="LP41" s="125"/>
      <c r="LQ41" s="125"/>
      <c r="LR41" s="125"/>
      <c r="LS41" s="125"/>
      <c r="LT41" s="125"/>
      <c r="LU41" s="125"/>
      <c r="LV41" s="125"/>
      <c r="LW41" s="125"/>
      <c r="LX41" s="125"/>
      <c r="LY41" s="125"/>
      <c r="LZ41" s="125"/>
      <c r="MA41" s="125"/>
      <c r="MB41" s="125"/>
      <c r="MC41" s="125"/>
      <c r="MD41" s="125"/>
      <c r="ME41" s="125"/>
      <c r="MF41" s="125"/>
      <c r="MG41" s="125"/>
      <c r="MH41" s="125"/>
      <c r="MI41" s="125"/>
      <c r="MJ41" s="125"/>
      <c r="MK41" s="125"/>
      <c r="ML41" s="125"/>
      <c r="MM41" s="125"/>
      <c r="MN41" s="125"/>
      <c r="MO41" s="125"/>
      <c r="MP41" s="125"/>
      <c r="MQ41" s="125"/>
      <c r="MR41" s="125"/>
      <c r="MS41" s="125"/>
      <c r="MT41" s="125"/>
      <c r="MU41" s="125"/>
      <c r="MV41" s="125"/>
      <c r="MW41" s="125"/>
      <c r="MX41" s="125"/>
      <c r="MY41" s="125"/>
      <c r="MZ41" s="125"/>
      <c r="NA41" s="125"/>
      <c r="NB41" s="125"/>
      <c r="NC41" s="125"/>
      <c r="ND41" s="125"/>
      <c r="NE41" s="125"/>
      <c r="NF41" s="125"/>
      <c r="NG41" s="125"/>
      <c r="NH41" s="125"/>
      <c r="NI41" s="125"/>
      <c r="NJ41" s="125"/>
      <c r="NK41" s="125"/>
      <c r="NL41" s="125"/>
      <c r="NM41" s="125"/>
      <c r="NN41" s="125"/>
      <c r="NO41" s="125"/>
      <c r="NP41" s="125"/>
      <c r="NQ41" s="125"/>
      <c r="NR41" s="125"/>
      <c r="NS41" s="125"/>
      <c r="NT41" s="125"/>
      <c r="NU41" s="125"/>
      <c r="NV41" s="125"/>
      <c r="NW41" s="125"/>
      <c r="NX41" s="125"/>
      <c r="NY41" s="125"/>
      <c r="NZ41" s="125"/>
      <c r="OA41" s="125"/>
      <c r="OB41" s="125"/>
      <c r="OC41" s="125"/>
      <c r="OD41" s="125"/>
      <c r="OE41" s="125"/>
      <c r="OF41" s="125"/>
      <c r="OG41" s="125"/>
      <c r="OH41" s="125"/>
      <c r="OI41" s="125"/>
      <c r="OJ41" s="125"/>
      <c r="OK41" s="125"/>
      <c r="OL41" s="125"/>
      <c r="OM41" s="125"/>
      <c r="ON41" s="125"/>
      <c r="OO41" s="125"/>
      <c r="OP41" s="125"/>
      <c r="OQ41" s="125"/>
      <c r="OR41" s="125"/>
      <c r="OS41" s="125"/>
      <c r="OT41" s="125"/>
      <c r="OU41" s="125"/>
      <c r="OV41" s="125"/>
      <c r="OW41" s="125"/>
      <c r="OX41" s="125"/>
      <c r="OY41" s="125"/>
      <c r="OZ41" s="125"/>
      <c r="PA41" s="125"/>
      <c r="PB41" s="125"/>
      <c r="PC41" s="125"/>
      <c r="PD41" s="125"/>
      <c r="PE41" s="125"/>
      <c r="PF41" s="125"/>
      <c r="PG41" s="125"/>
      <c r="PH41" s="125"/>
      <c r="PI41" s="125"/>
      <c r="PJ41" s="125"/>
      <c r="PK41" s="125"/>
      <c r="PL41" s="125"/>
      <c r="PM41" s="125"/>
      <c r="PN41" s="125"/>
      <c r="PO41" s="125"/>
      <c r="PP41" s="125"/>
      <c r="PQ41" s="125"/>
      <c r="PR41" s="125"/>
      <c r="PS41" s="125"/>
      <c r="PT41" s="125"/>
      <c r="PU41" s="125"/>
      <c r="PV41" s="125"/>
      <c r="PW41" s="125"/>
      <c r="PX41" s="125"/>
      <c r="PY41" s="125"/>
      <c r="PZ41" s="125"/>
      <c r="QA41" s="125"/>
      <c r="QB41" s="125"/>
      <c r="QC41" s="125"/>
      <c r="QD41" s="125"/>
      <c r="QE41" s="125"/>
      <c r="QF41" s="125"/>
      <c r="QG41" s="125"/>
      <c r="QH41" s="125"/>
      <c r="QI41" s="125"/>
      <c r="QJ41" s="125"/>
      <c r="QK41" s="125"/>
      <c r="QL41" s="125"/>
      <c r="QM41" s="125"/>
      <c r="QN41" s="125"/>
      <c r="QO41" s="125"/>
      <c r="QP41" s="125"/>
      <c r="QQ41" s="125"/>
      <c r="QR41" s="125"/>
      <c r="QS41" s="125"/>
      <c r="QT41" s="125"/>
      <c r="QU41" s="125"/>
      <c r="QV41" s="125"/>
      <c r="QW41" s="125"/>
      <c r="QX41" s="125"/>
      <c r="QY41" s="125"/>
      <c r="QZ41" s="125"/>
      <c r="RA41" s="125"/>
      <c r="RB41" s="125"/>
      <c r="RC41" s="125"/>
      <c r="RD41" s="125"/>
      <c r="RE41" s="125"/>
      <c r="RF41" s="125"/>
      <c r="RG41" s="24">
        <f t="shared" si="3"/>
        <v>1</v>
      </c>
      <c r="RH41" s="60" t="s">
        <v>36</v>
      </c>
      <c r="RI41" s="121">
        <v>52.8</v>
      </c>
      <c r="RJ41" s="77">
        <f>RM41+RN41+RO41</f>
        <v>0</v>
      </c>
      <c r="RK41" s="77">
        <v>31.4</v>
      </c>
      <c r="RL41" s="121">
        <f t="shared" si="4"/>
        <v>52.8</v>
      </c>
      <c r="RM41" s="145"/>
      <c r="RN41" s="145"/>
      <c r="RO41" s="145"/>
      <c r="RP41" s="104">
        <f t="shared" si="5"/>
        <v>1.6815286624203822</v>
      </c>
      <c r="RQ41" s="172"/>
    </row>
    <row r="42" spans="1:485" s="5" customFormat="1" ht="12.75" customHeight="1" x14ac:dyDescent="0.25">
      <c r="A42" s="61">
        <v>44972</v>
      </c>
      <c r="B42" s="165" t="s">
        <v>73</v>
      </c>
      <c r="C42" s="123"/>
      <c r="D42" s="123"/>
      <c r="E42" s="124"/>
      <c r="F42" s="124"/>
      <c r="G42" s="124"/>
      <c r="H42" s="124"/>
      <c r="I42" s="124"/>
      <c r="J42" s="124"/>
      <c r="K42" s="124"/>
      <c r="L42" s="124"/>
      <c r="M42" s="124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>
        <v>2.7</v>
      </c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5"/>
      <c r="DR42" s="125"/>
      <c r="DS42" s="125"/>
      <c r="DT42" s="125"/>
      <c r="DU42" s="125"/>
      <c r="DV42" s="125"/>
      <c r="DW42" s="125"/>
      <c r="DX42" s="125"/>
      <c r="DY42" s="125"/>
      <c r="DZ42" s="125"/>
      <c r="EA42" s="125"/>
      <c r="EB42" s="125"/>
      <c r="EC42" s="125"/>
      <c r="ED42" s="125"/>
      <c r="EE42" s="125"/>
      <c r="EF42" s="125"/>
      <c r="EG42" s="125"/>
      <c r="EH42" s="125"/>
      <c r="EI42" s="125"/>
      <c r="EJ42" s="125"/>
      <c r="EK42" s="125"/>
      <c r="EL42" s="125"/>
      <c r="EM42" s="125"/>
      <c r="EN42" s="125"/>
      <c r="EO42" s="125"/>
      <c r="EP42" s="125"/>
      <c r="EQ42" s="125"/>
      <c r="ER42" s="125"/>
      <c r="ES42" s="125"/>
      <c r="ET42" s="125"/>
      <c r="EU42" s="125"/>
      <c r="EV42" s="125"/>
      <c r="EW42" s="125"/>
      <c r="EX42" s="125"/>
      <c r="EY42" s="125"/>
      <c r="EZ42" s="125"/>
      <c r="FA42" s="125"/>
      <c r="FB42" s="125"/>
      <c r="FC42" s="125"/>
      <c r="FD42" s="125"/>
      <c r="FE42" s="125"/>
      <c r="FF42" s="125"/>
      <c r="FG42" s="125"/>
      <c r="FH42" s="125"/>
      <c r="FI42" s="125"/>
      <c r="FJ42" s="125"/>
      <c r="FK42" s="125"/>
      <c r="FL42" s="125"/>
      <c r="FM42" s="125"/>
      <c r="FN42" s="125"/>
      <c r="FO42" s="125"/>
      <c r="FP42" s="125"/>
      <c r="FQ42" s="125"/>
      <c r="FR42" s="125"/>
      <c r="FS42" s="125"/>
      <c r="FT42" s="125"/>
      <c r="FU42" s="125"/>
      <c r="FV42" s="125"/>
      <c r="FW42" s="125"/>
      <c r="FX42" s="125"/>
      <c r="FY42" s="125"/>
      <c r="FZ42" s="125"/>
      <c r="GA42" s="125"/>
      <c r="GB42" s="125"/>
      <c r="GC42" s="125"/>
      <c r="GD42" s="125"/>
      <c r="GE42" s="125"/>
      <c r="GF42" s="125"/>
      <c r="GG42" s="125"/>
      <c r="GH42" s="125"/>
      <c r="GI42" s="125"/>
      <c r="GJ42" s="125"/>
      <c r="GK42" s="125"/>
      <c r="GL42" s="125"/>
      <c r="GM42" s="125"/>
      <c r="GN42" s="125"/>
      <c r="GO42" s="125"/>
      <c r="GP42" s="125"/>
      <c r="GQ42" s="125"/>
      <c r="GR42" s="125"/>
      <c r="GS42" s="125"/>
      <c r="GT42" s="125"/>
      <c r="GU42" s="125"/>
      <c r="GV42" s="125"/>
      <c r="GW42" s="125"/>
      <c r="GX42" s="125"/>
      <c r="GY42" s="125"/>
      <c r="GZ42" s="125"/>
      <c r="HA42" s="125"/>
      <c r="HB42" s="125"/>
      <c r="HC42" s="125"/>
      <c r="HD42" s="125"/>
      <c r="HE42" s="125"/>
      <c r="HF42" s="125"/>
      <c r="HG42" s="125"/>
      <c r="HH42" s="125"/>
      <c r="HI42" s="125"/>
      <c r="HJ42" s="125"/>
      <c r="HK42" s="125"/>
      <c r="HL42" s="125"/>
      <c r="HM42" s="125"/>
      <c r="HN42" s="125"/>
      <c r="HO42" s="125"/>
      <c r="HP42" s="125"/>
      <c r="HQ42" s="125"/>
      <c r="HR42" s="125"/>
      <c r="HS42" s="125"/>
      <c r="HT42" s="125"/>
      <c r="HU42" s="125"/>
      <c r="HV42" s="125"/>
      <c r="HW42" s="125"/>
      <c r="HX42" s="125"/>
      <c r="HY42" s="125"/>
      <c r="HZ42" s="125"/>
      <c r="IA42" s="125"/>
      <c r="IB42" s="125"/>
      <c r="IC42" s="125"/>
      <c r="ID42" s="125"/>
      <c r="IE42" s="125"/>
      <c r="IF42" s="125"/>
      <c r="IG42" s="125"/>
      <c r="IH42" s="125"/>
      <c r="II42" s="125"/>
      <c r="IJ42" s="125"/>
      <c r="IK42" s="125"/>
      <c r="IL42" s="125"/>
      <c r="IM42" s="125"/>
      <c r="IN42" s="125"/>
      <c r="IO42" s="125"/>
      <c r="IP42" s="125"/>
      <c r="IQ42" s="125"/>
      <c r="IR42" s="125"/>
      <c r="IS42" s="125"/>
      <c r="IT42" s="125"/>
      <c r="IU42" s="125"/>
      <c r="IV42" s="125"/>
      <c r="IW42" s="125"/>
      <c r="IX42" s="125"/>
      <c r="IY42" s="125"/>
      <c r="IZ42" s="125"/>
      <c r="JA42" s="125"/>
      <c r="JB42" s="125"/>
      <c r="JC42" s="125"/>
      <c r="JD42" s="125"/>
      <c r="JE42" s="125"/>
      <c r="JF42" s="125"/>
      <c r="JG42" s="125"/>
      <c r="JH42" s="125"/>
      <c r="JI42" s="125"/>
      <c r="JJ42" s="125"/>
      <c r="JK42" s="125"/>
      <c r="JL42" s="125"/>
      <c r="JM42" s="125"/>
      <c r="JN42" s="125"/>
      <c r="JO42" s="125"/>
      <c r="JP42" s="125"/>
      <c r="JQ42" s="125"/>
      <c r="JR42" s="125"/>
      <c r="JS42" s="125"/>
      <c r="JT42" s="125"/>
      <c r="JU42" s="125"/>
      <c r="JV42" s="125"/>
      <c r="JW42" s="125"/>
      <c r="JX42" s="125"/>
      <c r="JY42" s="125"/>
      <c r="JZ42" s="125"/>
      <c r="KA42" s="125"/>
      <c r="KB42" s="125"/>
      <c r="KC42" s="125"/>
      <c r="KD42" s="125"/>
      <c r="KE42" s="125"/>
      <c r="KF42" s="125"/>
      <c r="KG42" s="125"/>
      <c r="KH42" s="125"/>
      <c r="KI42" s="125"/>
      <c r="KJ42" s="125"/>
      <c r="KK42" s="125"/>
      <c r="KL42" s="125"/>
      <c r="KM42" s="125"/>
      <c r="KN42" s="125"/>
      <c r="KO42" s="125"/>
      <c r="KP42" s="125"/>
      <c r="KQ42" s="125"/>
      <c r="KR42" s="125"/>
      <c r="KS42" s="125"/>
      <c r="KT42" s="125"/>
      <c r="KU42" s="125"/>
      <c r="KV42" s="125"/>
      <c r="KW42" s="125"/>
      <c r="KX42" s="125"/>
      <c r="KY42" s="125"/>
      <c r="KZ42" s="125"/>
      <c r="LA42" s="125"/>
      <c r="LB42" s="125"/>
      <c r="LC42" s="125"/>
      <c r="LD42" s="125"/>
      <c r="LE42" s="125"/>
      <c r="LF42" s="125"/>
      <c r="LG42" s="125"/>
      <c r="LH42" s="125"/>
      <c r="LI42" s="125"/>
      <c r="LJ42" s="125"/>
      <c r="LK42" s="125"/>
      <c r="LL42" s="125"/>
      <c r="LM42" s="125"/>
      <c r="LN42" s="125"/>
      <c r="LO42" s="125"/>
      <c r="LP42" s="125"/>
      <c r="LQ42" s="125"/>
      <c r="LR42" s="125"/>
      <c r="LS42" s="125"/>
      <c r="LT42" s="125"/>
      <c r="LU42" s="125"/>
      <c r="LV42" s="125"/>
      <c r="LW42" s="125"/>
      <c r="LX42" s="125"/>
      <c r="LY42" s="125"/>
      <c r="LZ42" s="125"/>
      <c r="MA42" s="125"/>
      <c r="MB42" s="125"/>
      <c r="MC42" s="125"/>
      <c r="MD42" s="125"/>
      <c r="ME42" s="125"/>
      <c r="MF42" s="125"/>
      <c r="MG42" s="125"/>
      <c r="MH42" s="125"/>
      <c r="MI42" s="125"/>
      <c r="MJ42" s="125"/>
      <c r="MK42" s="125"/>
      <c r="ML42" s="125"/>
      <c r="MM42" s="125"/>
      <c r="MN42" s="125"/>
      <c r="MO42" s="125"/>
      <c r="MP42" s="125"/>
      <c r="MQ42" s="125"/>
      <c r="MR42" s="125"/>
      <c r="MS42" s="125"/>
      <c r="MT42" s="125"/>
      <c r="MU42" s="125"/>
      <c r="MV42" s="125"/>
      <c r="MW42" s="125"/>
      <c r="MX42" s="125"/>
      <c r="MY42" s="125"/>
      <c r="MZ42" s="125"/>
      <c r="NA42" s="125"/>
      <c r="NB42" s="125"/>
      <c r="NC42" s="125"/>
      <c r="ND42" s="125"/>
      <c r="NE42" s="125"/>
      <c r="NF42" s="125"/>
      <c r="NG42" s="125"/>
      <c r="NH42" s="125"/>
      <c r="NI42" s="125"/>
      <c r="NJ42" s="125"/>
      <c r="NK42" s="125"/>
      <c r="NL42" s="125"/>
      <c r="NM42" s="125"/>
      <c r="NN42" s="125"/>
      <c r="NO42" s="125"/>
      <c r="NP42" s="125"/>
      <c r="NQ42" s="125"/>
      <c r="NR42" s="125"/>
      <c r="NS42" s="125"/>
      <c r="NT42" s="125"/>
      <c r="NU42" s="125"/>
      <c r="NV42" s="125"/>
      <c r="NW42" s="125"/>
      <c r="NX42" s="125"/>
      <c r="NY42" s="125"/>
      <c r="NZ42" s="125"/>
      <c r="OA42" s="125"/>
      <c r="OB42" s="125"/>
      <c r="OC42" s="125"/>
      <c r="OD42" s="125"/>
      <c r="OE42" s="125"/>
      <c r="OF42" s="125"/>
      <c r="OG42" s="125"/>
      <c r="OH42" s="125"/>
      <c r="OI42" s="125"/>
      <c r="OJ42" s="125"/>
      <c r="OK42" s="125"/>
      <c r="OL42" s="125"/>
      <c r="OM42" s="125"/>
      <c r="ON42" s="125"/>
      <c r="OO42" s="125"/>
      <c r="OP42" s="125"/>
      <c r="OQ42" s="125"/>
      <c r="OR42" s="125"/>
      <c r="OS42" s="125"/>
      <c r="OT42" s="125"/>
      <c r="OU42" s="125"/>
      <c r="OV42" s="125"/>
      <c r="OW42" s="125"/>
      <c r="OX42" s="125"/>
      <c r="OY42" s="125"/>
      <c r="OZ42" s="125"/>
      <c r="PA42" s="125"/>
      <c r="PB42" s="125"/>
      <c r="PC42" s="125"/>
      <c r="PD42" s="125"/>
      <c r="PE42" s="125"/>
      <c r="PF42" s="125"/>
      <c r="PG42" s="125"/>
      <c r="PH42" s="125"/>
      <c r="PI42" s="125"/>
      <c r="PJ42" s="125"/>
      <c r="PK42" s="125"/>
      <c r="PL42" s="125"/>
      <c r="PM42" s="125"/>
      <c r="PN42" s="125"/>
      <c r="PO42" s="125"/>
      <c r="PP42" s="125"/>
      <c r="PQ42" s="125"/>
      <c r="PR42" s="125"/>
      <c r="PS42" s="125"/>
      <c r="PT42" s="125"/>
      <c r="PU42" s="125"/>
      <c r="PV42" s="125"/>
      <c r="PW42" s="125"/>
      <c r="PX42" s="125"/>
      <c r="PY42" s="125"/>
      <c r="PZ42" s="125"/>
      <c r="QA42" s="125"/>
      <c r="QB42" s="125"/>
      <c r="QC42" s="125"/>
      <c r="QD42" s="125"/>
      <c r="QE42" s="125"/>
      <c r="QF42" s="125"/>
      <c r="QG42" s="125"/>
      <c r="QH42" s="125"/>
      <c r="QI42" s="125"/>
      <c r="QJ42" s="125"/>
      <c r="QK42" s="125"/>
      <c r="QL42" s="125"/>
      <c r="QM42" s="125"/>
      <c r="QN42" s="125"/>
      <c r="QO42" s="125"/>
      <c r="QP42" s="125"/>
      <c r="QQ42" s="125"/>
      <c r="QR42" s="125"/>
      <c r="QS42" s="125"/>
      <c r="QT42" s="125"/>
      <c r="QU42" s="125"/>
      <c r="QV42" s="125"/>
      <c r="QW42" s="125"/>
      <c r="QX42" s="125"/>
      <c r="QY42" s="125"/>
      <c r="QZ42" s="125"/>
      <c r="RA42" s="125"/>
      <c r="RB42" s="125"/>
      <c r="RC42" s="125"/>
      <c r="RD42" s="125"/>
      <c r="RE42" s="125"/>
      <c r="RF42" s="125"/>
      <c r="RG42" s="24">
        <f t="shared" si="3"/>
        <v>2.7</v>
      </c>
      <c r="RH42" s="60" t="s">
        <v>36</v>
      </c>
      <c r="RI42" s="121">
        <v>343.76</v>
      </c>
      <c r="RJ42" s="77">
        <f>RM42+RN42</f>
        <v>343.76</v>
      </c>
      <c r="RK42" s="77">
        <v>197.964</v>
      </c>
      <c r="RL42" s="121">
        <f t="shared" si="4"/>
        <v>0</v>
      </c>
      <c r="RM42" s="145"/>
      <c r="RN42" s="145">
        <v>343.76</v>
      </c>
      <c r="RO42" s="145"/>
      <c r="RP42" s="104">
        <f t="shared" si="5"/>
        <v>1.7364773393142188</v>
      </c>
      <c r="RQ42" s="172"/>
    </row>
    <row r="43" spans="1:485" s="5" customFormat="1" ht="12.75" customHeight="1" x14ac:dyDescent="0.25">
      <c r="A43" s="61">
        <v>44972</v>
      </c>
      <c r="B43" s="112" t="s">
        <v>75</v>
      </c>
      <c r="C43" s="123"/>
      <c r="D43" s="123"/>
      <c r="E43" s="124"/>
      <c r="F43" s="124"/>
      <c r="G43" s="124"/>
      <c r="H43" s="124"/>
      <c r="I43" s="124">
        <v>10</v>
      </c>
      <c r="J43" s="124"/>
      <c r="K43" s="124"/>
      <c r="L43" s="124"/>
      <c r="M43" s="124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5"/>
      <c r="DR43" s="125"/>
      <c r="DS43" s="125"/>
      <c r="DT43" s="125"/>
      <c r="DU43" s="125"/>
      <c r="DV43" s="125">
        <v>10</v>
      </c>
      <c r="DW43" s="125"/>
      <c r="DX43" s="125"/>
      <c r="DY43" s="125"/>
      <c r="DZ43" s="125"/>
      <c r="EA43" s="125"/>
      <c r="EB43" s="125"/>
      <c r="EC43" s="125"/>
      <c r="ED43" s="125"/>
      <c r="EE43" s="125"/>
      <c r="EF43" s="125"/>
      <c r="EG43" s="125"/>
      <c r="EH43" s="125"/>
      <c r="EI43" s="125"/>
      <c r="EJ43" s="125"/>
      <c r="EK43" s="125"/>
      <c r="EL43" s="125"/>
      <c r="EM43" s="125"/>
      <c r="EN43" s="125"/>
      <c r="EO43" s="125"/>
      <c r="EP43" s="125"/>
      <c r="EQ43" s="125"/>
      <c r="ER43" s="125"/>
      <c r="ES43" s="125"/>
      <c r="ET43" s="125"/>
      <c r="EU43" s="125"/>
      <c r="EV43" s="125"/>
      <c r="EW43" s="125"/>
      <c r="EX43" s="125"/>
      <c r="EY43" s="125"/>
      <c r="EZ43" s="125"/>
      <c r="FA43" s="125"/>
      <c r="FB43" s="125"/>
      <c r="FC43" s="125"/>
      <c r="FD43" s="125"/>
      <c r="FE43" s="125"/>
      <c r="FF43" s="125"/>
      <c r="FG43" s="125"/>
      <c r="FH43" s="125"/>
      <c r="FI43" s="125"/>
      <c r="FJ43" s="125"/>
      <c r="FK43" s="125"/>
      <c r="FL43" s="125"/>
      <c r="FM43" s="125"/>
      <c r="FN43" s="125"/>
      <c r="FO43" s="125"/>
      <c r="FP43" s="125"/>
      <c r="FQ43" s="125"/>
      <c r="FR43" s="125"/>
      <c r="FS43" s="125"/>
      <c r="FT43" s="125"/>
      <c r="FU43" s="125"/>
      <c r="FV43" s="125"/>
      <c r="FW43" s="125"/>
      <c r="FX43" s="125"/>
      <c r="FY43" s="125"/>
      <c r="FZ43" s="125"/>
      <c r="GA43" s="125"/>
      <c r="GB43" s="125"/>
      <c r="GC43" s="125"/>
      <c r="GD43" s="125"/>
      <c r="GE43" s="125"/>
      <c r="GF43" s="125"/>
      <c r="GG43" s="125"/>
      <c r="GH43" s="125"/>
      <c r="GI43" s="125"/>
      <c r="GJ43" s="125"/>
      <c r="GK43" s="125"/>
      <c r="GL43" s="125"/>
      <c r="GM43" s="125"/>
      <c r="GN43" s="125"/>
      <c r="GO43" s="125"/>
      <c r="GP43" s="125"/>
      <c r="GQ43" s="125"/>
      <c r="GR43" s="125"/>
      <c r="GS43" s="125"/>
      <c r="GT43" s="125"/>
      <c r="GU43" s="125"/>
      <c r="GV43" s="125"/>
      <c r="GW43" s="125"/>
      <c r="GX43" s="125"/>
      <c r="GY43" s="125"/>
      <c r="GZ43" s="125"/>
      <c r="HA43" s="125"/>
      <c r="HB43" s="125"/>
      <c r="HC43" s="125"/>
      <c r="HD43" s="125"/>
      <c r="HE43" s="125"/>
      <c r="HF43" s="125"/>
      <c r="HG43" s="125"/>
      <c r="HH43" s="125"/>
      <c r="HI43" s="125"/>
      <c r="HJ43" s="125"/>
      <c r="HK43" s="125"/>
      <c r="HL43" s="125"/>
      <c r="HM43" s="125"/>
      <c r="HN43" s="125"/>
      <c r="HO43" s="125"/>
      <c r="HP43" s="125"/>
      <c r="HQ43" s="125"/>
      <c r="HR43" s="125"/>
      <c r="HS43" s="125"/>
      <c r="HT43" s="125"/>
      <c r="HU43" s="125"/>
      <c r="HV43" s="125"/>
      <c r="HW43" s="125"/>
      <c r="HX43" s="125"/>
      <c r="HY43" s="125"/>
      <c r="HZ43" s="125"/>
      <c r="IA43" s="125"/>
      <c r="IB43" s="125"/>
      <c r="IC43" s="125"/>
      <c r="ID43" s="125"/>
      <c r="IE43" s="125"/>
      <c r="IF43" s="125"/>
      <c r="IG43" s="125"/>
      <c r="IH43" s="125"/>
      <c r="II43" s="125"/>
      <c r="IJ43" s="125"/>
      <c r="IK43" s="125"/>
      <c r="IL43" s="125"/>
      <c r="IM43" s="125"/>
      <c r="IN43" s="125"/>
      <c r="IO43" s="125"/>
      <c r="IP43" s="125"/>
      <c r="IQ43" s="125"/>
      <c r="IR43" s="125"/>
      <c r="IS43" s="125"/>
      <c r="IT43" s="125"/>
      <c r="IU43" s="125"/>
      <c r="IV43" s="125"/>
      <c r="IW43" s="125"/>
      <c r="IX43" s="125"/>
      <c r="IY43" s="125"/>
      <c r="IZ43" s="125"/>
      <c r="JA43" s="125"/>
      <c r="JB43" s="125"/>
      <c r="JC43" s="125"/>
      <c r="JD43" s="125"/>
      <c r="JE43" s="125"/>
      <c r="JF43" s="125"/>
      <c r="JG43" s="125"/>
      <c r="JH43" s="125"/>
      <c r="JI43" s="125"/>
      <c r="JJ43" s="125"/>
      <c r="JK43" s="125"/>
      <c r="JL43" s="125"/>
      <c r="JM43" s="125"/>
      <c r="JN43" s="125"/>
      <c r="JO43" s="125"/>
      <c r="JP43" s="125"/>
      <c r="JQ43" s="125"/>
      <c r="JR43" s="125"/>
      <c r="JS43" s="125"/>
      <c r="JT43" s="125"/>
      <c r="JU43" s="125"/>
      <c r="JV43" s="125"/>
      <c r="JW43" s="125"/>
      <c r="JX43" s="125"/>
      <c r="JY43" s="125"/>
      <c r="JZ43" s="125"/>
      <c r="KA43" s="125"/>
      <c r="KB43" s="125"/>
      <c r="KC43" s="125"/>
      <c r="KD43" s="125"/>
      <c r="KE43" s="125"/>
      <c r="KF43" s="125"/>
      <c r="KG43" s="125"/>
      <c r="KH43" s="125"/>
      <c r="KI43" s="125"/>
      <c r="KJ43" s="125"/>
      <c r="KK43" s="125"/>
      <c r="KL43" s="125"/>
      <c r="KM43" s="125"/>
      <c r="KN43" s="125"/>
      <c r="KO43" s="125"/>
      <c r="KP43" s="125"/>
      <c r="KQ43" s="125"/>
      <c r="KR43" s="125"/>
      <c r="KS43" s="125"/>
      <c r="KT43" s="125"/>
      <c r="KU43" s="125"/>
      <c r="KV43" s="125"/>
      <c r="KW43" s="125"/>
      <c r="KX43" s="125"/>
      <c r="KY43" s="125"/>
      <c r="KZ43" s="125"/>
      <c r="LA43" s="125"/>
      <c r="LB43" s="125"/>
      <c r="LC43" s="125"/>
      <c r="LD43" s="125"/>
      <c r="LE43" s="125"/>
      <c r="LF43" s="125"/>
      <c r="LG43" s="125"/>
      <c r="LH43" s="125"/>
      <c r="LI43" s="125"/>
      <c r="LJ43" s="125"/>
      <c r="LK43" s="125"/>
      <c r="LL43" s="125"/>
      <c r="LM43" s="125"/>
      <c r="LN43" s="125"/>
      <c r="LO43" s="125"/>
      <c r="LP43" s="125"/>
      <c r="LQ43" s="125"/>
      <c r="LR43" s="125"/>
      <c r="LS43" s="125"/>
      <c r="LT43" s="125"/>
      <c r="LU43" s="125"/>
      <c r="LV43" s="125">
        <v>1</v>
      </c>
      <c r="LW43" s="125"/>
      <c r="LX43" s="125"/>
      <c r="LY43" s="125"/>
      <c r="LZ43" s="125"/>
      <c r="MA43" s="125"/>
      <c r="MB43" s="125"/>
      <c r="MC43" s="125"/>
      <c r="MD43" s="125"/>
      <c r="ME43" s="125"/>
      <c r="MF43" s="125"/>
      <c r="MG43" s="125"/>
      <c r="MH43" s="125"/>
      <c r="MI43" s="125"/>
      <c r="MJ43" s="125"/>
      <c r="MK43" s="125"/>
      <c r="ML43" s="125"/>
      <c r="MM43" s="125">
        <v>60</v>
      </c>
      <c r="MN43" s="125"/>
      <c r="MO43" s="125"/>
      <c r="MP43" s="125"/>
      <c r="MQ43" s="125"/>
      <c r="MR43" s="125"/>
      <c r="MS43" s="125"/>
      <c r="MT43" s="125"/>
      <c r="MU43" s="125"/>
      <c r="MV43" s="125"/>
      <c r="MW43" s="125"/>
      <c r="MX43" s="125"/>
      <c r="MY43" s="125"/>
      <c r="MZ43" s="125"/>
      <c r="NA43" s="125"/>
      <c r="NB43" s="125"/>
      <c r="NC43" s="125"/>
      <c r="ND43" s="125"/>
      <c r="NE43" s="125"/>
      <c r="NF43" s="125"/>
      <c r="NG43" s="125"/>
      <c r="NH43" s="125"/>
      <c r="NI43" s="125"/>
      <c r="NJ43" s="125"/>
      <c r="NK43" s="125"/>
      <c r="NL43" s="125"/>
      <c r="NM43" s="125"/>
      <c r="NN43" s="125"/>
      <c r="NO43" s="125"/>
      <c r="NP43" s="125"/>
      <c r="NQ43" s="125"/>
      <c r="NR43" s="125"/>
      <c r="NS43" s="125"/>
      <c r="NT43" s="125"/>
      <c r="NU43" s="125"/>
      <c r="NV43" s="125"/>
      <c r="NW43" s="125">
        <v>1</v>
      </c>
      <c r="NX43" s="125"/>
      <c r="NY43" s="125"/>
      <c r="NZ43" s="125"/>
      <c r="OA43" s="125"/>
      <c r="OB43" s="125"/>
      <c r="OC43" s="125"/>
      <c r="OD43" s="125"/>
      <c r="OE43" s="125"/>
      <c r="OF43" s="125"/>
      <c r="OG43" s="125"/>
      <c r="OH43" s="125"/>
      <c r="OI43" s="125"/>
      <c r="OJ43" s="125"/>
      <c r="OK43" s="125"/>
      <c r="OL43" s="125"/>
      <c r="OM43" s="125"/>
      <c r="ON43" s="125"/>
      <c r="OO43" s="125"/>
      <c r="OP43" s="125"/>
      <c r="OQ43" s="125"/>
      <c r="OR43" s="125"/>
      <c r="OS43" s="125"/>
      <c r="OT43" s="125"/>
      <c r="OU43" s="125"/>
      <c r="OV43" s="125"/>
      <c r="OW43" s="125"/>
      <c r="OX43" s="125"/>
      <c r="OY43" s="125"/>
      <c r="OZ43" s="125"/>
      <c r="PA43" s="125"/>
      <c r="PB43" s="125"/>
      <c r="PC43" s="125"/>
      <c r="PD43" s="125"/>
      <c r="PE43" s="125"/>
      <c r="PF43" s="125"/>
      <c r="PG43" s="125"/>
      <c r="PH43" s="125"/>
      <c r="PI43" s="125"/>
      <c r="PJ43" s="125"/>
      <c r="PK43" s="125"/>
      <c r="PL43" s="125"/>
      <c r="PM43" s="125"/>
      <c r="PN43" s="125"/>
      <c r="PO43" s="125"/>
      <c r="PP43" s="125"/>
      <c r="PQ43" s="125"/>
      <c r="PR43" s="125"/>
      <c r="PS43" s="125"/>
      <c r="PT43" s="125"/>
      <c r="PU43" s="125"/>
      <c r="PV43" s="125"/>
      <c r="PW43" s="125"/>
      <c r="PX43" s="125"/>
      <c r="PY43" s="125"/>
      <c r="PZ43" s="125"/>
      <c r="QA43" s="125"/>
      <c r="QB43" s="125"/>
      <c r="QC43" s="125"/>
      <c r="QD43" s="125"/>
      <c r="QE43" s="125"/>
      <c r="QF43" s="125"/>
      <c r="QG43" s="125"/>
      <c r="QH43" s="125"/>
      <c r="QI43" s="125"/>
      <c r="QJ43" s="125">
        <v>100</v>
      </c>
      <c r="QK43" s="125"/>
      <c r="QL43" s="125"/>
      <c r="QM43" s="125"/>
      <c r="QN43" s="125"/>
      <c r="QO43" s="125"/>
      <c r="QP43" s="125"/>
      <c r="QQ43" s="125"/>
      <c r="QR43" s="125"/>
      <c r="QS43" s="125"/>
      <c r="QT43" s="125"/>
      <c r="QU43" s="125"/>
      <c r="QV43" s="125"/>
      <c r="QW43" s="125"/>
      <c r="QX43" s="125"/>
      <c r="QY43" s="125"/>
      <c r="QZ43" s="125"/>
      <c r="RA43" s="125"/>
      <c r="RB43" s="125"/>
      <c r="RC43" s="125"/>
      <c r="RD43" s="125"/>
      <c r="RE43" s="125"/>
      <c r="RF43" s="125"/>
      <c r="RG43" s="24">
        <f t="shared" si="3"/>
        <v>182</v>
      </c>
      <c r="RH43" s="60" t="s">
        <v>36</v>
      </c>
      <c r="RI43" s="121">
        <v>11326.68</v>
      </c>
      <c r="RJ43" s="77">
        <f>RM43+RN43+RO43</f>
        <v>0</v>
      </c>
      <c r="RK43" s="77">
        <v>7402.77</v>
      </c>
      <c r="RL43" s="121">
        <f t="shared" si="4"/>
        <v>11326.68</v>
      </c>
      <c r="RM43" s="145"/>
      <c r="RN43" s="145"/>
      <c r="RO43" s="145"/>
      <c r="RP43" s="104">
        <f t="shared" si="5"/>
        <v>1.5300596938713482</v>
      </c>
      <c r="RQ43" s="172" t="s">
        <v>540</v>
      </c>
    </row>
    <row r="44" spans="1:485" s="5" customFormat="1" ht="12.75" customHeight="1" x14ac:dyDescent="0.25">
      <c r="A44" s="61">
        <v>44972</v>
      </c>
      <c r="B44" s="102" t="s">
        <v>468</v>
      </c>
      <c r="C44" s="123"/>
      <c r="D44" s="123"/>
      <c r="E44" s="124"/>
      <c r="F44" s="124"/>
      <c r="G44" s="124"/>
      <c r="H44" s="124"/>
      <c r="I44" s="124"/>
      <c r="J44" s="124"/>
      <c r="K44" s="124"/>
      <c r="L44" s="124"/>
      <c r="M44" s="124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5"/>
      <c r="DR44" s="125"/>
      <c r="DS44" s="125"/>
      <c r="DT44" s="125"/>
      <c r="DU44" s="125"/>
      <c r="DV44" s="125"/>
      <c r="DW44" s="125"/>
      <c r="DX44" s="125"/>
      <c r="DY44" s="125"/>
      <c r="DZ44" s="125"/>
      <c r="EA44" s="125"/>
      <c r="EB44" s="125"/>
      <c r="EC44" s="125"/>
      <c r="ED44" s="125"/>
      <c r="EE44" s="125"/>
      <c r="EF44" s="125"/>
      <c r="EG44" s="125"/>
      <c r="EH44" s="125"/>
      <c r="EI44" s="125"/>
      <c r="EJ44" s="125"/>
      <c r="EK44" s="125"/>
      <c r="EL44" s="125"/>
      <c r="EM44" s="125"/>
      <c r="EN44" s="125"/>
      <c r="EO44" s="125"/>
      <c r="EP44" s="125"/>
      <c r="EQ44" s="125"/>
      <c r="ER44" s="125"/>
      <c r="ES44" s="125"/>
      <c r="ET44" s="125"/>
      <c r="EU44" s="125"/>
      <c r="EV44" s="125"/>
      <c r="EW44" s="125"/>
      <c r="EX44" s="125"/>
      <c r="EY44" s="125"/>
      <c r="EZ44" s="125"/>
      <c r="FA44" s="125"/>
      <c r="FB44" s="125"/>
      <c r="FC44" s="125"/>
      <c r="FD44" s="125"/>
      <c r="FE44" s="125"/>
      <c r="FF44" s="125"/>
      <c r="FG44" s="125"/>
      <c r="FH44" s="125"/>
      <c r="FI44" s="125"/>
      <c r="FJ44" s="125"/>
      <c r="FK44" s="125"/>
      <c r="FL44" s="125"/>
      <c r="FM44" s="125"/>
      <c r="FN44" s="125"/>
      <c r="FO44" s="125"/>
      <c r="FP44" s="125"/>
      <c r="FQ44" s="125"/>
      <c r="FR44" s="125"/>
      <c r="FS44" s="125"/>
      <c r="FT44" s="125"/>
      <c r="FU44" s="125"/>
      <c r="FV44" s="125"/>
      <c r="FW44" s="125"/>
      <c r="FX44" s="125"/>
      <c r="FY44" s="125"/>
      <c r="FZ44" s="125"/>
      <c r="GA44" s="125"/>
      <c r="GB44" s="125"/>
      <c r="GC44" s="125"/>
      <c r="GD44" s="125"/>
      <c r="GE44" s="125"/>
      <c r="GF44" s="125"/>
      <c r="GG44" s="125">
        <v>7</v>
      </c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  <c r="HD44" s="125"/>
      <c r="HE44" s="125"/>
      <c r="HF44" s="125"/>
      <c r="HG44" s="125"/>
      <c r="HH44" s="125"/>
      <c r="HI44" s="125"/>
      <c r="HJ44" s="125"/>
      <c r="HK44" s="125"/>
      <c r="HL44" s="125"/>
      <c r="HM44" s="125"/>
      <c r="HN44" s="125"/>
      <c r="HO44" s="125"/>
      <c r="HP44" s="125"/>
      <c r="HQ44" s="125"/>
      <c r="HR44" s="125"/>
      <c r="HS44" s="125"/>
      <c r="HT44" s="125"/>
      <c r="HU44" s="125"/>
      <c r="HV44" s="125"/>
      <c r="HW44" s="125"/>
      <c r="HX44" s="125"/>
      <c r="HY44" s="125"/>
      <c r="HZ44" s="125"/>
      <c r="IA44" s="125"/>
      <c r="IB44" s="125"/>
      <c r="IC44" s="125"/>
      <c r="ID44" s="125"/>
      <c r="IE44" s="125"/>
      <c r="IF44" s="125"/>
      <c r="IG44" s="125"/>
      <c r="IH44" s="125"/>
      <c r="II44" s="125"/>
      <c r="IJ44" s="125"/>
      <c r="IK44" s="125"/>
      <c r="IL44" s="125"/>
      <c r="IM44" s="125"/>
      <c r="IN44" s="125"/>
      <c r="IO44" s="125"/>
      <c r="IP44" s="125"/>
      <c r="IQ44" s="125"/>
      <c r="IR44" s="125"/>
      <c r="IS44" s="125"/>
      <c r="IT44" s="125"/>
      <c r="IU44" s="125"/>
      <c r="IV44" s="125"/>
      <c r="IW44" s="125"/>
      <c r="IX44" s="125"/>
      <c r="IY44" s="125"/>
      <c r="IZ44" s="125"/>
      <c r="JA44" s="125"/>
      <c r="JB44" s="125"/>
      <c r="JC44" s="125"/>
      <c r="JD44" s="125"/>
      <c r="JE44" s="125"/>
      <c r="JF44" s="125"/>
      <c r="JG44" s="125"/>
      <c r="JH44" s="125"/>
      <c r="JI44" s="125"/>
      <c r="JJ44" s="125"/>
      <c r="JK44" s="125"/>
      <c r="JL44" s="125"/>
      <c r="JM44" s="125"/>
      <c r="JN44" s="125"/>
      <c r="JO44" s="125"/>
      <c r="JP44" s="125"/>
      <c r="JQ44" s="125"/>
      <c r="JR44" s="125"/>
      <c r="JS44" s="125"/>
      <c r="JT44" s="125"/>
      <c r="JU44" s="125"/>
      <c r="JV44" s="125"/>
      <c r="JW44" s="125"/>
      <c r="JX44" s="125"/>
      <c r="JY44" s="125"/>
      <c r="JZ44" s="125"/>
      <c r="KA44" s="125"/>
      <c r="KB44" s="125"/>
      <c r="KC44" s="125"/>
      <c r="KD44" s="125"/>
      <c r="KE44" s="125"/>
      <c r="KF44" s="125"/>
      <c r="KG44" s="125"/>
      <c r="KH44" s="125"/>
      <c r="KI44" s="125"/>
      <c r="KJ44" s="125"/>
      <c r="KK44" s="125"/>
      <c r="KL44" s="125"/>
      <c r="KM44" s="125"/>
      <c r="KN44" s="125">
        <v>4</v>
      </c>
      <c r="KO44" s="125"/>
      <c r="KP44" s="125"/>
      <c r="KQ44" s="125"/>
      <c r="KR44" s="125"/>
      <c r="KS44" s="125"/>
      <c r="KT44" s="125"/>
      <c r="KU44" s="125"/>
      <c r="KV44" s="125"/>
      <c r="KW44" s="125"/>
      <c r="KX44" s="125"/>
      <c r="KY44" s="125"/>
      <c r="KZ44" s="125"/>
      <c r="LA44" s="125"/>
      <c r="LB44" s="125"/>
      <c r="LC44" s="125"/>
      <c r="LD44" s="125"/>
      <c r="LE44" s="125"/>
      <c r="LF44" s="125"/>
      <c r="LG44" s="125"/>
      <c r="LH44" s="125"/>
      <c r="LI44" s="125"/>
      <c r="LJ44" s="125"/>
      <c r="LK44" s="125"/>
      <c r="LL44" s="125"/>
      <c r="LM44" s="125"/>
      <c r="LN44" s="125"/>
      <c r="LO44" s="125"/>
      <c r="LP44" s="125"/>
      <c r="LQ44" s="125"/>
      <c r="LR44" s="125"/>
      <c r="LS44" s="125"/>
      <c r="LT44" s="125"/>
      <c r="LU44" s="125"/>
      <c r="LV44" s="125"/>
      <c r="LW44" s="125"/>
      <c r="LX44" s="125"/>
      <c r="LY44" s="125"/>
      <c r="LZ44" s="125"/>
      <c r="MA44" s="125"/>
      <c r="MB44" s="125"/>
      <c r="MC44" s="125"/>
      <c r="MD44" s="125"/>
      <c r="ME44" s="125"/>
      <c r="MF44" s="125"/>
      <c r="MG44" s="125"/>
      <c r="MH44" s="125"/>
      <c r="MI44" s="125"/>
      <c r="MJ44" s="125"/>
      <c r="MK44" s="125"/>
      <c r="ML44" s="125"/>
      <c r="MM44" s="125"/>
      <c r="MN44" s="125"/>
      <c r="MO44" s="125"/>
      <c r="MP44" s="125"/>
      <c r="MQ44" s="125"/>
      <c r="MR44" s="125"/>
      <c r="MS44" s="125"/>
      <c r="MT44" s="125"/>
      <c r="MU44" s="125"/>
      <c r="MV44" s="125"/>
      <c r="MW44" s="125"/>
      <c r="MX44" s="125"/>
      <c r="MY44" s="125"/>
      <c r="MZ44" s="125"/>
      <c r="NA44" s="125"/>
      <c r="NB44" s="125"/>
      <c r="NC44" s="125"/>
      <c r="ND44" s="125"/>
      <c r="NE44" s="125"/>
      <c r="NF44" s="125"/>
      <c r="NG44" s="125"/>
      <c r="NH44" s="125"/>
      <c r="NI44" s="125"/>
      <c r="NJ44" s="125"/>
      <c r="NK44" s="125"/>
      <c r="NL44" s="125"/>
      <c r="NM44" s="125"/>
      <c r="NN44" s="125"/>
      <c r="NO44" s="125"/>
      <c r="NP44" s="125"/>
      <c r="NQ44" s="125"/>
      <c r="NR44" s="125"/>
      <c r="NS44" s="125"/>
      <c r="NT44" s="125"/>
      <c r="NU44" s="125"/>
      <c r="NV44" s="125"/>
      <c r="NW44" s="125"/>
      <c r="NX44" s="125"/>
      <c r="NY44" s="125"/>
      <c r="NZ44" s="125"/>
      <c r="OA44" s="125"/>
      <c r="OB44" s="125"/>
      <c r="OC44" s="125"/>
      <c r="OD44" s="125"/>
      <c r="OE44" s="125"/>
      <c r="OF44" s="125"/>
      <c r="OG44" s="125"/>
      <c r="OH44" s="125"/>
      <c r="OI44" s="125"/>
      <c r="OJ44" s="125"/>
      <c r="OK44" s="125"/>
      <c r="OL44" s="125"/>
      <c r="OM44" s="125"/>
      <c r="ON44" s="125"/>
      <c r="OO44" s="125"/>
      <c r="OP44" s="125"/>
      <c r="OQ44" s="125"/>
      <c r="OR44" s="125"/>
      <c r="OS44" s="125"/>
      <c r="OT44" s="125"/>
      <c r="OU44" s="125"/>
      <c r="OV44" s="125"/>
      <c r="OW44" s="125"/>
      <c r="OX44" s="125"/>
      <c r="OY44" s="125"/>
      <c r="OZ44" s="125"/>
      <c r="PA44" s="125"/>
      <c r="PB44" s="125"/>
      <c r="PC44" s="125"/>
      <c r="PD44" s="125"/>
      <c r="PE44" s="125"/>
      <c r="PF44" s="125"/>
      <c r="PG44" s="125"/>
      <c r="PH44" s="125"/>
      <c r="PI44" s="125"/>
      <c r="PJ44" s="125"/>
      <c r="PK44" s="125"/>
      <c r="PL44" s="125"/>
      <c r="PM44" s="125"/>
      <c r="PN44" s="125"/>
      <c r="PO44" s="125"/>
      <c r="PP44" s="125"/>
      <c r="PQ44" s="125"/>
      <c r="PR44" s="125"/>
      <c r="PS44" s="125"/>
      <c r="PT44" s="125"/>
      <c r="PU44" s="125"/>
      <c r="PV44" s="125"/>
      <c r="PW44" s="125"/>
      <c r="PX44" s="125"/>
      <c r="PY44" s="125"/>
      <c r="PZ44" s="125"/>
      <c r="QA44" s="125"/>
      <c r="QB44" s="125"/>
      <c r="QC44" s="125"/>
      <c r="QD44" s="125"/>
      <c r="QE44" s="125"/>
      <c r="QF44" s="125"/>
      <c r="QG44" s="125"/>
      <c r="QH44" s="125"/>
      <c r="QI44" s="125"/>
      <c r="QJ44" s="125"/>
      <c r="QK44" s="125"/>
      <c r="QL44" s="125"/>
      <c r="QM44" s="125"/>
      <c r="QN44" s="125"/>
      <c r="QO44" s="125"/>
      <c r="QP44" s="125"/>
      <c r="QQ44" s="125"/>
      <c r="QR44" s="125"/>
      <c r="QS44" s="125"/>
      <c r="QT44" s="125"/>
      <c r="QU44" s="125"/>
      <c r="QV44" s="125"/>
      <c r="QW44" s="125"/>
      <c r="QX44" s="125"/>
      <c r="QY44" s="125"/>
      <c r="QZ44" s="125"/>
      <c r="RA44" s="125"/>
      <c r="RB44" s="125"/>
      <c r="RC44" s="125"/>
      <c r="RD44" s="125"/>
      <c r="RE44" s="125"/>
      <c r="RF44" s="125"/>
      <c r="RG44" s="24">
        <f t="shared" si="3"/>
        <v>11</v>
      </c>
      <c r="RH44" s="60" t="s">
        <v>36</v>
      </c>
      <c r="RI44" s="121">
        <v>798.13</v>
      </c>
      <c r="RJ44" s="77">
        <f>RM44+RN44</f>
        <v>798.13</v>
      </c>
      <c r="RK44" s="77">
        <v>481.79999999999995</v>
      </c>
      <c r="RL44" s="121">
        <f t="shared" si="4"/>
        <v>0</v>
      </c>
      <c r="RM44" s="145"/>
      <c r="RN44" s="145">
        <v>798.13</v>
      </c>
      <c r="RO44" s="145"/>
      <c r="RP44" s="104">
        <f t="shared" si="5"/>
        <v>1.6565587380655875</v>
      </c>
      <c r="RQ44" s="172" t="s">
        <v>601</v>
      </c>
    </row>
    <row r="45" spans="1:485" s="5" customFormat="1" ht="12.75" customHeight="1" x14ac:dyDescent="0.25">
      <c r="A45" s="61">
        <v>44972</v>
      </c>
      <c r="B45" s="165" t="s">
        <v>580</v>
      </c>
      <c r="C45" s="123"/>
      <c r="D45" s="123"/>
      <c r="E45" s="124"/>
      <c r="F45" s="124"/>
      <c r="G45" s="124"/>
      <c r="H45" s="124"/>
      <c r="I45" s="124"/>
      <c r="J45" s="124"/>
      <c r="K45" s="124"/>
      <c r="L45" s="124"/>
      <c r="M45" s="124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5"/>
      <c r="DR45" s="125"/>
      <c r="DS45" s="125"/>
      <c r="DT45" s="125"/>
      <c r="DU45" s="125"/>
      <c r="DV45" s="125"/>
      <c r="DW45" s="125"/>
      <c r="DX45" s="125"/>
      <c r="DY45" s="125"/>
      <c r="DZ45" s="125"/>
      <c r="EA45" s="125"/>
      <c r="EB45" s="125"/>
      <c r="EC45" s="125"/>
      <c r="ED45" s="125"/>
      <c r="EE45" s="125"/>
      <c r="EF45" s="125"/>
      <c r="EG45" s="125"/>
      <c r="EH45" s="125"/>
      <c r="EI45" s="125"/>
      <c r="EJ45" s="125"/>
      <c r="EK45" s="125"/>
      <c r="EL45" s="125"/>
      <c r="EM45" s="125"/>
      <c r="EN45" s="125"/>
      <c r="EO45" s="125"/>
      <c r="EP45" s="125"/>
      <c r="EQ45" s="125"/>
      <c r="ER45" s="125"/>
      <c r="ES45" s="125"/>
      <c r="ET45" s="125"/>
      <c r="EU45" s="125"/>
      <c r="EV45" s="125"/>
      <c r="EW45" s="125"/>
      <c r="EX45" s="125"/>
      <c r="EY45" s="125"/>
      <c r="EZ45" s="125"/>
      <c r="FA45" s="125"/>
      <c r="FB45" s="125"/>
      <c r="FC45" s="125"/>
      <c r="FD45" s="125"/>
      <c r="FE45" s="125"/>
      <c r="FF45" s="125"/>
      <c r="FG45" s="125"/>
      <c r="FH45" s="125"/>
      <c r="FI45" s="125"/>
      <c r="FJ45" s="125"/>
      <c r="FK45" s="125"/>
      <c r="FL45" s="125"/>
      <c r="FM45" s="125"/>
      <c r="FN45" s="125"/>
      <c r="FO45" s="125"/>
      <c r="FP45" s="125"/>
      <c r="FQ45" s="125"/>
      <c r="FR45" s="125"/>
      <c r="FS45" s="125"/>
      <c r="FT45" s="125"/>
      <c r="FU45" s="125"/>
      <c r="FV45" s="125"/>
      <c r="FW45" s="125"/>
      <c r="FX45" s="125"/>
      <c r="FY45" s="125"/>
      <c r="FZ45" s="125"/>
      <c r="GA45" s="125"/>
      <c r="GB45" s="125"/>
      <c r="GC45" s="125"/>
      <c r="GD45" s="125"/>
      <c r="GE45" s="125"/>
      <c r="GF45" s="125"/>
      <c r="GG45" s="125"/>
      <c r="GH45" s="125"/>
      <c r="GI45" s="125"/>
      <c r="GJ45" s="125"/>
      <c r="GK45" s="125"/>
      <c r="GL45" s="125"/>
      <c r="GM45" s="125"/>
      <c r="GN45" s="125"/>
      <c r="GO45" s="125"/>
      <c r="GP45" s="125"/>
      <c r="GQ45" s="125"/>
      <c r="GR45" s="125"/>
      <c r="GS45" s="125"/>
      <c r="GT45" s="125"/>
      <c r="GU45" s="125"/>
      <c r="GV45" s="125"/>
      <c r="GW45" s="125"/>
      <c r="GX45" s="125"/>
      <c r="GY45" s="125"/>
      <c r="GZ45" s="125"/>
      <c r="HA45" s="125"/>
      <c r="HB45" s="125"/>
      <c r="HC45" s="125"/>
      <c r="HD45" s="125"/>
      <c r="HE45" s="125"/>
      <c r="HF45" s="125"/>
      <c r="HG45" s="125"/>
      <c r="HH45" s="125"/>
      <c r="HI45" s="125"/>
      <c r="HJ45" s="125"/>
      <c r="HK45" s="125"/>
      <c r="HL45" s="125"/>
      <c r="HM45" s="125"/>
      <c r="HN45" s="125"/>
      <c r="HO45" s="125"/>
      <c r="HP45" s="125"/>
      <c r="HQ45" s="125"/>
      <c r="HR45" s="125"/>
      <c r="HS45" s="125"/>
      <c r="HT45" s="125"/>
      <c r="HU45" s="125"/>
      <c r="HV45" s="125"/>
      <c r="HW45" s="125"/>
      <c r="HX45" s="125"/>
      <c r="HY45" s="125"/>
      <c r="HZ45" s="125"/>
      <c r="IA45" s="125"/>
      <c r="IB45" s="125"/>
      <c r="IC45" s="125"/>
      <c r="ID45" s="125"/>
      <c r="IE45" s="125"/>
      <c r="IF45" s="125"/>
      <c r="IG45" s="125"/>
      <c r="IH45" s="125"/>
      <c r="II45" s="125"/>
      <c r="IJ45" s="125"/>
      <c r="IK45" s="125"/>
      <c r="IL45" s="125"/>
      <c r="IM45" s="125"/>
      <c r="IN45" s="125"/>
      <c r="IO45" s="125"/>
      <c r="IP45" s="125"/>
      <c r="IQ45" s="125"/>
      <c r="IR45" s="125"/>
      <c r="IS45" s="125"/>
      <c r="IT45" s="125"/>
      <c r="IU45" s="12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>
        <v>5</v>
      </c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  <c r="PV45" s="125"/>
      <c r="PW45" s="125"/>
      <c r="PX45" s="125"/>
      <c r="PY45" s="125"/>
      <c r="PZ45" s="125"/>
      <c r="QA45" s="125"/>
      <c r="QB45" s="125"/>
      <c r="QC45" s="125"/>
      <c r="QD45" s="125"/>
      <c r="QE45" s="125"/>
      <c r="QF45" s="125"/>
      <c r="QG45" s="125"/>
      <c r="QH45" s="125"/>
      <c r="QI45" s="125"/>
      <c r="QJ45" s="125"/>
      <c r="QK45" s="125"/>
      <c r="QL45" s="125"/>
      <c r="QM45" s="125"/>
      <c r="QN45" s="125"/>
      <c r="QO45" s="125"/>
      <c r="QP45" s="125"/>
      <c r="QQ45" s="125"/>
      <c r="QR45" s="125"/>
      <c r="QS45" s="125"/>
      <c r="QT45" s="125"/>
      <c r="QU45" s="125"/>
      <c r="QV45" s="125"/>
      <c r="QW45" s="125"/>
      <c r="QX45" s="125"/>
      <c r="QY45" s="125">
        <v>1.1000000000000001</v>
      </c>
      <c r="QZ45" s="125"/>
      <c r="RA45" s="125"/>
      <c r="RB45" s="125"/>
      <c r="RC45" s="125"/>
      <c r="RD45" s="125"/>
      <c r="RE45" s="125"/>
      <c r="RF45" s="125"/>
      <c r="RG45" s="24">
        <f t="shared" si="3"/>
        <v>6.1</v>
      </c>
      <c r="RH45" s="60" t="s">
        <v>69</v>
      </c>
      <c r="RI45" s="121">
        <v>674.87</v>
      </c>
      <c r="RJ45" s="77">
        <f>RM45+RN45</f>
        <v>674.87</v>
      </c>
      <c r="RK45" s="77">
        <v>429.00799999999998</v>
      </c>
      <c r="RL45" s="121">
        <f t="shared" si="4"/>
        <v>0</v>
      </c>
      <c r="RM45" s="145">
        <v>576</v>
      </c>
      <c r="RN45" s="145">
        <v>98.87</v>
      </c>
      <c r="RO45" s="145"/>
      <c r="RP45" s="104">
        <f t="shared" si="5"/>
        <v>1.5730942080334167</v>
      </c>
      <c r="RQ45" s="172" t="s">
        <v>569</v>
      </c>
    </row>
    <row r="46" spans="1:485" s="5" customFormat="1" ht="12.75" customHeight="1" x14ac:dyDescent="0.25">
      <c r="A46" s="61">
        <v>44972</v>
      </c>
      <c r="B46" s="112" t="s">
        <v>284</v>
      </c>
      <c r="C46" s="123"/>
      <c r="D46" s="123"/>
      <c r="E46" s="124"/>
      <c r="F46" s="124"/>
      <c r="G46" s="124"/>
      <c r="H46" s="124"/>
      <c r="I46" s="124"/>
      <c r="J46" s="124"/>
      <c r="K46" s="124"/>
      <c r="L46" s="124"/>
      <c r="M46" s="124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/>
      <c r="MJ46" s="125"/>
      <c r="MK46" s="125"/>
      <c r="ML46" s="125"/>
      <c r="MM46" s="125"/>
      <c r="MN46" s="125"/>
      <c r="MO46" s="125"/>
      <c r="MP46" s="125"/>
      <c r="MQ46" s="125"/>
      <c r="MR46" s="125"/>
      <c r="MS46" s="125">
        <v>1</v>
      </c>
      <c r="MT46" s="125"/>
      <c r="MU46" s="125"/>
      <c r="MV46" s="125"/>
      <c r="MW46" s="125"/>
      <c r="MX46" s="125"/>
      <c r="MY46" s="125"/>
      <c r="MZ46" s="125"/>
      <c r="NA46" s="125"/>
      <c r="NB46" s="125"/>
      <c r="NC46" s="125"/>
      <c r="ND46" s="125"/>
      <c r="NE46" s="125"/>
      <c r="NF46" s="125"/>
      <c r="NG46" s="125"/>
      <c r="NH46" s="125"/>
      <c r="NI46" s="125"/>
      <c r="NJ46" s="125"/>
      <c r="NK46" s="125"/>
      <c r="NL46" s="125"/>
      <c r="NM46" s="125"/>
      <c r="NN46" s="125"/>
      <c r="NO46" s="125"/>
      <c r="NP46" s="125"/>
      <c r="NQ46" s="125"/>
      <c r="NR46" s="125"/>
      <c r="NS46" s="125"/>
      <c r="NT46" s="125"/>
      <c r="NU46" s="125"/>
      <c r="NV46" s="125"/>
      <c r="NW46" s="125"/>
      <c r="NX46" s="125"/>
      <c r="NY46" s="125"/>
      <c r="NZ46" s="125"/>
      <c r="OA46" s="125"/>
      <c r="OB46" s="125"/>
      <c r="OC46" s="125"/>
      <c r="OD46" s="125"/>
      <c r="OE46" s="125"/>
      <c r="OF46" s="125"/>
      <c r="OG46" s="125"/>
      <c r="OH46" s="125"/>
      <c r="OI46" s="125"/>
      <c r="OJ46" s="125"/>
      <c r="OK46" s="125"/>
      <c r="OL46" s="125"/>
      <c r="OM46" s="125"/>
      <c r="ON46" s="125"/>
      <c r="OO46" s="125"/>
      <c r="OP46" s="125"/>
      <c r="OQ46" s="125"/>
      <c r="OR46" s="125"/>
      <c r="OS46" s="125"/>
      <c r="OT46" s="125"/>
      <c r="OU46" s="125"/>
      <c r="OV46" s="125"/>
      <c r="OW46" s="125"/>
      <c r="OX46" s="125"/>
      <c r="OY46" s="125"/>
      <c r="OZ46" s="125"/>
      <c r="PA46" s="125"/>
      <c r="PB46" s="125"/>
      <c r="PC46" s="125"/>
      <c r="PD46" s="125"/>
      <c r="PE46" s="125"/>
      <c r="PF46" s="125"/>
      <c r="PG46" s="125"/>
      <c r="PH46" s="125"/>
      <c r="PI46" s="125"/>
      <c r="PJ46" s="125"/>
      <c r="PK46" s="125"/>
      <c r="PL46" s="125"/>
      <c r="PM46" s="125"/>
      <c r="PN46" s="125"/>
      <c r="PO46" s="125"/>
      <c r="PP46" s="125"/>
      <c r="PQ46" s="125"/>
      <c r="PR46" s="125"/>
      <c r="PS46" s="125"/>
      <c r="PT46" s="125"/>
      <c r="PU46" s="125"/>
      <c r="PV46" s="125"/>
      <c r="PW46" s="125"/>
      <c r="PX46" s="125"/>
      <c r="PY46" s="125"/>
      <c r="PZ46" s="125"/>
      <c r="QA46" s="125"/>
      <c r="QB46" s="125"/>
      <c r="QC46" s="125"/>
      <c r="QD46" s="125"/>
      <c r="QE46" s="125"/>
      <c r="QF46" s="125"/>
      <c r="QG46" s="125"/>
      <c r="QH46" s="125"/>
      <c r="QI46" s="125"/>
      <c r="QJ46" s="125"/>
      <c r="QK46" s="125"/>
      <c r="QL46" s="125"/>
      <c r="QM46" s="125"/>
      <c r="QN46" s="125"/>
      <c r="QO46" s="125"/>
      <c r="QP46" s="125"/>
      <c r="QQ46" s="125"/>
      <c r="QR46" s="125"/>
      <c r="QS46" s="125"/>
      <c r="QT46" s="125"/>
      <c r="QU46" s="125"/>
      <c r="QV46" s="125"/>
      <c r="QW46" s="125"/>
      <c r="QX46" s="125"/>
      <c r="QY46" s="125"/>
      <c r="QZ46" s="125"/>
      <c r="RA46" s="125"/>
      <c r="RB46" s="125"/>
      <c r="RC46" s="125"/>
      <c r="RD46" s="125"/>
      <c r="RE46" s="125"/>
      <c r="RF46" s="125"/>
      <c r="RG46" s="24">
        <f t="shared" si="3"/>
        <v>1</v>
      </c>
      <c r="RH46" s="60" t="s">
        <v>69</v>
      </c>
      <c r="RI46" s="121">
        <v>54.6</v>
      </c>
      <c r="RJ46" s="77">
        <f>RM46+RN46</f>
        <v>54.6</v>
      </c>
      <c r="RK46" s="77">
        <v>40.22</v>
      </c>
      <c r="RL46" s="121">
        <f t="shared" si="4"/>
        <v>0</v>
      </c>
      <c r="RM46" s="145"/>
      <c r="RN46" s="145">
        <v>54.6</v>
      </c>
      <c r="RO46" s="145"/>
      <c r="RP46" s="104">
        <f t="shared" si="5"/>
        <v>1.3575335653903531</v>
      </c>
      <c r="RQ46" s="172"/>
    </row>
    <row r="47" spans="1:485" s="5" customFormat="1" ht="12.75" customHeight="1" x14ac:dyDescent="0.25">
      <c r="A47" s="61">
        <v>44972</v>
      </c>
      <c r="B47" s="165" t="s">
        <v>123</v>
      </c>
      <c r="C47" s="123"/>
      <c r="D47" s="123"/>
      <c r="E47" s="124"/>
      <c r="F47" s="124"/>
      <c r="G47" s="124"/>
      <c r="H47" s="124"/>
      <c r="I47" s="124"/>
      <c r="J47" s="124"/>
      <c r="K47" s="124"/>
      <c r="L47" s="124"/>
      <c r="M47" s="124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>
        <v>20</v>
      </c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25"/>
      <c r="JP47" s="125"/>
      <c r="JQ47" s="125"/>
      <c r="JR47" s="125"/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125"/>
      <c r="KJ47" s="125"/>
      <c r="KK47" s="125"/>
      <c r="KL47" s="125"/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/>
      <c r="LZ47" s="125"/>
      <c r="MA47" s="125"/>
      <c r="MB47" s="125"/>
      <c r="MC47" s="125"/>
      <c r="MD47" s="125"/>
      <c r="ME47" s="125"/>
      <c r="MF47" s="125"/>
      <c r="MG47" s="125"/>
      <c r="MH47" s="125"/>
      <c r="MI47" s="125"/>
      <c r="MJ47" s="125"/>
      <c r="MK47" s="125"/>
      <c r="ML47" s="125"/>
      <c r="MM47" s="125"/>
      <c r="MN47" s="125"/>
      <c r="MO47" s="125"/>
      <c r="MP47" s="125"/>
      <c r="MQ47" s="125"/>
      <c r="MR47" s="125"/>
      <c r="MS47" s="125"/>
      <c r="MT47" s="125"/>
      <c r="MU47" s="125"/>
      <c r="MV47" s="125"/>
      <c r="MW47" s="125"/>
      <c r="MX47" s="125"/>
      <c r="MY47" s="125"/>
      <c r="MZ47" s="125"/>
      <c r="NA47" s="125"/>
      <c r="NB47" s="125"/>
      <c r="NC47" s="125"/>
      <c r="ND47" s="125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5"/>
      <c r="NQ47" s="125"/>
      <c r="NR47" s="125"/>
      <c r="NS47" s="125"/>
      <c r="NT47" s="125"/>
      <c r="NU47" s="125"/>
      <c r="NV47" s="125"/>
      <c r="NW47" s="125"/>
      <c r="NX47" s="125"/>
      <c r="NY47" s="125"/>
      <c r="NZ47" s="125"/>
      <c r="OA47" s="125"/>
      <c r="OB47" s="125"/>
      <c r="OC47" s="125"/>
      <c r="OD47" s="125"/>
      <c r="OE47" s="125"/>
      <c r="OF47" s="125"/>
      <c r="OG47" s="125"/>
      <c r="OH47" s="125"/>
      <c r="OI47" s="125"/>
      <c r="OJ47" s="125"/>
      <c r="OK47" s="125"/>
      <c r="OL47" s="125"/>
      <c r="OM47" s="125"/>
      <c r="ON47" s="125"/>
      <c r="OO47" s="125"/>
      <c r="OP47" s="125"/>
      <c r="OQ47" s="125"/>
      <c r="OR47" s="125"/>
      <c r="OS47" s="125"/>
      <c r="OT47" s="125"/>
      <c r="OU47" s="125"/>
      <c r="OV47" s="125"/>
      <c r="OW47" s="125"/>
      <c r="OX47" s="125"/>
      <c r="OY47" s="125"/>
      <c r="OZ47" s="125"/>
      <c r="PA47" s="125"/>
      <c r="PB47" s="125"/>
      <c r="PC47" s="125"/>
      <c r="PD47" s="125"/>
      <c r="PE47" s="125"/>
      <c r="PF47" s="125"/>
      <c r="PG47" s="125"/>
      <c r="PH47" s="125"/>
      <c r="PI47" s="125"/>
      <c r="PJ47" s="125"/>
      <c r="PK47" s="125"/>
      <c r="PL47" s="125"/>
      <c r="PM47" s="125"/>
      <c r="PN47" s="125"/>
      <c r="PO47" s="125"/>
      <c r="PP47" s="125"/>
      <c r="PQ47" s="125"/>
      <c r="PR47" s="125"/>
      <c r="PS47" s="125"/>
      <c r="PT47" s="125"/>
      <c r="PU47" s="125"/>
      <c r="PV47" s="125"/>
      <c r="PW47" s="125"/>
      <c r="PX47" s="125"/>
      <c r="PY47" s="125"/>
      <c r="PZ47" s="125"/>
      <c r="QA47" s="125"/>
      <c r="QB47" s="125"/>
      <c r="QC47" s="125"/>
      <c r="QD47" s="125"/>
      <c r="QE47" s="125"/>
      <c r="QF47" s="125"/>
      <c r="QG47" s="125"/>
      <c r="QH47" s="125"/>
      <c r="QI47" s="125"/>
      <c r="QJ47" s="125"/>
      <c r="QK47" s="125"/>
      <c r="QL47" s="125"/>
      <c r="QM47" s="125"/>
      <c r="QN47" s="125"/>
      <c r="QO47" s="125"/>
      <c r="QP47" s="125"/>
      <c r="QQ47" s="125"/>
      <c r="QR47" s="125"/>
      <c r="QS47" s="125"/>
      <c r="QT47" s="125"/>
      <c r="QU47" s="125"/>
      <c r="QV47" s="125"/>
      <c r="QW47" s="125"/>
      <c r="QX47" s="125"/>
      <c r="QY47" s="125"/>
      <c r="QZ47" s="125"/>
      <c r="RA47" s="125"/>
      <c r="RB47" s="125"/>
      <c r="RC47" s="125"/>
      <c r="RD47" s="125"/>
      <c r="RE47" s="125"/>
      <c r="RF47" s="125"/>
      <c r="RG47" s="24">
        <f t="shared" si="3"/>
        <v>20</v>
      </c>
      <c r="RH47" s="60" t="s">
        <v>36</v>
      </c>
      <c r="RI47" s="121">
        <v>1145.52</v>
      </c>
      <c r="RJ47" s="77">
        <f>RM47+RN47+RO47</f>
        <v>0</v>
      </c>
      <c r="RK47" s="77">
        <v>672.4</v>
      </c>
      <c r="RL47" s="121">
        <f t="shared" si="4"/>
        <v>1145.52</v>
      </c>
      <c r="RM47" s="145"/>
      <c r="RN47" s="145"/>
      <c r="RO47" s="145"/>
      <c r="RP47" s="104">
        <f t="shared" si="5"/>
        <v>1.7036287923854849</v>
      </c>
      <c r="RQ47" s="172" t="s">
        <v>571</v>
      </c>
    </row>
    <row r="48" spans="1:485" s="5" customFormat="1" ht="12.75" customHeight="1" x14ac:dyDescent="0.25">
      <c r="A48" s="61">
        <v>44973</v>
      </c>
      <c r="B48" s="165" t="s">
        <v>595</v>
      </c>
      <c r="C48" s="123"/>
      <c r="D48" s="123"/>
      <c r="E48" s="124"/>
      <c r="F48" s="124"/>
      <c r="G48" s="124"/>
      <c r="H48" s="124"/>
      <c r="I48" s="124"/>
      <c r="J48" s="124"/>
      <c r="K48" s="124"/>
      <c r="L48" s="124"/>
      <c r="M48" s="124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>
        <v>2</v>
      </c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>
        <v>6</v>
      </c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>
        <v>6</v>
      </c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>
        <v>4</v>
      </c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/>
      <c r="LJ48" s="125"/>
      <c r="LK48" s="125"/>
      <c r="LL48" s="125"/>
      <c r="LM48" s="125"/>
      <c r="LN48" s="125"/>
      <c r="LO48" s="125"/>
      <c r="LP48" s="125"/>
      <c r="LQ48" s="125"/>
      <c r="LR48" s="125"/>
      <c r="LS48" s="125"/>
      <c r="LT48" s="125"/>
      <c r="LU48" s="125"/>
      <c r="LV48" s="125"/>
      <c r="LW48" s="125"/>
      <c r="LX48" s="125"/>
      <c r="LY48" s="125"/>
      <c r="LZ48" s="125"/>
      <c r="MA48" s="125"/>
      <c r="MB48" s="125"/>
      <c r="MC48" s="125"/>
      <c r="MD48" s="125"/>
      <c r="ME48" s="125"/>
      <c r="MF48" s="125"/>
      <c r="MG48" s="125"/>
      <c r="MH48" s="125"/>
      <c r="MI48" s="125"/>
      <c r="MJ48" s="125"/>
      <c r="MK48" s="125"/>
      <c r="ML48" s="125"/>
      <c r="MM48" s="125"/>
      <c r="MN48" s="125"/>
      <c r="MO48" s="125"/>
      <c r="MP48" s="125"/>
      <c r="MQ48" s="125"/>
      <c r="MR48" s="125"/>
      <c r="MS48" s="125"/>
      <c r="MT48" s="125"/>
      <c r="MU48" s="125"/>
      <c r="MV48" s="125"/>
      <c r="MW48" s="125"/>
      <c r="MX48" s="125"/>
      <c r="MY48" s="125"/>
      <c r="MZ48" s="125"/>
      <c r="NA48" s="125"/>
      <c r="NB48" s="125"/>
      <c r="NC48" s="125"/>
      <c r="ND48" s="125"/>
      <c r="NE48" s="125"/>
      <c r="NF48" s="125"/>
      <c r="NG48" s="125"/>
      <c r="NH48" s="125"/>
      <c r="NI48" s="125"/>
      <c r="NJ48" s="125"/>
      <c r="NK48" s="125"/>
      <c r="NL48" s="125"/>
      <c r="NM48" s="125"/>
      <c r="NN48" s="125"/>
      <c r="NO48" s="125"/>
      <c r="NP48" s="125"/>
      <c r="NQ48" s="125"/>
      <c r="NR48" s="125"/>
      <c r="NS48" s="125"/>
      <c r="NT48" s="125"/>
      <c r="NU48" s="125"/>
      <c r="NV48" s="125"/>
      <c r="NW48" s="125"/>
      <c r="NX48" s="125"/>
      <c r="NY48" s="125"/>
      <c r="NZ48" s="125"/>
      <c r="OA48" s="125"/>
      <c r="OB48" s="125"/>
      <c r="OC48" s="125"/>
      <c r="OD48" s="125"/>
      <c r="OE48" s="125"/>
      <c r="OF48" s="125"/>
      <c r="OG48" s="125"/>
      <c r="OH48" s="125"/>
      <c r="OI48" s="125"/>
      <c r="OJ48" s="125"/>
      <c r="OK48" s="125"/>
      <c r="OL48" s="125"/>
      <c r="OM48" s="125"/>
      <c r="ON48" s="125"/>
      <c r="OO48" s="125"/>
      <c r="OP48" s="125"/>
      <c r="OQ48" s="125"/>
      <c r="OR48" s="125"/>
      <c r="OS48" s="125"/>
      <c r="OT48" s="125"/>
      <c r="OU48" s="125"/>
      <c r="OV48" s="125"/>
      <c r="OW48" s="125"/>
      <c r="OX48" s="125"/>
      <c r="OY48" s="125"/>
      <c r="OZ48" s="125"/>
      <c r="PA48" s="125"/>
      <c r="PB48" s="125"/>
      <c r="PC48" s="125"/>
      <c r="PD48" s="125"/>
      <c r="PE48" s="125"/>
      <c r="PF48" s="125"/>
      <c r="PG48" s="125"/>
      <c r="PH48" s="125"/>
      <c r="PI48" s="125"/>
      <c r="PJ48" s="125"/>
      <c r="PK48" s="125"/>
      <c r="PL48" s="125"/>
      <c r="PM48" s="125"/>
      <c r="PN48" s="125"/>
      <c r="PO48" s="125"/>
      <c r="PP48" s="125"/>
      <c r="PQ48" s="125"/>
      <c r="PR48" s="125"/>
      <c r="PS48" s="125"/>
      <c r="PT48" s="125"/>
      <c r="PU48" s="125"/>
      <c r="PV48" s="125"/>
      <c r="PW48" s="125"/>
      <c r="PX48" s="125"/>
      <c r="PY48" s="125"/>
      <c r="PZ48" s="125"/>
      <c r="QA48" s="125"/>
      <c r="QB48" s="125"/>
      <c r="QC48" s="125"/>
      <c r="QD48" s="125"/>
      <c r="QE48" s="125"/>
      <c r="QF48" s="125"/>
      <c r="QG48" s="125"/>
      <c r="QH48" s="125"/>
      <c r="QI48" s="125"/>
      <c r="QJ48" s="125"/>
      <c r="QK48" s="125"/>
      <c r="QL48" s="125"/>
      <c r="QM48" s="125"/>
      <c r="QN48" s="125"/>
      <c r="QO48" s="125"/>
      <c r="QP48" s="125"/>
      <c r="QQ48" s="125"/>
      <c r="QR48" s="125"/>
      <c r="QS48" s="125"/>
      <c r="QT48" s="125"/>
      <c r="QU48" s="125"/>
      <c r="QV48" s="125"/>
      <c r="QW48" s="125"/>
      <c r="QX48" s="125"/>
      <c r="QY48" s="125"/>
      <c r="QZ48" s="125"/>
      <c r="RA48" s="125"/>
      <c r="RB48" s="125"/>
      <c r="RC48" s="125"/>
      <c r="RD48" s="125"/>
      <c r="RE48" s="125"/>
      <c r="RF48" s="125"/>
      <c r="RG48" s="24">
        <f t="shared" si="3"/>
        <v>18</v>
      </c>
      <c r="RH48" s="60" t="s">
        <v>36</v>
      </c>
      <c r="RI48" s="121">
        <v>1471.2</v>
      </c>
      <c r="RJ48" s="77">
        <f>RM48+RN48</f>
        <v>1471.2</v>
      </c>
      <c r="RK48" s="77">
        <v>787.43999999999994</v>
      </c>
      <c r="RL48" s="121">
        <f t="shared" si="4"/>
        <v>0</v>
      </c>
      <c r="RM48" s="145"/>
      <c r="RN48" s="145">
        <v>1471.2</v>
      </c>
      <c r="RO48" s="145"/>
      <c r="RP48" s="104">
        <f t="shared" si="5"/>
        <v>1.8683328253581226</v>
      </c>
      <c r="RQ48" s="172"/>
    </row>
    <row r="49" spans="1:485" s="5" customFormat="1" ht="12.75" customHeight="1" x14ac:dyDescent="0.25">
      <c r="A49" s="61">
        <v>44973</v>
      </c>
      <c r="B49" s="112" t="s">
        <v>196</v>
      </c>
      <c r="C49" s="123"/>
      <c r="D49" s="123"/>
      <c r="E49" s="124"/>
      <c r="F49" s="124"/>
      <c r="G49" s="124"/>
      <c r="H49" s="124"/>
      <c r="I49" s="124"/>
      <c r="J49" s="124"/>
      <c r="K49" s="124"/>
      <c r="L49" s="124"/>
      <c r="M49" s="124"/>
      <c r="N49" s="125"/>
      <c r="O49" s="125"/>
      <c r="P49" s="125"/>
      <c r="Q49" s="125"/>
      <c r="R49" s="125">
        <v>30</v>
      </c>
      <c r="S49" s="125"/>
      <c r="T49" s="125"/>
      <c r="U49" s="125"/>
      <c r="V49" s="125"/>
      <c r="W49" s="125"/>
      <c r="X49" s="125"/>
      <c r="Y49" s="125"/>
      <c r="Z49" s="125"/>
      <c r="AA49" s="125"/>
      <c r="AB49" s="125">
        <v>18</v>
      </c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>
        <v>40</v>
      </c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>
        <v>16</v>
      </c>
      <c r="FO49" s="125"/>
      <c r="FP49" s="125"/>
      <c r="FQ49" s="125"/>
      <c r="FR49" s="125"/>
      <c r="FS49" s="125"/>
      <c r="FT49" s="125"/>
      <c r="FU49" s="125"/>
      <c r="FV49" s="125"/>
      <c r="FW49" s="125">
        <v>10</v>
      </c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>
        <v>70</v>
      </c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/>
      <c r="NC49" s="125"/>
      <c r="ND49" s="125"/>
      <c r="NE49" s="125"/>
      <c r="NF49" s="125"/>
      <c r="NG49" s="125"/>
      <c r="NH49" s="125"/>
      <c r="NI49" s="125"/>
      <c r="NJ49" s="125"/>
      <c r="NK49" s="125"/>
      <c r="NL49" s="125"/>
      <c r="NM49" s="125"/>
      <c r="NN49" s="125"/>
      <c r="NO49" s="125"/>
      <c r="NP49" s="125"/>
      <c r="NQ49" s="125"/>
      <c r="NR49" s="125"/>
      <c r="NS49" s="125"/>
      <c r="NT49" s="125"/>
      <c r="NU49" s="125"/>
      <c r="NV49" s="125"/>
      <c r="NW49" s="125"/>
      <c r="NX49" s="125"/>
      <c r="NY49" s="125"/>
      <c r="NZ49" s="125"/>
      <c r="OA49" s="125"/>
      <c r="OB49" s="125"/>
      <c r="OC49" s="125"/>
      <c r="OD49" s="125"/>
      <c r="OE49" s="125"/>
      <c r="OF49" s="125"/>
      <c r="OG49" s="125"/>
      <c r="OH49" s="125"/>
      <c r="OI49" s="125"/>
      <c r="OJ49" s="125"/>
      <c r="OK49" s="125"/>
      <c r="OL49" s="125"/>
      <c r="OM49" s="125"/>
      <c r="ON49" s="125"/>
      <c r="OO49" s="125"/>
      <c r="OP49" s="125"/>
      <c r="OQ49" s="125"/>
      <c r="OR49" s="125"/>
      <c r="OS49" s="125"/>
      <c r="OT49" s="125"/>
      <c r="OU49" s="125"/>
      <c r="OV49" s="125"/>
      <c r="OW49" s="125"/>
      <c r="OX49" s="125"/>
      <c r="OY49" s="125"/>
      <c r="OZ49" s="125"/>
      <c r="PA49" s="125"/>
      <c r="PB49" s="125"/>
      <c r="PC49" s="125"/>
      <c r="PD49" s="125"/>
      <c r="PE49" s="125"/>
      <c r="PF49" s="125"/>
      <c r="PG49" s="125"/>
      <c r="PH49" s="125"/>
      <c r="PI49" s="125"/>
      <c r="PJ49" s="125"/>
      <c r="PK49" s="125"/>
      <c r="PL49" s="125"/>
      <c r="PM49" s="125"/>
      <c r="PN49" s="125"/>
      <c r="PO49" s="125"/>
      <c r="PP49" s="125"/>
      <c r="PQ49" s="125"/>
      <c r="PR49" s="125"/>
      <c r="PS49" s="125"/>
      <c r="PT49" s="125"/>
      <c r="PU49" s="125"/>
      <c r="PV49" s="125"/>
      <c r="PW49" s="125"/>
      <c r="PX49" s="125"/>
      <c r="PY49" s="125"/>
      <c r="PZ49" s="125"/>
      <c r="QA49" s="125"/>
      <c r="QB49" s="125"/>
      <c r="QC49" s="125"/>
      <c r="QD49" s="125"/>
      <c r="QE49" s="125"/>
      <c r="QF49" s="125"/>
      <c r="QG49" s="125"/>
      <c r="QH49" s="125"/>
      <c r="QI49" s="125"/>
      <c r="QJ49" s="125"/>
      <c r="QK49" s="125"/>
      <c r="QL49" s="125"/>
      <c r="QM49" s="125"/>
      <c r="QN49" s="125"/>
      <c r="QO49" s="125"/>
      <c r="QP49" s="125"/>
      <c r="QQ49" s="125"/>
      <c r="QR49" s="125"/>
      <c r="QS49" s="125"/>
      <c r="QT49" s="125"/>
      <c r="QU49" s="125"/>
      <c r="QV49" s="125"/>
      <c r="QW49" s="125"/>
      <c r="QX49" s="125"/>
      <c r="QY49" s="125"/>
      <c r="QZ49" s="125"/>
      <c r="RA49" s="125"/>
      <c r="RB49" s="125"/>
      <c r="RC49" s="125"/>
      <c r="RD49" s="125"/>
      <c r="RE49" s="125"/>
      <c r="RF49" s="125"/>
      <c r="RG49" s="24">
        <f t="shared" si="3"/>
        <v>184</v>
      </c>
      <c r="RH49" s="60" t="s">
        <v>36</v>
      </c>
      <c r="RI49" s="121">
        <v>11619.53</v>
      </c>
      <c r="RJ49" s="77">
        <f>RM49+RN49+RO49</f>
        <v>0</v>
      </c>
      <c r="RK49" s="77">
        <v>7119.7200000000012</v>
      </c>
      <c r="RL49" s="121">
        <f t="shared" si="4"/>
        <v>11619.53</v>
      </c>
      <c r="RM49" s="145"/>
      <c r="RN49" s="145"/>
      <c r="RO49" s="145"/>
      <c r="RP49" s="104">
        <f t="shared" si="5"/>
        <v>1.6320206412611731</v>
      </c>
      <c r="RQ49" s="172" t="s">
        <v>600</v>
      </c>
    </row>
    <row r="50" spans="1:485" s="5" customFormat="1" ht="12.75" customHeight="1" x14ac:dyDescent="0.25">
      <c r="A50" s="61">
        <v>44973</v>
      </c>
      <c r="B50" s="165" t="s">
        <v>597</v>
      </c>
      <c r="C50" s="123"/>
      <c r="D50" s="123"/>
      <c r="E50" s="124"/>
      <c r="F50" s="124"/>
      <c r="G50" s="124"/>
      <c r="H50" s="124"/>
      <c r="I50" s="124"/>
      <c r="J50" s="124"/>
      <c r="K50" s="124"/>
      <c r="L50" s="124"/>
      <c r="M50" s="124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>
        <v>10</v>
      </c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/>
      <c r="MQ50" s="125"/>
      <c r="MR50" s="125"/>
      <c r="MS50" s="125"/>
      <c r="MT50" s="125"/>
      <c r="MU50" s="125"/>
      <c r="MV50" s="125"/>
      <c r="MW50" s="125"/>
      <c r="MX50" s="125"/>
      <c r="MY50" s="125"/>
      <c r="MZ50" s="125"/>
      <c r="NA50" s="125"/>
      <c r="NB50" s="125"/>
      <c r="NC50" s="125"/>
      <c r="ND50" s="125"/>
      <c r="NE50" s="125"/>
      <c r="NF50" s="125"/>
      <c r="NG50" s="125"/>
      <c r="NH50" s="125"/>
      <c r="NI50" s="125"/>
      <c r="NJ50" s="125"/>
      <c r="NK50" s="125"/>
      <c r="NL50" s="125"/>
      <c r="NM50" s="125"/>
      <c r="NN50" s="125"/>
      <c r="NO50" s="125"/>
      <c r="NP50" s="125"/>
      <c r="NQ50" s="125"/>
      <c r="NR50" s="125"/>
      <c r="NS50" s="125"/>
      <c r="NT50" s="125"/>
      <c r="NU50" s="125"/>
      <c r="NV50" s="125"/>
      <c r="NW50" s="125"/>
      <c r="NX50" s="125"/>
      <c r="NY50" s="125"/>
      <c r="NZ50" s="125"/>
      <c r="OA50" s="125"/>
      <c r="OB50" s="125"/>
      <c r="OC50" s="125"/>
      <c r="OD50" s="125"/>
      <c r="OE50" s="125"/>
      <c r="OF50" s="125"/>
      <c r="OG50" s="125"/>
      <c r="OH50" s="125"/>
      <c r="OI50" s="125"/>
      <c r="OJ50" s="125"/>
      <c r="OK50" s="125"/>
      <c r="OL50" s="125"/>
      <c r="OM50" s="125"/>
      <c r="ON50" s="125"/>
      <c r="OO50" s="125"/>
      <c r="OP50" s="125"/>
      <c r="OQ50" s="125"/>
      <c r="OR50" s="125"/>
      <c r="OS50" s="125"/>
      <c r="OT50" s="125"/>
      <c r="OU50" s="125"/>
      <c r="OV50" s="125"/>
      <c r="OW50" s="125"/>
      <c r="OX50" s="125"/>
      <c r="OY50" s="125"/>
      <c r="OZ50" s="125"/>
      <c r="PA50" s="125"/>
      <c r="PB50" s="125"/>
      <c r="PC50" s="125"/>
      <c r="PD50" s="125"/>
      <c r="PE50" s="125"/>
      <c r="PF50" s="125"/>
      <c r="PG50" s="125"/>
      <c r="PH50" s="125"/>
      <c r="PI50" s="125"/>
      <c r="PJ50" s="125"/>
      <c r="PK50" s="125"/>
      <c r="PL50" s="125"/>
      <c r="PM50" s="125"/>
      <c r="PN50" s="125"/>
      <c r="PO50" s="125"/>
      <c r="PP50" s="125"/>
      <c r="PQ50" s="125"/>
      <c r="PR50" s="125"/>
      <c r="PS50" s="125"/>
      <c r="PT50" s="125"/>
      <c r="PU50" s="125"/>
      <c r="PV50" s="125"/>
      <c r="PW50" s="125"/>
      <c r="PX50" s="125"/>
      <c r="PY50" s="125"/>
      <c r="PZ50" s="125"/>
      <c r="QA50" s="125"/>
      <c r="QB50" s="125"/>
      <c r="QC50" s="125"/>
      <c r="QD50" s="125"/>
      <c r="QE50" s="125"/>
      <c r="QF50" s="125"/>
      <c r="QG50" s="125"/>
      <c r="QH50" s="125"/>
      <c r="QI50" s="125"/>
      <c r="QJ50" s="125"/>
      <c r="QK50" s="125"/>
      <c r="QL50" s="125"/>
      <c r="QM50" s="125"/>
      <c r="QN50" s="125"/>
      <c r="QO50" s="125"/>
      <c r="QP50" s="125"/>
      <c r="QQ50" s="125"/>
      <c r="QR50" s="125"/>
      <c r="QS50" s="125"/>
      <c r="QT50" s="125"/>
      <c r="QU50" s="125"/>
      <c r="QV50" s="125"/>
      <c r="QW50" s="125"/>
      <c r="QX50" s="125"/>
      <c r="QY50" s="125"/>
      <c r="QZ50" s="125"/>
      <c r="RA50" s="125"/>
      <c r="RB50" s="125"/>
      <c r="RC50" s="125"/>
      <c r="RD50" s="125"/>
      <c r="RE50" s="125"/>
      <c r="RF50" s="125"/>
      <c r="RG50" s="24">
        <f t="shared" si="3"/>
        <v>10</v>
      </c>
      <c r="RH50" s="60" t="s">
        <v>36</v>
      </c>
      <c r="RI50" s="121">
        <v>711.6</v>
      </c>
      <c r="RJ50" s="77">
        <f>RM50+RN50</f>
        <v>711.6</v>
      </c>
      <c r="RK50" s="77">
        <v>398.1</v>
      </c>
      <c r="RL50" s="121">
        <f t="shared" si="4"/>
        <v>0</v>
      </c>
      <c r="RM50" s="145"/>
      <c r="RN50" s="145">
        <v>711.6</v>
      </c>
      <c r="RO50" s="145"/>
      <c r="RP50" s="104">
        <f t="shared" si="5"/>
        <v>1.7874905802562169</v>
      </c>
      <c r="RQ50" s="172"/>
    </row>
    <row r="51" spans="1:485" s="5" customFormat="1" ht="12.75" customHeight="1" x14ac:dyDescent="0.25">
      <c r="A51" s="61">
        <v>44973</v>
      </c>
      <c r="B51" s="102" t="s">
        <v>565</v>
      </c>
      <c r="C51" s="123"/>
      <c r="D51" s="123"/>
      <c r="E51" s="124"/>
      <c r="F51" s="124"/>
      <c r="G51" s="124"/>
      <c r="H51" s="124"/>
      <c r="I51" s="124"/>
      <c r="J51" s="124"/>
      <c r="K51" s="124"/>
      <c r="L51" s="124"/>
      <c r="M51" s="124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5"/>
      <c r="BG51" s="125"/>
      <c r="BH51" s="125"/>
      <c r="BI51" s="125"/>
      <c r="BJ51" s="125"/>
      <c r="BK51" s="125"/>
      <c r="BL51" s="125"/>
      <c r="BM51" s="125"/>
      <c r="BN51" s="125"/>
      <c r="BO51" s="125"/>
      <c r="BP51" s="125"/>
      <c r="BQ51" s="125"/>
      <c r="BR51" s="125"/>
      <c r="BS51" s="125"/>
      <c r="BT51" s="125"/>
      <c r="BU51" s="125"/>
      <c r="BV51" s="125"/>
      <c r="BW51" s="125"/>
      <c r="BX51" s="125"/>
      <c r="BY51" s="125"/>
      <c r="BZ51" s="125"/>
      <c r="CA51" s="125"/>
      <c r="CB51" s="125"/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  <c r="CY51" s="125"/>
      <c r="CZ51" s="125"/>
      <c r="DA51" s="125"/>
      <c r="DB51" s="125"/>
      <c r="DC51" s="125"/>
      <c r="DD51" s="125"/>
      <c r="DE51" s="125"/>
      <c r="DF51" s="125"/>
      <c r="DG51" s="125"/>
      <c r="DH51" s="125"/>
      <c r="DI51" s="125"/>
      <c r="DJ51" s="125"/>
      <c r="DK51" s="125"/>
      <c r="DL51" s="125"/>
      <c r="DM51" s="125"/>
      <c r="DN51" s="125"/>
      <c r="DO51" s="125"/>
      <c r="DP51" s="125"/>
      <c r="DQ51" s="125"/>
      <c r="DR51" s="125"/>
      <c r="DS51" s="125"/>
      <c r="DT51" s="125"/>
      <c r="DU51" s="125"/>
      <c r="DV51" s="125"/>
      <c r="DW51" s="125"/>
      <c r="DX51" s="125"/>
      <c r="DY51" s="125"/>
      <c r="DZ51" s="125"/>
      <c r="EA51" s="125"/>
      <c r="EB51" s="125"/>
      <c r="EC51" s="125"/>
      <c r="ED51" s="125"/>
      <c r="EE51" s="125"/>
      <c r="EF51" s="125"/>
      <c r="EG51" s="125"/>
      <c r="EH51" s="125"/>
      <c r="EI51" s="125"/>
      <c r="EJ51" s="125"/>
      <c r="EK51" s="125"/>
      <c r="EL51" s="125"/>
      <c r="EM51" s="125"/>
      <c r="EN51" s="125"/>
      <c r="EO51" s="125"/>
      <c r="EP51" s="125"/>
      <c r="EQ51" s="125"/>
      <c r="ER51" s="125"/>
      <c r="ES51" s="125"/>
      <c r="ET51" s="125"/>
      <c r="EU51" s="125"/>
      <c r="EV51" s="125"/>
      <c r="EW51" s="125"/>
      <c r="EX51" s="125"/>
      <c r="EY51" s="125"/>
      <c r="EZ51" s="125"/>
      <c r="FA51" s="125"/>
      <c r="FB51" s="125">
        <v>10</v>
      </c>
      <c r="FC51" s="125"/>
      <c r="FD51" s="125"/>
      <c r="FE51" s="125"/>
      <c r="FF51" s="125"/>
      <c r="FG51" s="125"/>
      <c r="FH51" s="125"/>
      <c r="FI51" s="125"/>
      <c r="FJ51" s="125"/>
      <c r="FK51" s="125"/>
      <c r="FL51" s="125"/>
      <c r="FM51" s="125"/>
      <c r="FN51" s="125"/>
      <c r="FO51" s="125"/>
      <c r="FP51" s="125"/>
      <c r="FQ51" s="125"/>
      <c r="FR51" s="125"/>
      <c r="FS51" s="125"/>
      <c r="FT51" s="125"/>
      <c r="FU51" s="125"/>
      <c r="FV51" s="125"/>
      <c r="FW51" s="125"/>
      <c r="FX51" s="125"/>
      <c r="FY51" s="125"/>
      <c r="FZ51" s="125"/>
      <c r="GA51" s="125"/>
      <c r="GB51" s="125"/>
      <c r="GC51" s="125"/>
      <c r="GD51" s="125"/>
      <c r="GE51" s="125"/>
      <c r="GF51" s="125"/>
      <c r="GG51" s="125"/>
      <c r="GH51" s="125"/>
      <c r="GI51" s="125"/>
      <c r="GJ51" s="125"/>
      <c r="GK51" s="125"/>
      <c r="GL51" s="125"/>
      <c r="GM51" s="125"/>
      <c r="GN51" s="125"/>
      <c r="GO51" s="125"/>
      <c r="GP51" s="125"/>
      <c r="GQ51" s="125"/>
      <c r="GR51" s="125"/>
      <c r="GS51" s="125"/>
      <c r="GT51" s="125"/>
      <c r="GU51" s="125"/>
      <c r="GV51" s="125"/>
      <c r="GW51" s="125"/>
      <c r="GX51" s="125"/>
      <c r="GY51" s="125"/>
      <c r="GZ51" s="125"/>
      <c r="HA51" s="125"/>
      <c r="HB51" s="125"/>
      <c r="HC51" s="125"/>
      <c r="HD51" s="125"/>
      <c r="HE51" s="125"/>
      <c r="HF51" s="125"/>
      <c r="HG51" s="125"/>
      <c r="HH51" s="125"/>
      <c r="HI51" s="125"/>
      <c r="HJ51" s="125"/>
      <c r="HK51" s="125"/>
      <c r="HL51" s="125"/>
      <c r="HM51" s="125"/>
      <c r="HN51" s="125"/>
      <c r="HO51" s="125"/>
      <c r="HP51" s="125"/>
      <c r="HQ51" s="125"/>
      <c r="HR51" s="125"/>
      <c r="HS51" s="125"/>
      <c r="HT51" s="125"/>
      <c r="HU51" s="125"/>
      <c r="HV51" s="125"/>
      <c r="HW51" s="125"/>
      <c r="HX51" s="125"/>
      <c r="HY51" s="125"/>
      <c r="HZ51" s="125"/>
      <c r="IA51" s="125"/>
      <c r="IB51" s="125"/>
      <c r="IC51" s="125"/>
      <c r="ID51" s="125"/>
      <c r="IE51" s="125"/>
      <c r="IF51" s="125"/>
      <c r="IG51" s="125"/>
      <c r="IH51" s="125"/>
      <c r="II51" s="125"/>
      <c r="IJ51" s="125"/>
      <c r="IK51" s="125"/>
      <c r="IL51" s="125"/>
      <c r="IM51" s="125"/>
      <c r="IN51" s="125"/>
      <c r="IO51" s="125"/>
      <c r="IP51" s="125"/>
      <c r="IQ51" s="125"/>
      <c r="IR51" s="125"/>
      <c r="IS51" s="125"/>
      <c r="IT51" s="125"/>
      <c r="IU51" s="125"/>
      <c r="IV51" s="125"/>
      <c r="IW51" s="125"/>
      <c r="IX51" s="125"/>
      <c r="IY51" s="125"/>
      <c r="IZ51" s="125"/>
      <c r="JA51" s="125"/>
      <c r="JB51" s="125"/>
      <c r="JC51" s="125"/>
      <c r="JD51" s="125"/>
      <c r="JE51" s="125"/>
      <c r="JF51" s="125"/>
      <c r="JG51" s="125"/>
      <c r="JH51" s="125"/>
      <c r="JI51" s="125"/>
      <c r="JJ51" s="125"/>
      <c r="JK51" s="125"/>
      <c r="JL51" s="125"/>
      <c r="JM51" s="125"/>
      <c r="JN51" s="125"/>
      <c r="JO51" s="125"/>
      <c r="JP51" s="125"/>
      <c r="JQ51" s="125"/>
      <c r="JR51" s="125"/>
      <c r="JS51" s="125"/>
      <c r="JT51" s="125"/>
      <c r="JU51" s="125"/>
      <c r="JV51" s="125"/>
      <c r="JW51" s="125"/>
      <c r="JX51" s="125"/>
      <c r="JY51" s="125"/>
      <c r="JZ51" s="125"/>
      <c r="KA51" s="125"/>
      <c r="KB51" s="125"/>
      <c r="KC51" s="125"/>
      <c r="KD51" s="125"/>
      <c r="KE51" s="125"/>
      <c r="KF51" s="125"/>
      <c r="KG51" s="125"/>
      <c r="KH51" s="125"/>
      <c r="KI51" s="125"/>
      <c r="KJ51" s="125"/>
      <c r="KK51" s="125"/>
      <c r="KL51" s="125"/>
      <c r="KM51" s="125"/>
      <c r="KN51" s="125"/>
      <c r="KO51" s="125"/>
      <c r="KP51" s="125"/>
      <c r="KQ51" s="125"/>
      <c r="KR51" s="125"/>
      <c r="KS51" s="125"/>
      <c r="KT51" s="125"/>
      <c r="KU51" s="125"/>
      <c r="KV51" s="125"/>
      <c r="KW51" s="125"/>
      <c r="KX51" s="125"/>
      <c r="KY51" s="125"/>
      <c r="KZ51" s="125"/>
      <c r="LA51" s="125"/>
      <c r="LB51" s="125"/>
      <c r="LC51" s="125"/>
      <c r="LD51" s="125"/>
      <c r="LE51" s="125"/>
      <c r="LF51" s="125"/>
      <c r="LG51" s="125"/>
      <c r="LH51" s="125"/>
      <c r="LI51" s="125"/>
      <c r="LJ51" s="125"/>
      <c r="LK51" s="125"/>
      <c r="LL51" s="125"/>
      <c r="LM51" s="125"/>
      <c r="LN51" s="125"/>
      <c r="LO51" s="125"/>
      <c r="LP51" s="125"/>
      <c r="LQ51" s="125"/>
      <c r="LR51" s="125"/>
      <c r="LS51" s="125"/>
      <c r="LT51" s="125"/>
      <c r="LU51" s="125"/>
      <c r="LV51" s="125"/>
      <c r="LW51" s="125"/>
      <c r="LX51" s="125"/>
      <c r="LY51" s="125"/>
      <c r="LZ51" s="125"/>
      <c r="MA51" s="125"/>
      <c r="MB51" s="125"/>
      <c r="MC51" s="125"/>
      <c r="MD51" s="125"/>
      <c r="ME51" s="125"/>
      <c r="MF51" s="125"/>
      <c r="MG51" s="125"/>
      <c r="MH51" s="125"/>
      <c r="MI51" s="125"/>
      <c r="MJ51" s="125"/>
      <c r="MK51" s="125"/>
      <c r="ML51" s="125"/>
      <c r="MM51" s="125"/>
      <c r="MN51" s="125"/>
      <c r="MO51" s="125"/>
      <c r="MP51" s="125"/>
      <c r="MQ51" s="125"/>
      <c r="MR51" s="125"/>
      <c r="MS51" s="125"/>
      <c r="MT51" s="125"/>
      <c r="MU51" s="125"/>
      <c r="MV51" s="125"/>
      <c r="MW51" s="125"/>
      <c r="MX51" s="125"/>
      <c r="MY51" s="125"/>
      <c r="MZ51" s="125"/>
      <c r="NA51" s="125"/>
      <c r="NB51" s="125"/>
      <c r="NC51" s="125"/>
      <c r="ND51" s="125"/>
      <c r="NE51" s="125"/>
      <c r="NF51" s="125"/>
      <c r="NG51" s="125"/>
      <c r="NH51" s="125"/>
      <c r="NI51" s="125"/>
      <c r="NJ51" s="125"/>
      <c r="NK51" s="125"/>
      <c r="NL51" s="125"/>
      <c r="NM51" s="125"/>
      <c r="NN51" s="125"/>
      <c r="NO51" s="125"/>
      <c r="NP51" s="125"/>
      <c r="NQ51" s="125"/>
      <c r="NR51" s="125"/>
      <c r="NS51" s="125"/>
      <c r="NT51" s="125"/>
      <c r="NU51" s="125"/>
      <c r="NV51" s="125"/>
      <c r="NW51" s="125"/>
      <c r="NX51" s="125"/>
      <c r="NY51" s="125"/>
      <c r="NZ51" s="125"/>
      <c r="OA51" s="125"/>
      <c r="OB51" s="125"/>
      <c r="OC51" s="125"/>
      <c r="OD51" s="125"/>
      <c r="OE51" s="125"/>
      <c r="OF51" s="125"/>
      <c r="OG51" s="125"/>
      <c r="OH51" s="125"/>
      <c r="OI51" s="125"/>
      <c r="OJ51" s="125"/>
      <c r="OK51" s="125"/>
      <c r="OL51" s="125"/>
      <c r="OM51" s="125"/>
      <c r="ON51" s="125"/>
      <c r="OO51" s="125"/>
      <c r="OP51" s="125"/>
      <c r="OQ51" s="125"/>
      <c r="OR51" s="125"/>
      <c r="OS51" s="125"/>
      <c r="OT51" s="125"/>
      <c r="OU51" s="125"/>
      <c r="OV51" s="125"/>
      <c r="OW51" s="125"/>
      <c r="OX51" s="125"/>
      <c r="OY51" s="125"/>
      <c r="OZ51" s="125"/>
      <c r="PA51" s="125"/>
      <c r="PB51" s="125"/>
      <c r="PC51" s="125"/>
      <c r="PD51" s="125"/>
      <c r="PE51" s="125"/>
      <c r="PF51" s="125"/>
      <c r="PG51" s="125"/>
      <c r="PH51" s="125"/>
      <c r="PI51" s="125"/>
      <c r="PJ51" s="125"/>
      <c r="PK51" s="125"/>
      <c r="PL51" s="125"/>
      <c r="PM51" s="125"/>
      <c r="PN51" s="125"/>
      <c r="PO51" s="125"/>
      <c r="PP51" s="125"/>
      <c r="PQ51" s="125"/>
      <c r="PR51" s="125"/>
      <c r="PS51" s="125"/>
      <c r="PT51" s="125"/>
      <c r="PU51" s="125"/>
      <c r="PV51" s="125"/>
      <c r="PW51" s="125"/>
      <c r="PX51" s="125"/>
      <c r="PY51" s="125"/>
      <c r="PZ51" s="125"/>
      <c r="QA51" s="125"/>
      <c r="QB51" s="125"/>
      <c r="QC51" s="125"/>
      <c r="QD51" s="125"/>
      <c r="QE51" s="125"/>
      <c r="QF51" s="125"/>
      <c r="QG51" s="125"/>
      <c r="QH51" s="125"/>
      <c r="QI51" s="125"/>
      <c r="QJ51" s="125"/>
      <c r="QK51" s="125"/>
      <c r="QL51" s="125"/>
      <c r="QM51" s="125"/>
      <c r="QN51" s="125"/>
      <c r="QO51" s="125"/>
      <c r="QP51" s="125"/>
      <c r="QQ51" s="125"/>
      <c r="QR51" s="125"/>
      <c r="QS51" s="125"/>
      <c r="QT51" s="125"/>
      <c r="QU51" s="125"/>
      <c r="QV51" s="125"/>
      <c r="QW51" s="125"/>
      <c r="QX51" s="125"/>
      <c r="QY51" s="125"/>
      <c r="QZ51" s="125"/>
      <c r="RA51" s="125"/>
      <c r="RB51" s="125"/>
      <c r="RC51" s="125"/>
      <c r="RD51" s="125"/>
      <c r="RE51" s="125"/>
      <c r="RF51" s="125"/>
      <c r="RG51" s="24">
        <f t="shared" si="3"/>
        <v>10</v>
      </c>
      <c r="RH51" s="60" t="s">
        <v>36</v>
      </c>
      <c r="RI51" s="121">
        <v>854.4</v>
      </c>
      <c r="RJ51" s="77">
        <f>RM51+RN51+RO51</f>
        <v>854.4</v>
      </c>
      <c r="RK51" s="77">
        <v>544.4</v>
      </c>
      <c r="RL51" s="121">
        <f t="shared" si="4"/>
        <v>0</v>
      </c>
      <c r="RM51" s="145"/>
      <c r="RN51" s="145"/>
      <c r="RO51" s="145">
        <v>854.4</v>
      </c>
      <c r="RP51" s="104">
        <f t="shared" si="5"/>
        <v>1.5694342395297576</v>
      </c>
      <c r="RQ51" s="172" t="s">
        <v>602</v>
      </c>
    </row>
    <row r="52" spans="1:485" s="5" customFormat="1" ht="12.75" customHeight="1" x14ac:dyDescent="0.25">
      <c r="A52" s="61">
        <v>44973</v>
      </c>
      <c r="B52" s="112" t="s">
        <v>88</v>
      </c>
      <c r="C52" s="123"/>
      <c r="D52" s="123"/>
      <c r="E52" s="124"/>
      <c r="F52" s="124"/>
      <c r="G52" s="124"/>
      <c r="H52" s="124"/>
      <c r="I52" s="124"/>
      <c r="J52" s="124"/>
      <c r="K52" s="124"/>
      <c r="L52" s="124"/>
      <c r="M52" s="124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>
        <v>10</v>
      </c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  <c r="CY52" s="125"/>
      <c r="CZ52" s="125"/>
      <c r="DA52" s="125"/>
      <c r="DB52" s="125"/>
      <c r="DC52" s="125"/>
      <c r="DD52" s="125"/>
      <c r="DE52" s="125"/>
      <c r="DF52" s="125"/>
      <c r="DG52" s="125"/>
      <c r="DH52" s="125"/>
      <c r="DI52" s="125"/>
      <c r="DJ52" s="125"/>
      <c r="DK52" s="125"/>
      <c r="DL52" s="125"/>
      <c r="DM52" s="125"/>
      <c r="DN52" s="125"/>
      <c r="DO52" s="125"/>
      <c r="DP52" s="125"/>
      <c r="DQ52" s="125"/>
      <c r="DR52" s="125"/>
      <c r="DS52" s="125"/>
      <c r="DT52" s="125"/>
      <c r="DU52" s="125"/>
      <c r="DV52" s="125"/>
      <c r="DW52" s="125"/>
      <c r="DX52" s="125"/>
      <c r="DY52" s="125"/>
      <c r="DZ52" s="125"/>
      <c r="EA52" s="125"/>
      <c r="EB52" s="125"/>
      <c r="EC52" s="125"/>
      <c r="ED52" s="125"/>
      <c r="EE52" s="125"/>
      <c r="EF52" s="125"/>
      <c r="EG52" s="125"/>
      <c r="EH52" s="125"/>
      <c r="EI52" s="125"/>
      <c r="EJ52" s="125"/>
      <c r="EK52" s="125"/>
      <c r="EL52" s="125"/>
      <c r="EM52" s="125"/>
      <c r="EN52" s="125"/>
      <c r="EO52" s="125"/>
      <c r="EP52" s="125"/>
      <c r="EQ52" s="125"/>
      <c r="ER52" s="125"/>
      <c r="ES52" s="125"/>
      <c r="ET52" s="125"/>
      <c r="EU52" s="125"/>
      <c r="EV52" s="125"/>
      <c r="EW52" s="125"/>
      <c r="EX52" s="125"/>
      <c r="EY52" s="125"/>
      <c r="EZ52" s="125"/>
      <c r="FA52" s="125"/>
      <c r="FB52" s="125"/>
      <c r="FC52" s="125"/>
      <c r="FD52" s="125"/>
      <c r="FE52" s="125"/>
      <c r="FF52" s="125"/>
      <c r="FG52" s="125"/>
      <c r="FH52" s="125"/>
      <c r="FI52" s="125"/>
      <c r="FJ52" s="125"/>
      <c r="FK52" s="125"/>
      <c r="FL52" s="125"/>
      <c r="FM52" s="125"/>
      <c r="FN52" s="125"/>
      <c r="FO52" s="125"/>
      <c r="FP52" s="125"/>
      <c r="FQ52" s="125"/>
      <c r="FR52" s="125"/>
      <c r="FS52" s="125"/>
      <c r="FT52" s="125"/>
      <c r="FU52" s="125"/>
      <c r="FV52" s="125"/>
      <c r="FW52" s="125"/>
      <c r="FX52" s="125"/>
      <c r="FY52" s="125"/>
      <c r="FZ52" s="125"/>
      <c r="GA52" s="125"/>
      <c r="GB52" s="125"/>
      <c r="GC52" s="125"/>
      <c r="GD52" s="125"/>
      <c r="GE52" s="125"/>
      <c r="GF52" s="125"/>
      <c r="GG52" s="125"/>
      <c r="GH52" s="125"/>
      <c r="GI52" s="125"/>
      <c r="GJ52" s="125"/>
      <c r="GK52" s="125"/>
      <c r="GL52" s="125"/>
      <c r="GM52" s="125"/>
      <c r="GN52" s="125"/>
      <c r="GO52" s="125"/>
      <c r="GP52" s="125"/>
      <c r="GQ52" s="125">
        <v>10</v>
      </c>
      <c r="GR52" s="125"/>
      <c r="GS52" s="125"/>
      <c r="GT52" s="125"/>
      <c r="GU52" s="125"/>
      <c r="GV52" s="125"/>
      <c r="GW52" s="125"/>
      <c r="GX52" s="125"/>
      <c r="GY52" s="125"/>
      <c r="GZ52" s="125"/>
      <c r="HA52" s="125"/>
      <c r="HB52" s="125"/>
      <c r="HC52" s="125"/>
      <c r="HD52" s="125"/>
      <c r="HE52" s="125"/>
      <c r="HF52" s="125"/>
      <c r="HG52" s="125"/>
      <c r="HH52" s="125"/>
      <c r="HI52" s="125"/>
      <c r="HJ52" s="125"/>
      <c r="HK52" s="125"/>
      <c r="HL52" s="125"/>
      <c r="HM52" s="125"/>
      <c r="HN52" s="125"/>
      <c r="HO52" s="125"/>
      <c r="HP52" s="125"/>
      <c r="HQ52" s="125"/>
      <c r="HR52" s="125"/>
      <c r="HS52" s="125"/>
      <c r="HT52" s="125"/>
      <c r="HU52" s="125"/>
      <c r="HV52" s="125"/>
      <c r="HW52" s="125"/>
      <c r="HX52" s="125"/>
      <c r="HY52" s="125"/>
      <c r="HZ52" s="125"/>
      <c r="IA52" s="125"/>
      <c r="IB52" s="125"/>
      <c r="IC52" s="125"/>
      <c r="ID52" s="125"/>
      <c r="IE52" s="125"/>
      <c r="IF52" s="125"/>
      <c r="IG52" s="125"/>
      <c r="IH52" s="125"/>
      <c r="II52" s="125"/>
      <c r="IJ52" s="125"/>
      <c r="IK52" s="125"/>
      <c r="IL52" s="125"/>
      <c r="IM52" s="125"/>
      <c r="IN52" s="125"/>
      <c r="IO52" s="125"/>
      <c r="IP52" s="125"/>
      <c r="IQ52" s="125"/>
      <c r="IR52" s="125"/>
      <c r="IS52" s="125"/>
      <c r="IT52" s="125"/>
      <c r="IU52" s="125"/>
      <c r="IV52" s="125"/>
      <c r="IW52" s="125"/>
      <c r="IX52" s="125"/>
      <c r="IY52" s="125"/>
      <c r="IZ52" s="125"/>
      <c r="JA52" s="125"/>
      <c r="JB52" s="125"/>
      <c r="JC52" s="125"/>
      <c r="JD52" s="125"/>
      <c r="JE52" s="125"/>
      <c r="JF52" s="125"/>
      <c r="JG52" s="125"/>
      <c r="JH52" s="125"/>
      <c r="JI52" s="125"/>
      <c r="JJ52" s="125"/>
      <c r="JK52" s="125"/>
      <c r="JL52" s="125"/>
      <c r="JM52" s="125"/>
      <c r="JN52" s="125"/>
      <c r="JO52" s="125"/>
      <c r="JP52" s="125"/>
      <c r="JQ52" s="125"/>
      <c r="JR52" s="125"/>
      <c r="JS52" s="125"/>
      <c r="JT52" s="125"/>
      <c r="JU52" s="125"/>
      <c r="JV52" s="125"/>
      <c r="JW52" s="125"/>
      <c r="JX52" s="125"/>
      <c r="JY52" s="125"/>
      <c r="JZ52" s="125"/>
      <c r="KA52" s="125"/>
      <c r="KB52" s="125"/>
      <c r="KC52" s="125"/>
      <c r="KD52" s="125"/>
      <c r="KE52" s="125"/>
      <c r="KF52" s="125"/>
      <c r="KG52" s="125"/>
      <c r="KH52" s="125"/>
      <c r="KI52" s="125"/>
      <c r="KJ52" s="125"/>
      <c r="KK52" s="125"/>
      <c r="KL52" s="125"/>
      <c r="KM52" s="125"/>
      <c r="KN52" s="125"/>
      <c r="KO52" s="125"/>
      <c r="KP52" s="125"/>
      <c r="KQ52" s="125"/>
      <c r="KR52" s="125"/>
      <c r="KS52" s="125"/>
      <c r="KT52" s="125"/>
      <c r="KU52" s="125"/>
      <c r="KV52" s="125"/>
      <c r="KW52" s="125"/>
      <c r="KX52" s="125"/>
      <c r="KY52" s="125"/>
      <c r="KZ52" s="125"/>
      <c r="LA52" s="125"/>
      <c r="LB52" s="125"/>
      <c r="LC52" s="125"/>
      <c r="LD52" s="125"/>
      <c r="LE52" s="125"/>
      <c r="LF52" s="125"/>
      <c r="LG52" s="125"/>
      <c r="LH52" s="125"/>
      <c r="LI52" s="125"/>
      <c r="LJ52" s="125"/>
      <c r="LK52" s="125"/>
      <c r="LL52" s="125"/>
      <c r="LM52" s="125"/>
      <c r="LN52" s="125"/>
      <c r="LO52" s="125"/>
      <c r="LP52" s="125"/>
      <c r="LQ52" s="125"/>
      <c r="LR52" s="125"/>
      <c r="LS52" s="125"/>
      <c r="LT52" s="125"/>
      <c r="LU52" s="125"/>
      <c r="LV52" s="125"/>
      <c r="LW52" s="125"/>
      <c r="LX52" s="125"/>
      <c r="LY52" s="125"/>
      <c r="LZ52" s="125"/>
      <c r="MA52" s="125"/>
      <c r="MB52" s="125"/>
      <c r="MC52" s="125"/>
      <c r="MD52" s="125"/>
      <c r="ME52" s="125"/>
      <c r="MF52" s="125"/>
      <c r="MG52" s="125"/>
      <c r="MH52" s="125"/>
      <c r="MI52" s="125"/>
      <c r="MJ52" s="125"/>
      <c r="MK52" s="125"/>
      <c r="ML52" s="125"/>
      <c r="MM52" s="125"/>
      <c r="MN52" s="125"/>
      <c r="MO52" s="125"/>
      <c r="MP52" s="125"/>
      <c r="MQ52" s="125"/>
      <c r="MR52" s="125"/>
      <c r="MS52" s="125"/>
      <c r="MT52" s="125"/>
      <c r="MU52" s="125"/>
      <c r="MV52" s="125"/>
      <c r="MW52" s="125"/>
      <c r="MX52" s="125"/>
      <c r="MY52" s="125"/>
      <c r="MZ52" s="125"/>
      <c r="NA52" s="125"/>
      <c r="NB52" s="125"/>
      <c r="NC52" s="125"/>
      <c r="ND52" s="125"/>
      <c r="NE52" s="125"/>
      <c r="NF52" s="125"/>
      <c r="NG52" s="125"/>
      <c r="NH52" s="125"/>
      <c r="NI52" s="125"/>
      <c r="NJ52" s="125"/>
      <c r="NK52" s="125"/>
      <c r="NL52" s="125"/>
      <c r="NM52" s="125"/>
      <c r="NN52" s="125"/>
      <c r="NO52" s="125"/>
      <c r="NP52" s="125"/>
      <c r="NQ52" s="125"/>
      <c r="NR52" s="125"/>
      <c r="NS52" s="125"/>
      <c r="NT52" s="125"/>
      <c r="NU52" s="125"/>
      <c r="NV52" s="125"/>
      <c r="NW52" s="125"/>
      <c r="NX52" s="125"/>
      <c r="NY52" s="125"/>
      <c r="NZ52" s="125"/>
      <c r="OA52" s="125"/>
      <c r="OB52" s="125"/>
      <c r="OC52" s="125"/>
      <c r="OD52" s="125"/>
      <c r="OE52" s="125"/>
      <c r="OF52" s="125"/>
      <c r="OG52" s="125"/>
      <c r="OH52" s="125"/>
      <c r="OI52" s="125"/>
      <c r="OJ52" s="125"/>
      <c r="OK52" s="125"/>
      <c r="OL52" s="125"/>
      <c r="OM52" s="125"/>
      <c r="ON52" s="125"/>
      <c r="OO52" s="125"/>
      <c r="OP52" s="125"/>
      <c r="OQ52" s="125"/>
      <c r="OR52" s="125"/>
      <c r="OS52" s="125"/>
      <c r="OT52" s="125"/>
      <c r="OU52" s="125"/>
      <c r="OV52" s="125"/>
      <c r="OW52" s="125"/>
      <c r="OX52" s="125"/>
      <c r="OY52" s="125"/>
      <c r="OZ52" s="125"/>
      <c r="PA52" s="125"/>
      <c r="PB52" s="125"/>
      <c r="PC52" s="125"/>
      <c r="PD52" s="125"/>
      <c r="PE52" s="125"/>
      <c r="PF52" s="125"/>
      <c r="PG52" s="125"/>
      <c r="PH52" s="125"/>
      <c r="PI52" s="125"/>
      <c r="PJ52" s="125"/>
      <c r="PK52" s="125"/>
      <c r="PL52" s="125"/>
      <c r="PM52" s="125"/>
      <c r="PN52" s="125"/>
      <c r="PO52" s="125"/>
      <c r="PP52" s="125"/>
      <c r="PQ52" s="125"/>
      <c r="PR52" s="125"/>
      <c r="PS52" s="125"/>
      <c r="PT52" s="125"/>
      <c r="PU52" s="125"/>
      <c r="PV52" s="125"/>
      <c r="PW52" s="125"/>
      <c r="PX52" s="125"/>
      <c r="PY52" s="125"/>
      <c r="PZ52" s="125"/>
      <c r="QA52" s="125"/>
      <c r="QB52" s="125"/>
      <c r="QC52" s="125"/>
      <c r="QD52" s="125"/>
      <c r="QE52" s="125"/>
      <c r="QF52" s="125"/>
      <c r="QG52" s="125"/>
      <c r="QH52" s="125"/>
      <c r="QI52" s="125"/>
      <c r="QJ52" s="125"/>
      <c r="QK52" s="125"/>
      <c r="QL52" s="125"/>
      <c r="QM52" s="125"/>
      <c r="QN52" s="125"/>
      <c r="QO52" s="125"/>
      <c r="QP52" s="125"/>
      <c r="QQ52" s="125"/>
      <c r="QR52" s="125"/>
      <c r="QS52" s="125"/>
      <c r="QT52" s="125"/>
      <c r="QU52" s="125"/>
      <c r="QV52" s="125"/>
      <c r="QW52" s="125"/>
      <c r="QX52" s="125"/>
      <c r="QY52" s="125"/>
      <c r="QZ52" s="125"/>
      <c r="RA52" s="125"/>
      <c r="RB52" s="125"/>
      <c r="RC52" s="125"/>
      <c r="RD52" s="125"/>
      <c r="RE52" s="125"/>
      <c r="RF52" s="125"/>
      <c r="RG52" s="24">
        <f t="shared" si="3"/>
        <v>20</v>
      </c>
      <c r="RH52" s="60" t="s">
        <v>36</v>
      </c>
      <c r="RI52" s="121">
        <v>1039.78</v>
      </c>
      <c r="RJ52" s="77">
        <f>RM52+RN52+RO52</f>
        <v>0</v>
      </c>
      <c r="RK52" s="77">
        <v>650.20000000000005</v>
      </c>
      <c r="RL52" s="121">
        <f t="shared" si="4"/>
        <v>1039.78</v>
      </c>
      <c r="RM52" s="145"/>
      <c r="RN52" s="145"/>
      <c r="RO52" s="145"/>
      <c r="RP52" s="104">
        <f t="shared" si="5"/>
        <v>1.5991694863119039</v>
      </c>
      <c r="RQ52" s="172" t="s">
        <v>602</v>
      </c>
    </row>
    <row r="53" spans="1:485" s="5" customFormat="1" ht="12.75" customHeight="1" x14ac:dyDescent="0.25">
      <c r="A53" s="61">
        <v>44974</v>
      </c>
      <c r="B53" s="112" t="s">
        <v>348</v>
      </c>
      <c r="C53" s="123"/>
      <c r="D53" s="123"/>
      <c r="E53" s="124"/>
      <c r="F53" s="124"/>
      <c r="G53" s="124"/>
      <c r="H53" s="124"/>
      <c r="I53" s="124"/>
      <c r="J53" s="124"/>
      <c r="K53" s="124"/>
      <c r="L53" s="124"/>
      <c r="M53" s="124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>
        <v>10</v>
      </c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125"/>
      <c r="CE53" s="125"/>
      <c r="CF53" s="125"/>
      <c r="CG53" s="125"/>
      <c r="CH53" s="125"/>
      <c r="CI53" s="125"/>
      <c r="CJ53" s="125"/>
      <c r="CK53" s="125"/>
      <c r="CL53" s="125"/>
      <c r="CM53" s="125"/>
      <c r="CN53" s="125"/>
      <c r="CO53" s="125"/>
      <c r="CP53" s="125"/>
      <c r="CQ53" s="125"/>
      <c r="CR53" s="125"/>
      <c r="CS53" s="125"/>
      <c r="CT53" s="125"/>
      <c r="CU53" s="125"/>
      <c r="CV53" s="125"/>
      <c r="CW53" s="125"/>
      <c r="CX53" s="125"/>
      <c r="CY53" s="125"/>
      <c r="CZ53" s="125"/>
      <c r="DA53" s="125"/>
      <c r="DB53" s="125"/>
      <c r="DC53" s="125"/>
      <c r="DD53" s="125"/>
      <c r="DE53" s="125"/>
      <c r="DF53" s="125"/>
      <c r="DG53" s="125"/>
      <c r="DH53" s="125"/>
      <c r="DI53" s="125"/>
      <c r="DJ53" s="125"/>
      <c r="DK53" s="125"/>
      <c r="DL53" s="125"/>
      <c r="DM53" s="125"/>
      <c r="DN53" s="125"/>
      <c r="DO53" s="125"/>
      <c r="DP53" s="125"/>
      <c r="DQ53" s="125"/>
      <c r="DR53" s="125"/>
      <c r="DS53" s="125"/>
      <c r="DT53" s="125"/>
      <c r="DU53" s="125"/>
      <c r="DV53" s="125"/>
      <c r="DW53" s="125"/>
      <c r="DX53" s="125"/>
      <c r="DY53" s="125"/>
      <c r="DZ53" s="125"/>
      <c r="EA53" s="125"/>
      <c r="EB53" s="125"/>
      <c r="EC53" s="125"/>
      <c r="ED53" s="125"/>
      <c r="EE53" s="125"/>
      <c r="EF53" s="125"/>
      <c r="EG53" s="125"/>
      <c r="EH53" s="125"/>
      <c r="EI53" s="125"/>
      <c r="EJ53" s="125"/>
      <c r="EK53" s="125"/>
      <c r="EL53" s="125"/>
      <c r="EM53" s="125"/>
      <c r="EN53" s="125"/>
      <c r="EO53" s="125"/>
      <c r="EP53" s="125"/>
      <c r="EQ53" s="125"/>
      <c r="ER53" s="125"/>
      <c r="ES53" s="125"/>
      <c r="ET53" s="125"/>
      <c r="EU53" s="125"/>
      <c r="EV53" s="125"/>
      <c r="EW53" s="125"/>
      <c r="EX53" s="125"/>
      <c r="EY53" s="125"/>
      <c r="EZ53" s="125"/>
      <c r="FA53" s="125"/>
      <c r="FB53" s="125"/>
      <c r="FC53" s="125"/>
      <c r="FD53" s="125"/>
      <c r="FE53" s="125"/>
      <c r="FF53" s="125"/>
      <c r="FG53" s="125"/>
      <c r="FH53" s="125"/>
      <c r="FI53" s="125"/>
      <c r="FJ53" s="125"/>
      <c r="FK53" s="125"/>
      <c r="FL53" s="125"/>
      <c r="FM53" s="125"/>
      <c r="FN53" s="125"/>
      <c r="FO53" s="125"/>
      <c r="FP53" s="125"/>
      <c r="FQ53" s="125"/>
      <c r="FR53" s="125"/>
      <c r="FS53" s="125"/>
      <c r="FT53" s="125"/>
      <c r="FU53" s="125"/>
      <c r="FV53" s="125"/>
      <c r="FW53" s="125"/>
      <c r="FX53" s="125"/>
      <c r="FY53" s="125"/>
      <c r="FZ53" s="125"/>
      <c r="GA53" s="125"/>
      <c r="GB53" s="125"/>
      <c r="GC53" s="125"/>
      <c r="GD53" s="125"/>
      <c r="GE53" s="125"/>
      <c r="GF53" s="125"/>
      <c r="GG53" s="125"/>
      <c r="GH53" s="125"/>
      <c r="GI53" s="125"/>
      <c r="GJ53" s="125"/>
      <c r="GK53" s="125"/>
      <c r="GL53" s="125"/>
      <c r="GM53" s="125"/>
      <c r="GN53" s="125"/>
      <c r="GO53" s="125"/>
      <c r="GP53" s="125"/>
      <c r="GQ53" s="125"/>
      <c r="GR53" s="125"/>
      <c r="GS53" s="125"/>
      <c r="GT53" s="125"/>
      <c r="GU53" s="125"/>
      <c r="GV53" s="125"/>
      <c r="GW53" s="125"/>
      <c r="GX53" s="125"/>
      <c r="GY53" s="125"/>
      <c r="GZ53" s="125"/>
      <c r="HA53" s="125"/>
      <c r="HB53" s="125"/>
      <c r="HC53" s="125"/>
      <c r="HD53" s="125"/>
      <c r="HE53" s="125"/>
      <c r="HF53" s="125"/>
      <c r="HG53" s="125"/>
      <c r="HH53" s="125"/>
      <c r="HI53" s="125"/>
      <c r="HJ53" s="125"/>
      <c r="HK53" s="125"/>
      <c r="HL53" s="125"/>
      <c r="HM53" s="125"/>
      <c r="HN53" s="125"/>
      <c r="HO53" s="125"/>
      <c r="HP53" s="125"/>
      <c r="HQ53" s="125"/>
      <c r="HR53" s="125"/>
      <c r="HS53" s="125"/>
      <c r="HT53" s="125"/>
      <c r="HU53" s="125"/>
      <c r="HV53" s="125"/>
      <c r="HW53" s="125"/>
      <c r="HX53" s="125">
        <v>2</v>
      </c>
      <c r="HY53" s="125"/>
      <c r="HZ53" s="125"/>
      <c r="IA53" s="125"/>
      <c r="IB53" s="125"/>
      <c r="IC53" s="125"/>
      <c r="ID53" s="125"/>
      <c r="IE53" s="125"/>
      <c r="IF53" s="125"/>
      <c r="IG53" s="125"/>
      <c r="IH53" s="125">
        <v>9</v>
      </c>
      <c r="II53" s="125"/>
      <c r="IJ53" s="125"/>
      <c r="IK53" s="125"/>
      <c r="IL53" s="125"/>
      <c r="IM53" s="125"/>
      <c r="IN53" s="125"/>
      <c r="IO53" s="125"/>
      <c r="IP53" s="125"/>
      <c r="IQ53" s="125"/>
      <c r="IR53" s="125"/>
      <c r="IS53" s="125"/>
      <c r="IT53" s="125"/>
      <c r="IU53" s="125"/>
      <c r="IV53" s="125"/>
      <c r="IW53" s="125"/>
      <c r="IX53" s="125"/>
      <c r="IY53" s="125"/>
      <c r="IZ53" s="125"/>
      <c r="JA53" s="125"/>
      <c r="JB53" s="125"/>
      <c r="JC53" s="125"/>
      <c r="JD53" s="125"/>
      <c r="JE53" s="125"/>
      <c r="JF53" s="125"/>
      <c r="JG53" s="125"/>
      <c r="JH53" s="125"/>
      <c r="JI53" s="125"/>
      <c r="JJ53" s="125"/>
      <c r="JK53" s="125"/>
      <c r="JL53" s="125"/>
      <c r="JM53" s="125"/>
      <c r="JN53" s="125"/>
      <c r="JO53" s="125"/>
      <c r="JP53" s="125"/>
      <c r="JQ53" s="125"/>
      <c r="JR53" s="125"/>
      <c r="JS53" s="125"/>
      <c r="JT53" s="125"/>
      <c r="JU53" s="125"/>
      <c r="JV53" s="125"/>
      <c r="JW53" s="125"/>
      <c r="JX53" s="125"/>
      <c r="JY53" s="125"/>
      <c r="JZ53" s="125"/>
      <c r="KA53" s="125"/>
      <c r="KB53" s="125"/>
      <c r="KC53" s="125"/>
      <c r="KD53" s="125"/>
      <c r="KE53" s="125"/>
      <c r="KF53" s="125"/>
      <c r="KG53" s="125"/>
      <c r="KH53" s="125"/>
      <c r="KI53" s="125"/>
      <c r="KJ53" s="125"/>
      <c r="KK53" s="125"/>
      <c r="KL53" s="125"/>
      <c r="KM53" s="125"/>
      <c r="KN53" s="125"/>
      <c r="KO53" s="125"/>
      <c r="KP53" s="125"/>
      <c r="KQ53" s="125"/>
      <c r="KR53" s="125"/>
      <c r="KS53" s="125"/>
      <c r="KT53" s="125"/>
      <c r="KU53" s="125"/>
      <c r="KV53" s="125"/>
      <c r="KW53" s="125"/>
      <c r="KX53" s="125"/>
      <c r="KY53" s="125"/>
      <c r="KZ53" s="125"/>
      <c r="LA53" s="125"/>
      <c r="LB53" s="125"/>
      <c r="LC53" s="125"/>
      <c r="LD53" s="125"/>
      <c r="LE53" s="125"/>
      <c r="LF53" s="125"/>
      <c r="LG53" s="125"/>
      <c r="LH53" s="125"/>
      <c r="LI53" s="125"/>
      <c r="LJ53" s="125"/>
      <c r="LK53" s="125"/>
      <c r="LL53" s="125"/>
      <c r="LM53" s="125"/>
      <c r="LN53" s="125"/>
      <c r="LO53" s="125"/>
      <c r="LP53" s="125"/>
      <c r="LQ53" s="125"/>
      <c r="LR53" s="125"/>
      <c r="LS53" s="125"/>
      <c r="LT53" s="125"/>
      <c r="LU53" s="125"/>
      <c r="LV53" s="125"/>
      <c r="LW53" s="125"/>
      <c r="LX53" s="125"/>
      <c r="LY53" s="125"/>
      <c r="LZ53" s="125"/>
      <c r="MA53" s="125"/>
      <c r="MB53" s="125"/>
      <c r="MC53" s="125"/>
      <c r="MD53" s="125"/>
      <c r="ME53" s="125"/>
      <c r="MF53" s="125"/>
      <c r="MG53" s="125"/>
      <c r="MH53" s="125"/>
      <c r="MI53" s="125"/>
      <c r="MJ53" s="125"/>
      <c r="MK53" s="125"/>
      <c r="ML53" s="125"/>
      <c r="MM53" s="125"/>
      <c r="MN53" s="125"/>
      <c r="MO53" s="125"/>
      <c r="MP53" s="125"/>
      <c r="MQ53" s="125"/>
      <c r="MR53" s="125"/>
      <c r="MS53" s="125"/>
      <c r="MT53" s="125"/>
      <c r="MU53" s="125"/>
      <c r="MV53" s="125"/>
      <c r="MW53" s="125"/>
      <c r="MX53" s="125"/>
      <c r="MY53" s="125"/>
      <c r="MZ53" s="125"/>
      <c r="NA53" s="125"/>
      <c r="NB53" s="125"/>
      <c r="NC53" s="125"/>
      <c r="ND53" s="125"/>
      <c r="NE53" s="125"/>
      <c r="NF53" s="125"/>
      <c r="NG53" s="125"/>
      <c r="NH53" s="125"/>
      <c r="NI53" s="125"/>
      <c r="NJ53" s="125"/>
      <c r="NK53" s="125"/>
      <c r="NL53" s="125"/>
      <c r="NM53" s="125"/>
      <c r="NN53" s="125"/>
      <c r="NO53" s="125"/>
      <c r="NP53" s="125"/>
      <c r="NQ53" s="125"/>
      <c r="NR53" s="125"/>
      <c r="NS53" s="125"/>
      <c r="NT53" s="125"/>
      <c r="NU53" s="125"/>
      <c r="NV53" s="125"/>
      <c r="NW53" s="125"/>
      <c r="NX53" s="125"/>
      <c r="NY53" s="125"/>
      <c r="NZ53" s="125"/>
      <c r="OA53" s="125"/>
      <c r="OB53" s="125"/>
      <c r="OC53" s="125"/>
      <c r="OD53" s="125"/>
      <c r="OE53" s="125"/>
      <c r="OF53" s="125"/>
      <c r="OG53" s="125"/>
      <c r="OH53" s="125"/>
      <c r="OI53" s="125"/>
      <c r="OJ53" s="125"/>
      <c r="OK53" s="125"/>
      <c r="OL53" s="125"/>
      <c r="OM53" s="125"/>
      <c r="ON53" s="125"/>
      <c r="OO53" s="125"/>
      <c r="OP53" s="125"/>
      <c r="OQ53" s="125"/>
      <c r="OR53" s="125"/>
      <c r="OS53" s="125"/>
      <c r="OT53" s="125"/>
      <c r="OU53" s="125"/>
      <c r="OV53" s="125"/>
      <c r="OW53" s="125"/>
      <c r="OX53" s="125"/>
      <c r="OY53" s="125"/>
      <c r="OZ53" s="125"/>
      <c r="PA53" s="125"/>
      <c r="PB53" s="125"/>
      <c r="PC53" s="125"/>
      <c r="PD53" s="125"/>
      <c r="PE53" s="125"/>
      <c r="PF53" s="125"/>
      <c r="PG53" s="125"/>
      <c r="PH53" s="125"/>
      <c r="PI53" s="125"/>
      <c r="PJ53" s="125"/>
      <c r="PK53" s="125"/>
      <c r="PL53" s="125"/>
      <c r="PM53" s="125"/>
      <c r="PN53" s="125"/>
      <c r="PO53" s="125"/>
      <c r="PP53" s="125"/>
      <c r="PQ53" s="125"/>
      <c r="PR53" s="125"/>
      <c r="PS53" s="125"/>
      <c r="PT53" s="125"/>
      <c r="PU53" s="125"/>
      <c r="PV53" s="125"/>
      <c r="PW53" s="125"/>
      <c r="PX53" s="125"/>
      <c r="PY53" s="125"/>
      <c r="PZ53" s="125"/>
      <c r="QA53" s="125"/>
      <c r="QB53" s="125"/>
      <c r="QC53" s="125"/>
      <c r="QD53" s="125"/>
      <c r="QE53" s="125"/>
      <c r="QF53" s="125"/>
      <c r="QG53" s="125"/>
      <c r="QH53" s="125"/>
      <c r="QI53" s="125"/>
      <c r="QJ53" s="125"/>
      <c r="QK53" s="125"/>
      <c r="QL53" s="125"/>
      <c r="QM53" s="125"/>
      <c r="QN53" s="125"/>
      <c r="QO53" s="125"/>
      <c r="QP53" s="125"/>
      <c r="QQ53" s="125"/>
      <c r="QR53" s="125"/>
      <c r="QS53" s="125"/>
      <c r="QT53" s="125"/>
      <c r="QU53" s="125"/>
      <c r="QV53" s="125"/>
      <c r="QW53" s="125"/>
      <c r="QX53" s="125"/>
      <c r="QY53" s="125"/>
      <c r="QZ53" s="125"/>
      <c r="RA53" s="125"/>
      <c r="RB53" s="125"/>
      <c r="RC53" s="125"/>
      <c r="RD53" s="125"/>
      <c r="RE53" s="125"/>
      <c r="RF53" s="125"/>
      <c r="RG53" s="24">
        <f t="shared" si="3"/>
        <v>21</v>
      </c>
      <c r="RH53" s="60" t="s">
        <v>36</v>
      </c>
      <c r="RI53" s="121">
        <v>1072.08</v>
      </c>
      <c r="RJ53" s="77">
        <f>RM53+RN53</f>
        <v>1072.08</v>
      </c>
      <c r="RK53" s="77">
        <v>631.26</v>
      </c>
      <c r="RL53" s="121">
        <f t="shared" si="4"/>
        <v>0</v>
      </c>
      <c r="RM53" s="145"/>
      <c r="RN53" s="145">
        <v>1072.08</v>
      </c>
      <c r="RO53" s="145"/>
      <c r="RP53" s="104">
        <f t="shared" si="5"/>
        <v>1.6983176504134587</v>
      </c>
      <c r="RQ53" s="172" t="s">
        <v>603</v>
      </c>
    </row>
    <row r="54" spans="1:485" s="5" customFormat="1" ht="12.75" customHeight="1" x14ac:dyDescent="0.25">
      <c r="A54" s="61">
        <v>44978</v>
      </c>
      <c r="B54" s="112" t="s">
        <v>547</v>
      </c>
      <c r="C54" s="123"/>
      <c r="D54" s="123"/>
      <c r="E54" s="124"/>
      <c r="F54" s="124"/>
      <c r="G54" s="124"/>
      <c r="H54" s="124"/>
      <c r="I54" s="124"/>
      <c r="J54" s="124"/>
      <c r="K54" s="124"/>
      <c r="L54" s="124"/>
      <c r="M54" s="124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5"/>
      <c r="DR54" s="125"/>
      <c r="DS54" s="125"/>
      <c r="DT54" s="125"/>
      <c r="DU54" s="125"/>
      <c r="DV54" s="125"/>
      <c r="DW54" s="125"/>
      <c r="DX54" s="125"/>
      <c r="DY54" s="125"/>
      <c r="DZ54" s="125"/>
      <c r="EA54" s="125"/>
      <c r="EB54" s="125"/>
      <c r="EC54" s="125"/>
      <c r="ED54" s="125"/>
      <c r="EE54" s="125"/>
      <c r="EF54" s="125"/>
      <c r="EG54" s="125"/>
      <c r="EH54" s="125"/>
      <c r="EI54" s="125"/>
      <c r="EJ54" s="125"/>
      <c r="EK54" s="125"/>
      <c r="EL54" s="125"/>
      <c r="EM54" s="125"/>
      <c r="EN54" s="125"/>
      <c r="EO54" s="125"/>
      <c r="EP54" s="125"/>
      <c r="EQ54" s="125"/>
      <c r="ER54" s="125"/>
      <c r="ES54" s="125"/>
      <c r="ET54" s="125"/>
      <c r="EU54" s="125"/>
      <c r="EV54" s="125"/>
      <c r="EW54" s="125"/>
      <c r="EX54" s="125"/>
      <c r="EY54" s="125"/>
      <c r="EZ54" s="125"/>
      <c r="FA54" s="125"/>
      <c r="FB54" s="125"/>
      <c r="FC54" s="125"/>
      <c r="FD54" s="125"/>
      <c r="FE54" s="125"/>
      <c r="FF54" s="125"/>
      <c r="FG54" s="125"/>
      <c r="FH54" s="125"/>
      <c r="FI54" s="125"/>
      <c r="FJ54" s="125"/>
      <c r="FK54" s="125"/>
      <c r="FL54" s="125"/>
      <c r="FM54" s="125"/>
      <c r="FN54" s="125"/>
      <c r="FO54" s="125"/>
      <c r="FP54" s="125"/>
      <c r="FQ54" s="125"/>
      <c r="FR54" s="125"/>
      <c r="FS54" s="125"/>
      <c r="FT54" s="125"/>
      <c r="FU54" s="125"/>
      <c r="FV54" s="125"/>
      <c r="FW54" s="125"/>
      <c r="FX54" s="125"/>
      <c r="FY54" s="125"/>
      <c r="FZ54" s="125"/>
      <c r="GA54" s="125"/>
      <c r="GB54" s="125"/>
      <c r="GC54" s="125"/>
      <c r="GD54" s="125"/>
      <c r="GE54" s="125"/>
      <c r="GF54" s="125"/>
      <c r="GG54" s="125"/>
      <c r="GH54" s="125"/>
      <c r="GI54" s="125"/>
      <c r="GJ54" s="125"/>
      <c r="GK54" s="125"/>
      <c r="GL54" s="125"/>
      <c r="GM54" s="125"/>
      <c r="GN54" s="125"/>
      <c r="GO54" s="125"/>
      <c r="GP54" s="125"/>
      <c r="GQ54" s="125"/>
      <c r="GR54" s="125"/>
      <c r="GS54" s="125"/>
      <c r="GT54" s="125"/>
      <c r="GU54" s="125"/>
      <c r="GV54" s="125"/>
      <c r="GW54" s="125"/>
      <c r="GX54" s="125"/>
      <c r="GY54" s="125"/>
      <c r="GZ54" s="125"/>
      <c r="HA54" s="125"/>
      <c r="HB54" s="125"/>
      <c r="HC54" s="125"/>
      <c r="HD54" s="125"/>
      <c r="HE54" s="125"/>
      <c r="HF54" s="125"/>
      <c r="HG54" s="125"/>
      <c r="HH54" s="125"/>
      <c r="HI54" s="125"/>
      <c r="HJ54" s="125"/>
      <c r="HK54" s="125"/>
      <c r="HL54" s="125"/>
      <c r="HM54" s="125"/>
      <c r="HN54" s="125"/>
      <c r="HO54" s="125"/>
      <c r="HP54" s="125"/>
      <c r="HQ54" s="125"/>
      <c r="HR54" s="125"/>
      <c r="HS54" s="125"/>
      <c r="HT54" s="125"/>
      <c r="HU54" s="125"/>
      <c r="HV54" s="125"/>
      <c r="HW54" s="125"/>
      <c r="HX54" s="125"/>
      <c r="HY54" s="125"/>
      <c r="HZ54" s="125"/>
      <c r="IA54" s="125"/>
      <c r="IB54" s="125"/>
      <c r="IC54" s="125"/>
      <c r="ID54" s="125"/>
      <c r="IE54" s="125"/>
      <c r="IF54" s="125"/>
      <c r="IG54" s="125"/>
      <c r="IH54" s="125"/>
      <c r="II54" s="125"/>
      <c r="IJ54" s="125"/>
      <c r="IK54" s="125"/>
      <c r="IL54" s="125"/>
      <c r="IM54" s="125"/>
      <c r="IN54" s="125"/>
      <c r="IO54" s="125"/>
      <c r="IP54" s="125"/>
      <c r="IQ54" s="125"/>
      <c r="IR54" s="125"/>
      <c r="IS54" s="125"/>
      <c r="IT54" s="125"/>
      <c r="IU54" s="125"/>
      <c r="IV54" s="125"/>
      <c r="IW54" s="125"/>
      <c r="IX54" s="125"/>
      <c r="IY54" s="125"/>
      <c r="IZ54" s="125"/>
      <c r="JA54" s="125"/>
      <c r="JB54" s="125"/>
      <c r="JC54" s="125"/>
      <c r="JD54" s="125"/>
      <c r="JE54" s="125"/>
      <c r="JF54" s="125"/>
      <c r="JG54" s="125"/>
      <c r="JH54" s="125"/>
      <c r="JI54" s="125"/>
      <c r="JJ54" s="125"/>
      <c r="JK54" s="125"/>
      <c r="JL54" s="125"/>
      <c r="JM54" s="125"/>
      <c r="JN54" s="125"/>
      <c r="JO54" s="125"/>
      <c r="JP54" s="125"/>
      <c r="JQ54" s="125"/>
      <c r="JR54" s="125"/>
      <c r="JS54" s="125"/>
      <c r="JT54" s="125"/>
      <c r="JU54" s="125"/>
      <c r="JV54" s="125"/>
      <c r="JW54" s="125"/>
      <c r="JX54" s="125"/>
      <c r="JY54" s="125"/>
      <c r="JZ54" s="125"/>
      <c r="KA54" s="125"/>
      <c r="KB54" s="125"/>
      <c r="KC54" s="125"/>
      <c r="KD54" s="125"/>
      <c r="KE54" s="125"/>
      <c r="KF54" s="125"/>
      <c r="KG54" s="125"/>
      <c r="KH54" s="125"/>
      <c r="KI54" s="125"/>
      <c r="KJ54" s="125"/>
      <c r="KK54" s="125"/>
      <c r="KL54" s="125"/>
      <c r="KM54" s="125"/>
      <c r="KN54" s="125"/>
      <c r="KO54" s="125"/>
      <c r="KP54" s="125"/>
      <c r="KQ54" s="125"/>
      <c r="KR54" s="125"/>
      <c r="KS54" s="125"/>
      <c r="KT54" s="125"/>
      <c r="KU54" s="125"/>
      <c r="KV54" s="125"/>
      <c r="KW54" s="125"/>
      <c r="KX54" s="125"/>
      <c r="KY54" s="125"/>
      <c r="KZ54" s="125"/>
      <c r="LA54" s="125"/>
      <c r="LB54" s="125"/>
      <c r="LC54" s="125"/>
      <c r="LD54" s="125"/>
      <c r="LE54" s="125"/>
      <c r="LF54" s="125"/>
      <c r="LG54" s="125"/>
      <c r="LH54" s="125"/>
      <c r="LI54" s="125"/>
      <c r="LJ54" s="125"/>
      <c r="LK54" s="125"/>
      <c r="LL54" s="125"/>
      <c r="LM54" s="125"/>
      <c r="LN54" s="125"/>
      <c r="LO54" s="125"/>
      <c r="LP54" s="125"/>
      <c r="LQ54" s="125"/>
      <c r="LR54" s="125"/>
      <c r="LS54" s="125"/>
      <c r="LT54" s="125"/>
      <c r="LU54" s="125"/>
      <c r="LV54" s="125"/>
      <c r="LW54" s="125"/>
      <c r="LX54" s="125"/>
      <c r="LY54" s="125"/>
      <c r="LZ54" s="125"/>
      <c r="MA54" s="125"/>
      <c r="MB54" s="125"/>
      <c r="MC54" s="125"/>
      <c r="MD54" s="125"/>
      <c r="ME54" s="125"/>
      <c r="MF54" s="125"/>
      <c r="MG54" s="125"/>
      <c r="MH54" s="125"/>
      <c r="MI54" s="125"/>
      <c r="MJ54" s="125"/>
      <c r="MK54" s="125"/>
      <c r="ML54" s="125"/>
      <c r="MM54" s="125"/>
      <c r="MN54" s="125"/>
      <c r="MO54" s="125"/>
      <c r="MP54" s="125"/>
      <c r="MQ54" s="125"/>
      <c r="MR54" s="125"/>
      <c r="MS54" s="125"/>
      <c r="MT54" s="125"/>
      <c r="MU54" s="125"/>
      <c r="MV54" s="125"/>
      <c r="MW54" s="125"/>
      <c r="MX54" s="125"/>
      <c r="MY54" s="125"/>
      <c r="MZ54" s="125"/>
      <c r="NA54" s="125"/>
      <c r="NB54" s="125"/>
      <c r="NC54" s="125"/>
      <c r="ND54" s="125"/>
      <c r="NE54" s="125"/>
      <c r="NF54" s="125"/>
      <c r="NG54" s="125"/>
      <c r="NH54" s="125"/>
      <c r="NI54" s="125"/>
      <c r="NJ54" s="125"/>
      <c r="NK54" s="125"/>
      <c r="NL54" s="125"/>
      <c r="NM54" s="125"/>
      <c r="NN54" s="125"/>
      <c r="NO54" s="125"/>
      <c r="NP54" s="125"/>
      <c r="NQ54" s="125"/>
      <c r="NR54" s="125"/>
      <c r="NS54" s="125"/>
      <c r="NT54" s="125"/>
      <c r="NU54" s="125"/>
      <c r="NV54" s="125"/>
      <c r="NW54" s="125"/>
      <c r="NX54" s="125"/>
      <c r="NY54" s="125"/>
      <c r="NZ54" s="125"/>
      <c r="OA54" s="125"/>
      <c r="OB54" s="125"/>
      <c r="OC54" s="125">
        <v>5</v>
      </c>
      <c r="OD54" s="125"/>
      <c r="OE54" s="125"/>
      <c r="OF54" s="125"/>
      <c r="OG54" s="125"/>
      <c r="OH54" s="125"/>
      <c r="OI54" s="125"/>
      <c r="OJ54" s="125"/>
      <c r="OK54" s="125"/>
      <c r="OL54" s="125"/>
      <c r="OM54" s="125"/>
      <c r="ON54" s="125"/>
      <c r="OO54" s="125"/>
      <c r="OP54" s="125"/>
      <c r="OQ54" s="125"/>
      <c r="OR54" s="125"/>
      <c r="OS54" s="125"/>
      <c r="OT54" s="125"/>
      <c r="OU54" s="125"/>
      <c r="OV54" s="125"/>
      <c r="OW54" s="125"/>
      <c r="OX54" s="125"/>
      <c r="OY54" s="125"/>
      <c r="OZ54" s="125"/>
      <c r="PA54" s="125"/>
      <c r="PB54" s="125"/>
      <c r="PC54" s="125"/>
      <c r="PD54" s="125"/>
      <c r="PE54" s="125"/>
      <c r="PF54" s="125"/>
      <c r="PG54" s="125"/>
      <c r="PH54" s="125"/>
      <c r="PI54" s="125"/>
      <c r="PJ54" s="125"/>
      <c r="PK54" s="125"/>
      <c r="PL54" s="125"/>
      <c r="PM54" s="125"/>
      <c r="PN54" s="125"/>
      <c r="PO54" s="125"/>
      <c r="PP54" s="125"/>
      <c r="PQ54" s="125"/>
      <c r="PR54" s="125"/>
      <c r="PS54" s="125"/>
      <c r="PT54" s="125"/>
      <c r="PU54" s="125"/>
      <c r="PV54" s="125"/>
      <c r="PW54" s="125"/>
      <c r="PX54" s="125"/>
      <c r="PY54" s="125"/>
      <c r="PZ54" s="125"/>
      <c r="QA54" s="125"/>
      <c r="QB54" s="125"/>
      <c r="QC54" s="125"/>
      <c r="QD54" s="125"/>
      <c r="QE54" s="125"/>
      <c r="QF54" s="125"/>
      <c r="QG54" s="125"/>
      <c r="QH54" s="125"/>
      <c r="QI54" s="125"/>
      <c r="QJ54" s="125"/>
      <c r="QK54" s="125"/>
      <c r="QL54" s="125"/>
      <c r="QM54" s="125"/>
      <c r="QN54" s="125"/>
      <c r="QO54" s="125"/>
      <c r="QP54" s="125"/>
      <c r="QQ54" s="125"/>
      <c r="QR54" s="125"/>
      <c r="QS54" s="125"/>
      <c r="QT54" s="125"/>
      <c r="QU54" s="125"/>
      <c r="QV54" s="125"/>
      <c r="QW54" s="125"/>
      <c r="QX54" s="125"/>
      <c r="QY54" s="125"/>
      <c r="QZ54" s="125"/>
      <c r="RA54" s="125"/>
      <c r="RB54" s="125"/>
      <c r="RC54" s="125"/>
      <c r="RD54" s="125"/>
      <c r="RE54" s="125"/>
      <c r="RF54" s="125"/>
      <c r="RG54" s="24">
        <f t="shared" si="3"/>
        <v>5</v>
      </c>
      <c r="RH54" s="60" t="s">
        <v>69</v>
      </c>
      <c r="RI54" s="121">
        <v>219</v>
      </c>
      <c r="RJ54" s="77">
        <f>RM54+RN54</f>
        <v>219</v>
      </c>
      <c r="RK54" s="77">
        <v>153.35000000000002</v>
      </c>
      <c r="RL54" s="121">
        <f t="shared" si="4"/>
        <v>0</v>
      </c>
      <c r="RM54" s="145"/>
      <c r="RN54" s="145">
        <v>219</v>
      </c>
      <c r="RO54" s="145"/>
      <c r="RP54" s="104">
        <f t="shared" si="5"/>
        <v>1.4281056406912289</v>
      </c>
      <c r="RQ54" s="172" t="s">
        <v>600</v>
      </c>
    </row>
    <row r="55" spans="1:485" s="5" customFormat="1" ht="12.75" customHeight="1" x14ac:dyDescent="0.25">
      <c r="A55" s="61">
        <v>44978</v>
      </c>
      <c r="B55" s="102" t="s">
        <v>566</v>
      </c>
      <c r="C55" s="123"/>
      <c r="D55" s="123"/>
      <c r="E55" s="124"/>
      <c r="F55" s="124"/>
      <c r="G55" s="124"/>
      <c r="H55" s="124"/>
      <c r="I55" s="124"/>
      <c r="J55" s="124"/>
      <c r="K55" s="124"/>
      <c r="L55" s="124"/>
      <c r="M55" s="124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>
        <v>60</v>
      </c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/>
      <c r="KN55" s="125"/>
      <c r="KO55" s="125"/>
      <c r="KP55" s="125"/>
      <c r="KQ55" s="125"/>
      <c r="KR55" s="125"/>
      <c r="KS55" s="125"/>
      <c r="KT55" s="125"/>
      <c r="KU55" s="125"/>
      <c r="KV55" s="125"/>
      <c r="KW55" s="125"/>
      <c r="KX55" s="125"/>
      <c r="KY55" s="125"/>
      <c r="KZ55" s="125"/>
      <c r="LA55" s="125"/>
      <c r="LB55" s="125"/>
      <c r="LC55" s="125"/>
      <c r="LD55" s="125"/>
      <c r="LE55" s="125"/>
      <c r="LF55" s="125"/>
      <c r="LG55" s="125"/>
      <c r="LH55" s="125"/>
      <c r="LI55" s="125"/>
      <c r="LJ55" s="125"/>
      <c r="LK55" s="125"/>
      <c r="LL55" s="125"/>
      <c r="LM55" s="125"/>
      <c r="LN55" s="125"/>
      <c r="LO55" s="125"/>
      <c r="LP55" s="125"/>
      <c r="LQ55" s="125"/>
      <c r="LR55" s="125"/>
      <c r="LS55" s="125"/>
      <c r="LT55" s="125"/>
      <c r="LU55" s="125"/>
      <c r="LV55" s="125"/>
      <c r="LW55" s="125"/>
      <c r="LX55" s="125"/>
      <c r="LY55" s="125"/>
      <c r="LZ55" s="125"/>
      <c r="MA55" s="125"/>
      <c r="MB55" s="125"/>
      <c r="MC55" s="125"/>
      <c r="MD55" s="125"/>
      <c r="ME55" s="125"/>
      <c r="MF55" s="125"/>
      <c r="MG55" s="125"/>
      <c r="MH55" s="125"/>
      <c r="MI55" s="125"/>
      <c r="MJ55" s="125"/>
      <c r="MK55" s="125"/>
      <c r="ML55" s="125"/>
      <c r="MM55" s="125"/>
      <c r="MN55" s="125"/>
      <c r="MO55" s="125"/>
      <c r="MP55" s="125"/>
      <c r="MQ55" s="125"/>
      <c r="MR55" s="125"/>
      <c r="MS55" s="125"/>
      <c r="MT55" s="125"/>
      <c r="MU55" s="125"/>
      <c r="MV55" s="125"/>
      <c r="MW55" s="125"/>
      <c r="MX55" s="125"/>
      <c r="MY55" s="125"/>
      <c r="MZ55" s="125"/>
      <c r="NA55" s="125"/>
      <c r="NB55" s="125"/>
      <c r="NC55" s="125"/>
      <c r="ND55" s="125"/>
      <c r="NE55" s="125"/>
      <c r="NF55" s="125"/>
      <c r="NG55" s="125"/>
      <c r="NH55" s="125"/>
      <c r="NI55" s="125"/>
      <c r="NJ55" s="125"/>
      <c r="NK55" s="125"/>
      <c r="NL55" s="125"/>
      <c r="NM55" s="125"/>
      <c r="NN55" s="125"/>
      <c r="NO55" s="125"/>
      <c r="NP55" s="125"/>
      <c r="NQ55" s="125"/>
      <c r="NR55" s="125"/>
      <c r="NS55" s="125"/>
      <c r="NT55" s="125"/>
      <c r="NU55" s="125"/>
      <c r="NV55" s="125"/>
      <c r="NW55" s="125"/>
      <c r="NX55" s="125"/>
      <c r="NY55" s="125"/>
      <c r="NZ55" s="125"/>
      <c r="OA55" s="125"/>
      <c r="OB55" s="125"/>
      <c r="OC55" s="125"/>
      <c r="OD55" s="125"/>
      <c r="OE55" s="125"/>
      <c r="OF55" s="125"/>
      <c r="OG55" s="125"/>
      <c r="OH55" s="125"/>
      <c r="OI55" s="125"/>
      <c r="OJ55" s="125"/>
      <c r="OK55" s="125"/>
      <c r="OL55" s="125"/>
      <c r="OM55" s="125"/>
      <c r="ON55" s="125"/>
      <c r="OO55" s="125"/>
      <c r="OP55" s="125"/>
      <c r="OQ55" s="125"/>
      <c r="OR55" s="125"/>
      <c r="OS55" s="125"/>
      <c r="OT55" s="125"/>
      <c r="OU55" s="125"/>
      <c r="OV55" s="125"/>
      <c r="OW55" s="125"/>
      <c r="OX55" s="125"/>
      <c r="OY55" s="125"/>
      <c r="OZ55" s="125"/>
      <c r="PA55" s="125"/>
      <c r="PB55" s="125"/>
      <c r="PC55" s="125"/>
      <c r="PD55" s="125"/>
      <c r="PE55" s="125"/>
      <c r="PF55" s="125"/>
      <c r="PG55" s="125"/>
      <c r="PH55" s="125"/>
      <c r="PI55" s="125"/>
      <c r="PJ55" s="125"/>
      <c r="PK55" s="125"/>
      <c r="PL55" s="125"/>
      <c r="PM55" s="125"/>
      <c r="PN55" s="125"/>
      <c r="PO55" s="125"/>
      <c r="PP55" s="125"/>
      <c r="PQ55" s="125"/>
      <c r="PR55" s="125"/>
      <c r="PS55" s="125"/>
      <c r="PT55" s="125"/>
      <c r="PU55" s="125"/>
      <c r="PV55" s="125"/>
      <c r="PW55" s="125"/>
      <c r="PX55" s="125"/>
      <c r="PY55" s="125"/>
      <c r="PZ55" s="125"/>
      <c r="QA55" s="125"/>
      <c r="QB55" s="125"/>
      <c r="QC55" s="125"/>
      <c r="QD55" s="125"/>
      <c r="QE55" s="125"/>
      <c r="QF55" s="125"/>
      <c r="QG55" s="125"/>
      <c r="QH55" s="125"/>
      <c r="QI55" s="125"/>
      <c r="QJ55" s="125"/>
      <c r="QK55" s="125"/>
      <c r="QL55" s="125"/>
      <c r="QM55" s="125"/>
      <c r="QN55" s="125"/>
      <c r="QO55" s="125"/>
      <c r="QP55" s="125"/>
      <c r="QQ55" s="125"/>
      <c r="QR55" s="125"/>
      <c r="QS55" s="125"/>
      <c r="QT55" s="125"/>
      <c r="QU55" s="125"/>
      <c r="QV55" s="125"/>
      <c r="QW55" s="125"/>
      <c r="QX55" s="125"/>
      <c r="QY55" s="125"/>
      <c r="QZ55" s="125"/>
      <c r="RA55" s="125"/>
      <c r="RB55" s="125"/>
      <c r="RC55" s="125"/>
      <c r="RD55" s="125"/>
      <c r="RE55" s="125"/>
      <c r="RF55" s="125"/>
      <c r="RG55" s="24">
        <f t="shared" si="3"/>
        <v>60</v>
      </c>
      <c r="RH55" s="60" t="s">
        <v>36</v>
      </c>
      <c r="RI55" s="121">
        <v>3060</v>
      </c>
      <c r="RJ55" s="77">
        <f>RM55+RN55+RO55</f>
        <v>3060</v>
      </c>
      <c r="RK55" s="77">
        <v>1911</v>
      </c>
      <c r="RL55" s="121">
        <f t="shared" si="4"/>
        <v>0</v>
      </c>
      <c r="RM55" s="145"/>
      <c r="RN55" s="145">
        <v>3060</v>
      </c>
      <c r="RO55" s="145"/>
      <c r="RP55" s="104">
        <f t="shared" si="5"/>
        <v>1.6012558869701727</v>
      </c>
      <c r="RQ55" s="172"/>
    </row>
    <row r="56" spans="1:485" s="5" customFormat="1" ht="12.75" customHeight="1" x14ac:dyDescent="0.25">
      <c r="A56" s="61">
        <v>44978</v>
      </c>
      <c r="B56" s="112" t="s">
        <v>75</v>
      </c>
      <c r="C56" s="123"/>
      <c r="D56" s="123"/>
      <c r="E56" s="124"/>
      <c r="F56" s="124"/>
      <c r="G56" s="124"/>
      <c r="H56" s="124"/>
      <c r="I56" s="124">
        <v>10</v>
      </c>
      <c r="J56" s="124"/>
      <c r="K56" s="124"/>
      <c r="L56" s="124"/>
      <c r="M56" s="124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5"/>
      <c r="BX56" s="125">
        <v>54</v>
      </c>
      <c r="BY56" s="125"/>
      <c r="BZ56" s="125"/>
      <c r="CA56" s="125"/>
      <c r="CB56" s="125"/>
      <c r="CC56" s="125"/>
      <c r="CD56" s="125"/>
      <c r="CE56" s="125"/>
      <c r="CF56" s="125"/>
      <c r="CG56" s="125"/>
      <c r="CH56" s="125"/>
      <c r="CI56" s="125"/>
      <c r="CJ56" s="125"/>
      <c r="CK56" s="125"/>
      <c r="CL56" s="125"/>
      <c r="CM56" s="125"/>
      <c r="CN56" s="125"/>
      <c r="CO56" s="125"/>
      <c r="CP56" s="125"/>
      <c r="CQ56" s="125"/>
      <c r="CR56" s="125"/>
      <c r="CS56" s="125"/>
      <c r="CT56" s="125"/>
      <c r="CU56" s="125"/>
      <c r="CV56" s="125"/>
      <c r="CW56" s="125"/>
      <c r="CX56" s="125"/>
      <c r="CY56" s="125"/>
      <c r="CZ56" s="125"/>
      <c r="DA56" s="125"/>
      <c r="DB56" s="125"/>
      <c r="DC56" s="125"/>
      <c r="DD56" s="125"/>
      <c r="DE56" s="125"/>
      <c r="DF56" s="125"/>
      <c r="DG56" s="125"/>
      <c r="DH56" s="125"/>
      <c r="DI56" s="125"/>
      <c r="DJ56" s="125"/>
      <c r="DK56" s="125"/>
      <c r="DL56" s="125"/>
      <c r="DM56" s="125"/>
      <c r="DN56" s="125"/>
      <c r="DO56" s="125"/>
      <c r="DP56" s="125"/>
      <c r="DQ56" s="125"/>
      <c r="DR56" s="125"/>
      <c r="DS56" s="125"/>
      <c r="DT56" s="125"/>
      <c r="DU56" s="125"/>
      <c r="DV56" s="125"/>
      <c r="DW56" s="125"/>
      <c r="DX56" s="125"/>
      <c r="DY56" s="125"/>
      <c r="DZ56" s="125"/>
      <c r="EA56" s="125"/>
      <c r="EB56" s="125"/>
      <c r="EC56" s="125"/>
      <c r="ED56" s="125"/>
      <c r="EE56" s="125"/>
      <c r="EF56" s="125"/>
      <c r="EG56" s="125"/>
      <c r="EH56" s="125"/>
      <c r="EI56" s="125"/>
      <c r="EJ56" s="125"/>
      <c r="EK56" s="125"/>
      <c r="EL56" s="125"/>
      <c r="EM56" s="125"/>
      <c r="EN56" s="125"/>
      <c r="EO56" s="125"/>
      <c r="EP56" s="125"/>
      <c r="EQ56" s="125"/>
      <c r="ER56" s="125"/>
      <c r="ES56" s="125"/>
      <c r="ET56" s="125"/>
      <c r="EU56" s="125"/>
      <c r="EV56" s="125"/>
      <c r="EW56" s="125"/>
      <c r="EX56" s="125"/>
      <c r="EY56" s="125"/>
      <c r="EZ56" s="125"/>
      <c r="FA56" s="125"/>
      <c r="FB56" s="125"/>
      <c r="FC56" s="125"/>
      <c r="FD56" s="125"/>
      <c r="FE56" s="125"/>
      <c r="FF56" s="125"/>
      <c r="FG56" s="125"/>
      <c r="FH56" s="125"/>
      <c r="FI56" s="125"/>
      <c r="FJ56" s="125"/>
      <c r="FK56" s="125"/>
      <c r="FL56" s="125"/>
      <c r="FM56" s="125"/>
      <c r="FN56" s="125"/>
      <c r="FO56" s="125"/>
      <c r="FP56" s="125"/>
      <c r="FQ56" s="125"/>
      <c r="FR56" s="125"/>
      <c r="FS56" s="125"/>
      <c r="FT56" s="125"/>
      <c r="FU56" s="125"/>
      <c r="FV56" s="125"/>
      <c r="FW56" s="125"/>
      <c r="FX56" s="125"/>
      <c r="FY56" s="125"/>
      <c r="FZ56" s="125"/>
      <c r="GA56" s="125"/>
      <c r="GB56" s="125"/>
      <c r="GC56" s="125"/>
      <c r="GD56" s="125"/>
      <c r="GE56" s="125"/>
      <c r="GF56" s="125"/>
      <c r="GG56" s="125"/>
      <c r="GH56" s="125"/>
      <c r="GI56" s="125"/>
      <c r="GJ56" s="125"/>
      <c r="GK56" s="125"/>
      <c r="GL56" s="125"/>
      <c r="GM56" s="125"/>
      <c r="GN56" s="125"/>
      <c r="GO56" s="125"/>
      <c r="GP56" s="125"/>
      <c r="GQ56" s="125"/>
      <c r="GR56" s="125"/>
      <c r="GS56" s="125"/>
      <c r="GT56" s="125"/>
      <c r="GU56" s="125"/>
      <c r="GV56" s="125"/>
      <c r="GW56" s="125"/>
      <c r="GX56" s="125"/>
      <c r="GY56" s="125"/>
      <c r="GZ56" s="125"/>
      <c r="HA56" s="125"/>
      <c r="HB56" s="125"/>
      <c r="HC56" s="125"/>
      <c r="HD56" s="125"/>
      <c r="HE56" s="125"/>
      <c r="HF56" s="125"/>
      <c r="HG56" s="125"/>
      <c r="HH56" s="125"/>
      <c r="HI56" s="125"/>
      <c r="HJ56" s="125"/>
      <c r="HK56" s="125"/>
      <c r="HL56" s="125"/>
      <c r="HM56" s="125"/>
      <c r="HN56" s="125"/>
      <c r="HO56" s="125"/>
      <c r="HP56" s="125"/>
      <c r="HQ56" s="125"/>
      <c r="HR56" s="125"/>
      <c r="HS56" s="125"/>
      <c r="HT56" s="125"/>
      <c r="HU56" s="125"/>
      <c r="HV56" s="125"/>
      <c r="HW56" s="125"/>
      <c r="HX56" s="125"/>
      <c r="HY56" s="125"/>
      <c r="HZ56" s="125"/>
      <c r="IA56" s="125"/>
      <c r="IB56" s="125"/>
      <c r="IC56" s="125"/>
      <c r="ID56" s="125"/>
      <c r="IE56" s="125"/>
      <c r="IF56" s="125"/>
      <c r="IG56" s="125"/>
      <c r="IH56" s="125"/>
      <c r="II56" s="125"/>
      <c r="IJ56" s="125"/>
      <c r="IK56" s="125"/>
      <c r="IL56" s="125"/>
      <c r="IM56" s="125"/>
      <c r="IN56" s="125"/>
      <c r="IO56" s="125"/>
      <c r="IP56" s="125"/>
      <c r="IQ56" s="125"/>
      <c r="IR56" s="125"/>
      <c r="IS56" s="125"/>
      <c r="IT56" s="125"/>
      <c r="IU56" s="125"/>
      <c r="IV56" s="125"/>
      <c r="IW56" s="125"/>
      <c r="IX56" s="125"/>
      <c r="IY56" s="125"/>
      <c r="IZ56" s="125"/>
      <c r="JA56" s="125"/>
      <c r="JB56" s="125"/>
      <c r="JC56" s="125"/>
      <c r="JD56" s="125"/>
      <c r="JE56" s="125"/>
      <c r="JF56" s="125"/>
      <c r="JG56" s="125"/>
      <c r="JH56" s="125"/>
      <c r="JI56" s="125"/>
      <c r="JJ56" s="125"/>
      <c r="JK56" s="125"/>
      <c r="JL56" s="125"/>
      <c r="JM56" s="125"/>
      <c r="JN56" s="125"/>
      <c r="JO56" s="125"/>
      <c r="JP56" s="125"/>
      <c r="JQ56" s="125"/>
      <c r="JR56" s="125"/>
      <c r="JS56" s="125"/>
      <c r="JT56" s="125"/>
      <c r="JU56" s="125"/>
      <c r="JV56" s="125"/>
      <c r="JW56" s="125"/>
      <c r="JX56" s="125"/>
      <c r="JY56" s="125"/>
      <c r="JZ56" s="125"/>
      <c r="KA56" s="125"/>
      <c r="KB56" s="125"/>
      <c r="KC56" s="125"/>
      <c r="KD56" s="125"/>
      <c r="KE56" s="125"/>
      <c r="KF56" s="125"/>
      <c r="KG56" s="125"/>
      <c r="KH56" s="125"/>
      <c r="KI56" s="125"/>
      <c r="KJ56" s="125"/>
      <c r="KK56" s="125"/>
      <c r="KL56" s="125"/>
      <c r="KM56" s="125"/>
      <c r="KN56" s="125"/>
      <c r="KO56" s="125"/>
      <c r="KP56" s="125"/>
      <c r="KQ56" s="125"/>
      <c r="KR56" s="125"/>
      <c r="KS56" s="125"/>
      <c r="KT56" s="125"/>
      <c r="KU56" s="125"/>
      <c r="KV56" s="125"/>
      <c r="KW56" s="125"/>
      <c r="KX56" s="125"/>
      <c r="KY56" s="125"/>
      <c r="KZ56" s="125"/>
      <c r="LA56" s="125"/>
      <c r="LB56" s="125"/>
      <c r="LC56" s="125"/>
      <c r="LD56" s="125"/>
      <c r="LE56" s="125"/>
      <c r="LF56" s="125"/>
      <c r="LG56" s="125"/>
      <c r="LH56" s="125"/>
      <c r="LI56" s="125"/>
      <c r="LJ56" s="125"/>
      <c r="LK56" s="125"/>
      <c r="LL56" s="125"/>
      <c r="LM56" s="125"/>
      <c r="LN56" s="125"/>
      <c r="LO56" s="125"/>
      <c r="LP56" s="125"/>
      <c r="LQ56" s="125"/>
      <c r="LR56" s="125"/>
      <c r="LS56" s="125"/>
      <c r="LT56" s="125"/>
      <c r="LU56" s="125"/>
      <c r="LV56" s="125">
        <v>1</v>
      </c>
      <c r="LW56" s="125"/>
      <c r="LX56" s="125"/>
      <c r="LY56" s="125"/>
      <c r="LZ56" s="125"/>
      <c r="MA56" s="125"/>
      <c r="MB56" s="125"/>
      <c r="MC56" s="125"/>
      <c r="MD56" s="125"/>
      <c r="ME56" s="125"/>
      <c r="MF56" s="125"/>
      <c r="MG56" s="125"/>
      <c r="MH56" s="125"/>
      <c r="MI56" s="125"/>
      <c r="MJ56" s="125"/>
      <c r="MK56" s="125"/>
      <c r="ML56" s="125"/>
      <c r="MM56" s="125">
        <v>40</v>
      </c>
      <c r="MN56" s="125"/>
      <c r="MO56" s="125"/>
      <c r="MP56" s="125"/>
      <c r="MQ56" s="125"/>
      <c r="MR56" s="125"/>
      <c r="MS56" s="125"/>
      <c r="MT56" s="125"/>
      <c r="MU56" s="125"/>
      <c r="MV56" s="125"/>
      <c r="MW56" s="125"/>
      <c r="MX56" s="125"/>
      <c r="MY56" s="125"/>
      <c r="MZ56" s="125"/>
      <c r="NA56" s="125"/>
      <c r="NB56" s="125"/>
      <c r="NC56" s="125"/>
      <c r="ND56" s="125"/>
      <c r="NE56" s="125"/>
      <c r="NF56" s="125"/>
      <c r="NG56" s="125"/>
      <c r="NH56" s="125"/>
      <c r="NI56" s="125"/>
      <c r="NJ56" s="125"/>
      <c r="NK56" s="125"/>
      <c r="NL56" s="125"/>
      <c r="NM56" s="125"/>
      <c r="NN56" s="125"/>
      <c r="NO56" s="125"/>
      <c r="NP56" s="125"/>
      <c r="NQ56" s="125"/>
      <c r="NR56" s="125"/>
      <c r="NS56" s="125"/>
      <c r="NT56" s="125"/>
      <c r="NU56" s="125"/>
      <c r="NV56" s="125"/>
      <c r="NW56" s="125"/>
      <c r="NX56" s="125"/>
      <c r="NY56" s="125"/>
      <c r="NZ56" s="125"/>
      <c r="OA56" s="125"/>
      <c r="OB56" s="125"/>
      <c r="OC56" s="125"/>
      <c r="OD56" s="125"/>
      <c r="OE56" s="125"/>
      <c r="OF56" s="125"/>
      <c r="OG56" s="125"/>
      <c r="OH56" s="125"/>
      <c r="OI56" s="125"/>
      <c r="OJ56" s="125"/>
      <c r="OK56" s="125"/>
      <c r="OL56" s="125"/>
      <c r="OM56" s="125"/>
      <c r="ON56" s="125"/>
      <c r="OO56" s="125"/>
      <c r="OP56" s="125"/>
      <c r="OQ56" s="125"/>
      <c r="OR56" s="125"/>
      <c r="OS56" s="125"/>
      <c r="OT56" s="125"/>
      <c r="OU56" s="125"/>
      <c r="OV56" s="125"/>
      <c r="OW56" s="125"/>
      <c r="OX56" s="125"/>
      <c r="OY56" s="125"/>
      <c r="OZ56" s="125"/>
      <c r="PA56" s="125"/>
      <c r="PB56" s="125"/>
      <c r="PC56" s="125"/>
      <c r="PD56" s="125"/>
      <c r="PE56" s="125"/>
      <c r="PF56" s="125"/>
      <c r="PG56" s="125"/>
      <c r="PH56" s="125"/>
      <c r="PI56" s="125"/>
      <c r="PJ56" s="125"/>
      <c r="PK56" s="125"/>
      <c r="PL56" s="125"/>
      <c r="PM56" s="125"/>
      <c r="PN56" s="125"/>
      <c r="PO56" s="125"/>
      <c r="PP56" s="125"/>
      <c r="PQ56" s="125"/>
      <c r="PR56" s="125"/>
      <c r="PS56" s="125"/>
      <c r="PT56" s="125"/>
      <c r="PU56" s="125"/>
      <c r="PV56" s="125"/>
      <c r="PW56" s="125"/>
      <c r="PX56" s="125"/>
      <c r="PY56" s="125"/>
      <c r="PZ56" s="125"/>
      <c r="QA56" s="125"/>
      <c r="QB56" s="125"/>
      <c r="QC56" s="125"/>
      <c r="QD56" s="125"/>
      <c r="QE56" s="125"/>
      <c r="QF56" s="125"/>
      <c r="QG56" s="125"/>
      <c r="QH56" s="125"/>
      <c r="QI56" s="125"/>
      <c r="QJ56" s="125">
        <v>200</v>
      </c>
      <c r="QK56" s="125"/>
      <c r="QL56" s="125"/>
      <c r="QM56" s="125"/>
      <c r="QN56" s="125"/>
      <c r="QO56" s="125"/>
      <c r="QP56" s="125"/>
      <c r="QQ56" s="125"/>
      <c r="QR56" s="125"/>
      <c r="QS56" s="125"/>
      <c r="QT56" s="125"/>
      <c r="QU56" s="125"/>
      <c r="QV56" s="125"/>
      <c r="QW56" s="125"/>
      <c r="QX56" s="125"/>
      <c r="QY56" s="125"/>
      <c r="QZ56" s="125"/>
      <c r="RA56" s="125"/>
      <c r="RB56" s="125"/>
      <c r="RC56" s="125"/>
      <c r="RD56" s="125"/>
      <c r="RE56" s="125"/>
      <c r="RF56" s="125"/>
      <c r="RG56" s="24">
        <f t="shared" si="3"/>
        <v>305</v>
      </c>
      <c r="RH56" s="60" t="s">
        <v>91</v>
      </c>
      <c r="RI56" s="121">
        <v>17403.16</v>
      </c>
      <c r="RJ56" s="77">
        <f>RM56+RN56+RO56</f>
        <v>0</v>
      </c>
      <c r="RK56" s="77">
        <v>10958.95</v>
      </c>
      <c r="RL56" s="121">
        <f t="shared" si="4"/>
        <v>17403.16</v>
      </c>
      <c r="RM56" s="145"/>
      <c r="RN56" s="145"/>
      <c r="RO56" s="145"/>
      <c r="RP56" s="104">
        <f t="shared" si="5"/>
        <v>1.5880317001172557</v>
      </c>
      <c r="RQ56" s="172" t="s">
        <v>604</v>
      </c>
    </row>
    <row r="57" spans="1:485" s="5" customFormat="1" ht="12.75" customHeight="1" x14ac:dyDescent="0.25">
      <c r="A57" s="61">
        <v>44979</v>
      </c>
      <c r="B57" s="102" t="s">
        <v>462</v>
      </c>
      <c r="C57" s="123"/>
      <c r="D57" s="123"/>
      <c r="E57" s="124"/>
      <c r="F57" s="124"/>
      <c r="G57" s="124"/>
      <c r="H57" s="124"/>
      <c r="I57" s="124"/>
      <c r="J57" s="124"/>
      <c r="K57" s="124"/>
      <c r="L57" s="124"/>
      <c r="M57" s="124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B57" s="125"/>
      <c r="DC57" s="125"/>
      <c r="DD57" s="125"/>
      <c r="DE57" s="125"/>
      <c r="DF57" s="125"/>
      <c r="DG57" s="125"/>
      <c r="DH57" s="125"/>
      <c r="DI57" s="125"/>
      <c r="DJ57" s="125"/>
      <c r="DK57" s="125"/>
      <c r="DL57" s="125"/>
      <c r="DM57" s="125"/>
      <c r="DN57" s="125"/>
      <c r="DO57" s="125"/>
      <c r="DP57" s="125"/>
      <c r="DQ57" s="125"/>
      <c r="DR57" s="125"/>
      <c r="DS57" s="125"/>
      <c r="DT57" s="125"/>
      <c r="DU57" s="125"/>
      <c r="DV57" s="125"/>
      <c r="DW57" s="125"/>
      <c r="DX57" s="125"/>
      <c r="DY57" s="125"/>
      <c r="DZ57" s="125"/>
      <c r="EA57" s="125"/>
      <c r="EB57" s="125"/>
      <c r="EC57" s="125"/>
      <c r="ED57" s="125"/>
      <c r="EE57" s="125"/>
      <c r="EF57" s="125"/>
      <c r="EG57" s="125"/>
      <c r="EH57" s="125"/>
      <c r="EI57" s="125"/>
      <c r="EJ57" s="125"/>
      <c r="EK57" s="125"/>
      <c r="EL57" s="125"/>
      <c r="EM57" s="125"/>
      <c r="EN57" s="125"/>
      <c r="EO57" s="125"/>
      <c r="EP57" s="125"/>
      <c r="EQ57" s="125"/>
      <c r="ER57" s="125"/>
      <c r="ES57" s="125"/>
      <c r="ET57" s="125"/>
      <c r="EU57" s="125"/>
      <c r="EV57" s="125"/>
      <c r="EW57" s="125"/>
      <c r="EX57" s="125"/>
      <c r="EY57" s="125"/>
      <c r="EZ57" s="125"/>
      <c r="FA57" s="125"/>
      <c r="FB57" s="125"/>
      <c r="FC57" s="125"/>
      <c r="FD57" s="125"/>
      <c r="FE57" s="125"/>
      <c r="FF57" s="125"/>
      <c r="FG57" s="125"/>
      <c r="FH57" s="125"/>
      <c r="FI57" s="125"/>
      <c r="FJ57" s="125"/>
      <c r="FK57" s="125"/>
      <c r="FL57" s="125"/>
      <c r="FM57" s="125"/>
      <c r="FN57" s="125"/>
      <c r="FO57" s="125"/>
      <c r="FP57" s="125"/>
      <c r="FQ57" s="125"/>
      <c r="FR57" s="125"/>
      <c r="FS57" s="125"/>
      <c r="FT57" s="125"/>
      <c r="FU57" s="125"/>
      <c r="FV57" s="125"/>
      <c r="FW57" s="125"/>
      <c r="FX57" s="125"/>
      <c r="FY57" s="125"/>
      <c r="FZ57" s="125"/>
      <c r="GA57" s="125"/>
      <c r="GB57" s="125"/>
      <c r="GC57" s="125"/>
      <c r="GD57" s="125"/>
      <c r="GE57" s="125"/>
      <c r="GF57" s="125"/>
      <c r="GG57" s="125"/>
      <c r="GH57" s="125"/>
      <c r="GI57" s="125"/>
      <c r="GJ57" s="125"/>
      <c r="GK57" s="125"/>
      <c r="GL57" s="125"/>
      <c r="GM57" s="125"/>
      <c r="GN57" s="125"/>
      <c r="GO57" s="125"/>
      <c r="GP57" s="125"/>
      <c r="GQ57" s="125"/>
      <c r="GR57" s="125"/>
      <c r="GS57" s="125"/>
      <c r="GT57" s="125"/>
      <c r="GU57" s="125"/>
      <c r="GV57" s="125"/>
      <c r="GW57" s="125"/>
      <c r="GX57" s="125"/>
      <c r="GY57" s="125"/>
      <c r="GZ57" s="125"/>
      <c r="HA57" s="125"/>
      <c r="HB57" s="125"/>
      <c r="HC57" s="125"/>
      <c r="HD57" s="125"/>
      <c r="HE57" s="125"/>
      <c r="HF57" s="125"/>
      <c r="HG57" s="125"/>
      <c r="HH57" s="125"/>
      <c r="HI57" s="125"/>
      <c r="HJ57" s="125"/>
      <c r="HK57" s="125"/>
      <c r="HL57" s="125"/>
      <c r="HM57" s="125"/>
      <c r="HN57" s="125"/>
      <c r="HO57" s="125"/>
      <c r="HP57" s="125"/>
      <c r="HQ57" s="125"/>
      <c r="HR57" s="125"/>
      <c r="HS57" s="125"/>
      <c r="HT57" s="125"/>
      <c r="HU57" s="125"/>
      <c r="HV57" s="125"/>
      <c r="HW57" s="125">
        <v>14</v>
      </c>
      <c r="HX57" s="125"/>
      <c r="HY57" s="125"/>
      <c r="HZ57" s="125"/>
      <c r="IA57" s="125"/>
      <c r="IB57" s="125"/>
      <c r="IC57" s="125"/>
      <c r="ID57" s="125"/>
      <c r="IE57" s="125"/>
      <c r="IF57" s="125"/>
      <c r="IG57" s="125"/>
      <c r="IH57" s="125"/>
      <c r="II57" s="125"/>
      <c r="IJ57" s="125"/>
      <c r="IK57" s="125"/>
      <c r="IL57" s="125"/>
      <c r="IM57" s="125"/>
      <c r="IN57" s="125"/>
      <c r="IO57" s="125"/>
      <c r="IP57" s="125"/>
      <c r="IQ57" s="125"/>
      <c r="IR57" s="125"/>
      <c r="IS57" s="125"/>
      <c r="IT57" s="125"/>
      <c r="IU57" s="125"/>
      <c r="IV57" s="125"/>
      <c r="IW57" s="125"/>
      <c r="IX57" s="125"/>
      <c r="IY57" s="125"/>
      <c r="IZ57" s="125"/>
      <c r="JA57" s="125"/>
      <c r="JB57" s="125"/>
      <c r="JC57" s="125"/>
      <c r="JD57" s="125"/>
      <c r="JE57" s="125"/>
      <c r="JF57" s="125"/>
      <c r="JG57" s="125"/>
      <c r="JH57" s="125"/>
      <c r="JI57" s="125"/>
      <c r="JJ57" s="125"/>
      <c r="JK57" s="125"/>
      <c r="JL57" s="125"/>
      <c r="JM57" s="125">
        <v>8</v>
      </c>
      <c r="JN57" s="125"/>
      <c r="JO57" s="125"/>
      <c r="JP57" s="125"/>
      <c r="JQ57" s="125"/>
      <c r="JR57" s="125"/>
      <c r="JS57" s="125"/>
      <c r="JT57" s="125"/>
      <c r="JU57" s="125"/>
      <c r="JV57" s="125"/>
      <c r="JW57" s="125"/>
      <c r="JX57" s="125"/>
      <c r="JY57" s="125"/>
      <c r="JZ57" s="125"/>
      <c r="KA57" s="125"/>
      <c r="KB57" s="125"/>
      <c r="KC57" s="125"/>
      <c r="KD57" s="125"/>
      <c r="KE57" s="125"/>
      <c r="KF57" s="125"/>
      <c r="KG57" s="125"/>
      <c r="KH57" s="125"/>
      <c r="KI57" s="125"/>
      <c r="KJ57" s="125"/>
      <c r="KK57" s="125"/>
      <c r="KL57" s="125"/>
      <c r="KM57" s="125"/>
      <c r="KN57" s="125"/>
      <c r="KO57" s="125"/>
      <c r="KP57" s="125"/>
      <c r="KQ57" s="125"/>
      <c r="KR57" s="125"/>
      <c r="KS57" s="125"/>
      <c r="KT57" s="125"/>
      <c r="KU57" s="125"/>
      <c r="KV57" s="125"/>
      <c r="KW57" s="125"/>
      <c r="KX57" s="125"/>
      <c r="KY57" s="125"/>
      <c r="KZ57" s="125"/>
      <c r="LA57" s="125">
        <v>90</v>
      </c>
      <c r="LB57" s="125"/>
      <c r="LC57" s="125"/>
      <c r="LD57" s="125"/>
      <c r="LE57" s="125"/>
      <c r="LF57" s="125"/>
      <c r="LG57" s="125"/>
      <c r="LH57" s="125"/>
      <c r="LI57" s="125"/>
      <c r="LJ57" s="125"/>
      <c r="LK57" s="125"/>
      <c r="LL57" s="125"/>
      <c r="LM57" s="125"/>
      <c r="LN57" s="125"/>
      <c r="LO57" s="125"/>
      <c r="LP57" s="125"/>
      <c r="LQ57" s="125"/>
      <c r="LR57" s="125"/>
      <c r="LS57" s="125"/>
      <c r="LT57" s="125"/>
      <c r="LU57" s="125"/>
      <c r="LV57" s="125"/>
      <c r="LW57" s="125"/>
      <c r="LX57" s="125"/>
      <c r="LY57" s="125"/>
      <c r="LZ57" s="125"/>
      <c r="MA57" s="125"/>
      <c r="MB57" s="125"/>
      <c r="MC57" s="125"/>
      <c r="MD57" s="125"/>
      <c r="ME57" s="125"/>
      <c r="MF57" s="125"/>
      <c r="MG57" s="125"/>
      <c r="MH57" s="125"/>
      <c r="MI57" s="125"/>
      <c r="MJ57" s="125"/>
      <c r="MK57" s="125"/>
      <c r="ML57" s="125"/>
      <c r="MM57" s="125"/>
      <c r="MN57" s="125"/>
      <c r="MO57" s="125"/>
      <c r="MP57" s="125"/>
      <c r="MQ57" s="125"/>
      <c r="MR57" s="125"/>
      <c r="MS57" s="125"/>
      <c r="MT57" s="125"/>
      <c r="MU57" s="125"/>
      <c r="MV57" s="125"/>
      <c r="MW57" s="125"/>
      <c r="MX57" s="125"/>
      <c r="MY57" s="125"/>
      <c r="MZ57" s="125"/>
      <c r="NA57" s="125"/>
      <c r="NB57" s="125"/>
      <c r="NC57" s="125"/>
      <c r="ND57" s="125"/>
      <c r="NE57" s="125"/>
      <c r="NF57" s="125"/>
      <c r="NG57" s="125"/>
      <c r="NH57" s="125"/>
      <c r="NI57" s="125"/>
      <c r="NJ57" s="125"/>
      <c r="NK57" s="125"/>
      <c r="NL57" s="125"/>
      <c r="NM57" s="125"/>
      <c r="NN57" s="125"/>
      <c r="NO57" s="125"/>
      <c r="NP57" s="125"/>
      <c r="NQ57" s="125"/>
      <c r="NR57" s="125"/>
      <c r="NS57" s="125"/>
      <c r="NT57" s="125"/>
      <c r="NU57" s="125"/>
      <c r="NV57" s="125"/>
      <c r="NW57" s="125"/>
      <c r="NX57" s="125"/>
      <c r="NY57" s="125"/>
      <c r="NZ57" s="125"/>
      <c r="OA57" s="125"/>
      <c r="OB57" s="125"/>
      <c r="OC57" s="125"/>
      <c r="OD57" s="125"/>
      <c r="OE57" s="125"/>
      <c r="OF57" s="125"/>
      <c r="OG57" s="125"/>
      <c r="OH57" s="125"/>
      <c r="OI57" s="125"/>
      <c r="OJ57" s="125"/>
      <c r="OK57" s="125"/>
      <c r="OL57" s="125"/>
      <c r="OM57" s="125"/>
      <c r="ON57" s="125"/>
      <c r="OO57" s="125"/>
      <c r="OP57" s="125"/>
      <c r="OQ57" s="125"/>
      <c r="OR57" s="125"/>
      <c r="OS57" s="125"/>
      <c r="OT57" s="125"/>
      <c r="OU57" s="125"/>
      <c r="OV57" s="125"/>
      <c r="OW57" s="125"/>
      <c r="OX57" s="125"/>
      <c r="OY57" s="125"/>
      <c r="OZ57" s="125"/>
      <c r="PA57" s="125"/>
      <c r="PB57" s="125"/>
      <c r="PC57" s="125"/>
      <c r="PD57" s="125"/>
      <c r="PE57" s="125"/>
      <c r="PF57" s="125"/>
      <c r="PG57" s="125"/>
      <c r="PH57" s="125"/>
      <c r="PI57" s="125"/>
      <c r="PJ57" s="125"/>
      <c r="PK57" s="125"/>
      <c r="PL57" s="125"/>
      <c r="PM57" s="125"/>
      <c r="PN57" s="125"/>
      <c r="PO57" s="125"/>
      <c r="PP57" s="125"/>
      <c r="PQ57" s="125"/>
      <c r="PR57" s="125"/>
      <c r="PS57" s="125"/>
      <c r="PT57" s="125"/>
      <c r="PU57" s="125"/>
      <c r="PV57" s="125"/>
      <c r="PW57" s="125"/>
      <c r="PX57" s="125"/>
      <c r="PY57" s="125"/>
      <c r="PZ57" s="125"/>
      <c r="QA57" s="125"/>
      <c r="QB57" s="125"/>
      <c r="QC57" s="125"/>
      <c r="QD57" s="125"/>
      <c r="QE57" s="125"/>
      <c r="QF57" s="125"/>
      <c r="QG57" s="125"/>
      <c r="QH57" s="125"/>
      <c r="QI57" s="125"/>
      <c r="QJ57" s="125"/>
      <c r="QK57" s="125"/>
      <c r="QL57" s="125"/>
      <c r="QM57" s="125"/>
      <c r="QN57" s="125"/>
      <c r="QO57" s="125"/>
      <c r="QP57" s="125"/>
      <c r="QQ57" s="125"/>
      <c r="QR57" s="125"/>
      <c r="QS57" s="125"/>
      <c r="QT57" s="125"/>
      <c r="QU57" s="125"/>
      <c r="QV57" s="125"/>
      <c r="QW57" s="125"/>
      <c r="QX57" s="125"/>
      <c r="QY57" s="125"/>
      <c r="QZ57" s="125"/>
      <c r="RA57" s="125"/>
      <c r="RB57" s="125"/>
      <c r="RC57" s="125"/>
      <c r="RD57" s="125"/>
      <c r="RE57" s="125"/>
      <c r="RF57" s="125"/>
      <c r="RG57" s="24">
        <f t="shared" si="3"/>
        <v>112</v>
      </c>
      <c r="RH57" s="60" t="s">
        <v>36</v>
      </c>
      <c r="RI57" s="121">
        <v>8783.16</v>
      </c>
      <c r="RJ57" s="77">
        <f>RM57+RN57+RO57</f>
        <v>8783.16</v>
      </c>
      <c r="RK57" s="77">
        <v>4705</v>
      </c>
      <c r="RL57" s="121">
        <f t="shared" si="4"/>
        <v>0</v>
      </c>
      <c r="RM57" s="145"/>
      <c r="RN57" s="145">
        <v>8783.16</v>
      </c>
      <c r="RO57" s="145"/>
      <c r="RP57" s="104">
        <f t="shared" si="5"/>
        <v>1.8667715196599362</v>
      </c>
      <c r="RQ57" s="172"/>
    </row>
    <row r="58" spans="1:485" s="5" customFormat="1" ht="12.75" customHeight="1" x14ac:dyDescent="0.25">
      <c r="A58" s="61">
        <v>44979</v>
      </c>
      <c r="B58" s="102" t="s">
        <v>344</v>
      </c>
      <c r="C58" s="123"/>
      <c r="D58" s="123"/>
      <c r="E58" s="124"/>
      <c r="F58" s="124"/>
      <c r="G58" s="124"/>
      <c r="H58" s="124"/>
      <c r="I58" s="124"/>
      <c r="J58" s="124"/>
      <c r="K58" s="124"/>
      <c r="L58" s="124"/>
      <c r="M58" s="124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  <c r="CY58" s="125"/>
      <c r="CZ58" s="125"/>
      <c r="DA58" s="125"/>
      <c r="DB58" s="125"/>
      <c r="DC58" s="125"/>
      <c r="DD58" s="125"/>
      <c r="DE58" s="125"/>
      <c r="DF58" s="125"/>
      <c r="DG58" s="125"/>
      <c r="DH58" s="125"/>
      <c r="DI58" s="125"/>
      <c r="DJ58" s="125"/>
      <c r="DK58" s="125"/>
      <c r="DL58" s="125"/>
      <c r="DM58" s="125"/>
      <c r="DN58" s="125"/>
      <c r="DO58" s="125"/>
      <c r="DP58" s="125"/>
      <c r="DQ58" s="125"/>
      <c r="DR58" s="125"/>
      <c r="DS58" s="125"/>
      <c r="DT58" s="125"/>
      <c r="DU58" s="125"/>
      <c r="DV58" s="125"/>
      <c r="DW58" s="125"/>
      <c r="DX58" s="125"/>
      <c r="DY58" s="125"/>
      <c r="DZ58" s="125"/>
      <c r="EA58" s="125"/>
      <c r="EB58" s="125"/>
      <c r="EC58" s="125"/>
      <c r="ED58" s="125"/>
      <c r="EE58" s="125"/>
      <c r="EF58" s="125"/>
      <c r="EG58" s="125"/>
      <c r="EH58" s="125"/>
      <c r="EI58" s="125"/>
      <c r="EJ58" s="125"/>
      <c r="EK58" s="125"/>
      <c r="EL58" s="125"/>
      <c r="EM58" s="125"/>
      <c r="EN58" s="125"/>
      <c r="EO58" s="125"/>
      <c r="EP58" s="125"/>
      <c r="EQ58" s="125"/>
      <c r="ER58" s="125"/>
      <c r="ES58" s="125"/>
      <c r="ET58" s="125"/>
      <c r="EU58" s="125"/>
      <c r="EV58" s="125"/>
      <c r="EW58" s="125"/>
      <c r="EX58" s="125">
        <v>10</v>
      </c>
      <c r="EY58" s="125"/>
      <c r="EZ58" s="125"/>
      <c r="FA58" s="125"/>
      <c r="FB58" s="125"/>
      <c r="FC58" s="125"/>
      <c r="FD58" s="125"/>
      <c r="FE58" s="125"/>
      <c r="FF58" s="125"/>
      <c r="FG58" s="125"/>
      <c r="FH58" s="125"/>
      <c r="FI58" s="125"/>
      <c r="FJ58" s="125"/>
      <c r="FK58" s="125"/>
      <c r="FL58" s="125"/>
      <c r="FM58" s="125"/>
      <c r="FN58" s="125"/>
      <c r="FO58" s="125"/>
      <c r="FP58" s="125"/>
      <c r="FQ58" s="125"/>
      <c r="FR58" s="125"/>
      <c r="FS58" s="125"/>
      <c r="FT58" s="125"/>
      <c r="FU58" s="125"/>
      <c r="FV58" s="125"/>
      <c r="FW58" s="125"/>
      <c r="FX58" s="125"/>
      <c r="FY58" s="125"/>
      <c r="FZ58" s="125"/>
      <c r="GA58" s="125"/>
      <c r="GB58" s="125"/>
      <c r="GC58" s="125"/>
      <c r="GD58" s="125"/>
      <c r="GE58" s="125"/>
      <c r="GF58" s="125"/>
      <c r="GG58" s="125"/>
      <c r="GH58" s="125"/>
      <c r="GI58" s="125"/>
      <c r="GJ58" s="125"/>
      <c r="GK58" s="125"/>
      <c r="GL58" s="125"/>
      <c r="GM58" s="125"/>
      <c r="GN58" s="125"/>
      <c r="GO58" s="125"/>
      <c r="GP58" s="125"/>
      <c r="GQ58" s="125"/>
      <c r="GR58" s="125"/>
      <c r="GS58" s="125"/>
      <c r="GT58" s="125"/>
      <c r="GU58" s="125"/>
      <c r="GV58" s="125"/>
      <c r="GW58" s="125"/>
      <c r="GX58" s="125"/>
      <c r="GY58" s="125"/>
      <c r="GZ58" s="125"/>
      <c r="HA58" s="125"/>
      <c r="HB58" s="125"/>
      <c r="HC58" s="125"/>
      <c r="HD58" s="125"/>
      <c r="HE58" s="125"/>
      <c r="HF58" s="125"/>
      <c r="HG58" s="125"/>
      <c r="HH58" s="125"/>
      <c r="HI58" s="125"/>
      <c r="HJ58" s="125"/>
      <c r="HK58" s="125"/>
      <c r="HL58" s="125"/>
      <c r="HM58" s="125"/>
      <c r="HN58" s="125"/>
      <c r="HO58" s="125"/>
      <c r="HP58" s="125"/>
      <c r="HQ58" s="125"/>
      <c r="HR58" s="125"/>
      <c r="HS58" s="125"/>
      <c r="HT58" s="125"/>
      <c r="HU58" s="125"/>
      <c r="HV58" s="125"/>
      <c r="HW58" s="125"/>
      <c r="HX58" s="125"/>
      <c r="HY58" s="125"/>
      <c r="HZ58" s="125"/>
      <c r="IA58" s="125"/>
      <c r="IB58" s="125"/>
      <c r="IC58" s="125"/>
      <c r="ID58" s="125"/>
      <c r="IE58" s="125"/>
      <c r="IF58" s="125"/>
      <c r="IG58" s="125"/>
      <c r="IH58" s="125"/>
      <c r="II58" s="125"/>
      <c r="IJ58" s="125"/>
      <c r="IK58" s="125"/>
      <c r="IL58" s="125"/>
      <c r="IM58" s="125"/>
      <c r="IN58" s="125"/>
      <c r="IO58" s="125"/>
      <c r="IP58" s="125"/>
      <c r="IQ58" s="125"/>
      <c r="IR58" s="125"/>
      <c r="IS58" s="125"/>
      <c r="IT58" s="125"/>
      <c r="IU58" s="125"/>
      <c r="IV58" s="125"/>
      <c r="IW58" s="125"/>
      <c r="IX58" s="125"/>
      <c r="IY58" s="125"/>
      <c r="IZ58" s="125"/>
      <c r="JA58" s="125"/>
      <c r="JB58" s="125"/>
      <c r="JC58" s="125"/>
      <c r="JD58" s="125"/>
      <c r="JE58" s="125"/>
      <c r="JF58" s="125"/>
      <c r="JG58" s="125"/>
      <c r="JH58" s="125"/>
      <c r="JI58" s="125"/>
      <c r="JJ58" s="125"/>
      <c r="JK58" s="125"/>
      <c r="JL58" s="125"/>
      <c r="JM58" s="125"/>
      <c r="JN58" s="125"/>
      <c r="JO58" s="125"/>
      <c r="JP58" s="125"/>
      <c r="JQ58" s="125"/>
      <c r="JR58" s="125"/>
      <c r="JS58" s="125"/>
      <c r="JT58" s="125"/>
      <c r="JU58" s="125"/>
      <c r="JV58" s="125"/>
      <c r="JW58" s="125"/>
      <c r="JX58" s="125"/>
      <c r="JY58" s="125"/>
      <c r="JZ58" s="125"/>
      <c r="KA58" s="125"/>
      <c r="KB58" s="125"/>
      <c r="KC58" s="125"/>
      <c r="KD58" s="125"/>
      <c r="KE58" s="125"/>
      <c r="KF58" s="125"/>
      <c r="KG58" s="125"/>
      <c r="KH58" s="125"/>
      <c r="KI58" s="125"/>
      <c r="KJ58" s="125"/>
      <c r="KK58" s="125"/>
      <c r="KL58" s="125"/>
      <c r="KM58" s="125"/>
      <c r="KN58" s="125"/>
      <c r="KO58" s="125"/>
      <c r="KP58" s="125"/>
      <c r="KQ58" s="125"/>
      <c r="KR58" s="125"/>
      <c r="KS58" s="125"/>
      <c r="KT58" s="125"/>
      <c r="KU58" s="125"/>
      <c r="KV58" s="125"/>
      <c r="KW58" s="125"/>
      <c r="KX58" s="125"/>
      <c r="KY58" s="125"/>
      <c r="KZ58" s="125"/>
      <c r="LA58" s="125"/>
      <c r="LB58" s="125"/>
      <c r="LC58" s="125"/>
      <c r="LD58" s="125"/>
      <c r="LE58" s="125"/>
      <c r="LF58" s="125"/>
      <c r="LG58" s="125"/>
      <c r="LH58" s="125"/>
      <c r="LI58" s="125"/>
      <c r="LJ58" s="125"/>
      <c r="LK58" s="125"/>
      <c r="LL58" s="125"/>
      <c r="LM58" s="125"/>
      <c r="LN58" s="125"/>
      <c r="LO58" s="125"/>
      <c r="LP58" s="125"/>
      <c r="LQ58" s="125"/>
      <c r="LR58" s="125"/>
      <c r="LS58" s="125"/>
      <c r="LT58" s="125"/>
      <c r="LU58" s="125"/>
      <c r="LV58" s="125"/>
      <c r="LW58" s="125"/>
      <c r="LX58" s="125"/>
      <c r="LY58" s="125"/>
      <c r="LZ58" s="125"/>
      <c r="MA58" s="125"/>
      <c r="MB58" s="125"/>
      <c r="MC58" s="125"/>
      <c r="MD58" s="125"/>
      <c r="ME58" s="125"/>
      <c r="MF58" s="125"/>
      <c r="MG58" s="125"/>
      <c r="MH58" s="125"/>
      <c r="MI58" s="125"/>
      <c r="MJ58" s="125"/>
      <c r="MK58" s="125"/>
      <c r="ML58" s="125"/>
      <c r="MM58" s="125"/>
      <c r="MN58" s="125"/>
      <c r="MO58" s="125"/>
      <c r="MP58" s="125"/>
      <c r="MQ58" s="125"/>
      <c r="MR58" s="125"/>
      <c r="MS58" s="125"/>
      <c r="MT58" s="125"/>
      <c r="MU58" s="125"/>
      <c r="MV58" s="125"/>
      <c r="MW58" s="125"/>
      <c r="MX58" s="125"/>
      <c r="MY58" s="125"/>
      <c r="MZ58" s="125"/>
      <c r="NA58" s="125"/>
      <c r="NB58" s="125"/>
      <c r="NC58" s="125"/>
      <c r="ND58" s="125"/>
      <c r="NE58" s="125"/>
      <c r="NF58" s="125"/>
      <c r="NG58" s="125"/>
      <c r="NH58" s="125"/>
      <c r="NI58" s="125"/>
      <c r="NJ58" s="125"/>
      <c r="NK58" s="125"/>
      <c r="NL58" s="125"/>
      <c r="NM58" s="125"/>
      <c r="NN58" s="125"/>
      <c r="NO58" s="125"/>
      <c r="NP58" s="125"/>
      <c r="NQ58" s="125"/>
      <c r="NR58" s="125"/>
      <c r="NS58" s="125"/>
      <c r="NT58" s="125"/>
      <c r="NU58" s="125"/>
      <c r="NV58" s="125"/>
      <c r="NW58" s="125"/>
      <c r="NX58" s="125"/>
      <c r="NY58" s="125"/>
      <c r="NZ58" s="125"/>
      <c r="OA58" s="125"/>
      <c r="OB58" s="125"/>
      <c r="OC58" s="125"/>
      <c r="OD58" s="125"/>
      <c r="OE58" s="125"/>
      <c r="OF58" s="125"/>
      <c r="OG58" s="125"/>
      <c r="OH58" s="125"/>
      <c r="OI58" s="125"/>
      <c r="OJ58" s="125"/>
      <c r="OK58" s="125"/>
      <c r="OL58" s="125"/>
      <c r="OM58" s="125"/>
      <c r="ON58" s="125"/>
      <c r="OO58" s="125"/>
      <c r="OP58" s="125"/>
      <c r="OQ58" s="125"/>
      <c r="OR58" s="125"/>
      <c r="OS58" s="125"/>
      <c r="OT58" s="125"/>
      <c r="OU58" s="125"/>
      <c r="OV58" s="125"/>
      <c r="OW58" s="125"/>
      <c r="OX58" s="125"/>
      <c r="OY58" s="125"/>
      <c r="OZ58" s="125"/>
      <c r="PA58" s="125"/>
      <c r="PB58" s="125"/>
      <c r="PC58" s="125"/>
      <c r="PD58" s="125"/>
      <c r="PE58" s="125"/>
      <c r="PF58" s="125"/>
      <c r="PG58" s="125"/>
      <c r="PH58" s="125"/>
      <c r="PI58" s="125"/>
      <c r="PJ58" s="125"/>
      <c r="PK58" s="125"/>
      <c r="PL58" s="125"/>
      <c r="PM58" s="125"/>
      <c r="PN58" s="125"/>
      <c r="PO58" s="125"/>
      <c r="PP58" s="125"/>
      <c r="PQ58" s="125"/>
      <c r="PR58" s="125"/>
      <c r="PS58" s="125"/>
      <c r="PT58" s="125"/>
      <c r="PU58" s="125"/>
      <c r="PV58" s="125"/>
      <c r="PW58" s="125"/>
      <c r="PX58" s="125"/>
      <c r="PY58" s="125"/>
      <c r="PZ58" s="125"/>
      <c r="QA58" s="125"/>
      <c r="QB58" s="125"/>
      <c r="QC58" s="125"/>
      <c r="QD58" s="125"/>
      <c r="QE58" s="125"/>
      <c r="QF58" s="125"/>
      <c r="QG58" s="125"/>
      <c r="QH58" s="125">
        <v>75</v>
      </c>
      <c r="QI58" s="125"/>
      <c r="QJ58" s="125"/>
      <c r="QK58" s="125"/>
      <c r="QL58" s="125"/>
      <c r="QM58" s="125"/>
      <c r="QN58" s="125"/>
      <c r="QO58" s="125"/>
      <c r="QP58" s="125"/>
      <c r="QQ58" s="125"/>
      <c r="QR58" s="125"/>
      <c r="QS58" s="125"/>
      <c r="QT58" s="125"/>
      <c r="QU58" s="125"/>
      <c r="QV58" s="125"/>
      <c r="QW58" s="125"/>
      <c r="QX58" s="125"/>
      <c r="QY58" s="125"/>
      <c r="QZ58" s="125"/>
      <c r="RA58" s="125"/>
      <c r="RB58" s="125"/>
      <c r="RC58" s="125"/>
      <c r="RD58" s="125"/>
      <c r="RE58" s="125"/>
      <c r="RF58" s="125"/>
      <c r="RG58" s="24">
        <f t="shared" si="3"/>
        <v>85</v>
      </c>
      <c r="RH58" s="60" t="s">
        <v>91</v>
      </c>
      <c r="RI58" s="121">
        <v>3147</v>
      </c>
      <c r="RJ58" s="77">
        <f>RM58+RN58+RO58</f>
        <v>1200</v>
      </c>
      <c r="RK58" s="77">
        <v>2074.35</v>
      </c>
      <c r="RL58" s="121">
        <f t="shared" si="4"/>
        <v>1947</v>
      </c>
      <c r="RM58" s="145"/>
      <c r="RN58" s="145">
        <f>400+200</f>
        <v>600</v>
      </c>
      <c r="RO58" s="145">
        <f>300+300</f>
        <v>600</v>
      </c>
      <c r="RP58" s="104">
        <f t="shared" si="5"/>
        <v>1.5171017427145854</v>
      </c>
      <c r="RQ58" s="172"/>
    </row>
    <row r="59" spans="1:485" s="5" customFormat="1" ht="12.75" customHeight="1" x14ac:dyDescent="0.25">
      <c r="A59" s="61">
        <v>44979</v>
      </c>
      <c r="B59" s="102" t="s">
        <v>550</v>
      </c>
      <c r="C59" s="123"/>
      <c r="D59" s="123"/>
      <c r="E59" s="124"/>
      <c r="F59" s="124"/>
      <c r="G59" s="124"/>
      <c r="H59" s="124"/>
      <c r="I59" s="124"/>
      <c r="J59" s="124"/>
      <c r="K59" s="124"/>
      <c r="L59" s="124"/>
      <c r="M59" s="124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  <c r="BF59" s="125"/>
      <c r="BG59" s="125"/>
      <c r="BH59" s="125"/>
      <c r="BI59" s="125"/>
      <c r="BJ59" s="125"/>
      <c r="BK59" s="125"/>
      <c r="BL59" s="125"/>
      <c r="BM59" s="125"/>
      <c r="BN59" s="125"/>
      <c r="BO59" s="125"/>
      <c r="BP59" s="125"/>
      <c r="BQ59" s="125"/>
      <c r="BR59" s="125"/>
      <c r="BS59" s="125"/>
      <c r="BT59" s="125"/>
      <c r="BU59" s="125"/>
      <c r="BV59" s="125"/>
      <c r="BW59" s="125"/>
      <c r="BX59" s="125"/>
      <c r="BY59" s="125"/>
      <c r="BZ59" s="125"/>
      <c r="CA59" s="125"/>
      <c r="CB59" s="125"/>
      <c r="CC59" s="125"/>
      <c r="CD59" s="125"/>
      <c r="CE59" s="125"/>
      <c r="CF59" s="125"/>
      <c r="CG59" s="125"/>
      <c r="CH59" s="125"/>
      <c r="CI59" s="125"/>
      <c r="CJ59" s="125"/>
      <c r="CK59" s="125"/>
      <c r="CL59" s="125"/>
      <c r="CM59" s="125"/>
      <c r="CN59" s="125"/>
      <c r="CO59" s="125"/>
      <c r="CP59" s="125"/>
      <c r="CQ59" s="125"/>
      <c r="CR59" s="125"/>
      <c r="CS59" s="125"/>
      <c r="CT59" s="125"/>
      <c r="CU59" s="125"/>
      <c r="CV59" s="125"/>
      <c r="CW59" s="125"/>
      <c r="CX59" s="125"/>
      <c r="CY59" s="125"/>
      <c r="CZ59" s="125"/>
      <c r="DA59" s="125"/>
      <c r="DB59" s="125"/>
      <c r="DC59" s="125"/>
      <c r="DD59" s="125"/>
      <c r="DE59" s="125"/>
      <c r="DF59" s="125"/>
      <c r="DG59" s="125"/>
      <c r="DH59" s="125"/>
      <c r="DI59" s="125"/>
      <c r="DJ59" s="125"/>
      <c r="DK59" s="125"/>
      <c r="DL59" s="125"/>
      <c r="DM59" s="125"/>
      <c r="DN59" s="125"/>
      <c r="DO59" s="125"/>
      <c r="DP59" s="125"/>
      <c r="DQ59" s="125"/>
      <c r="DR59" s="125"/>
      <c r="DS59" s="125"/>
      <c r="DT59" s="125"/>
      <c r="DU59" s="125"/>
      <c r="DV59" s="125"/>
      <c r="DW59" s="125"/>
      <c r="DX59" s="125"/>
      <c r="DY59" s="125"/>
      <c r="DZ59" s="125"/>
      <c r="EA59" s="125"/>
      <c r="EB59" s="125"/>
      <c r="EC59" s="125"/>
      <c r="ED59" s="125"/>
      <c r="EE59" s="125"/>
      <c r="EF59" s="125"/>
      <c r="EG59" s="125"/>
      <c r="EH59" s="125"/>
      <c r="EI59" s="125"/>
      <c r="EJ59" s="125"/>
      <c r="EK59" s="125"/>
      <c r="EL59" s="125"/>
      <c r="EM59" s="125"/>
      <c r="EN59" s="125"/>
      <c r="EO59" s="125"/>
      <c r="EP59" s="125"/>
      <c r="EQ59" s="125"/>
      <c r="ER59" s="125"/>
      <c r="ES59" s="125"/>
      <c r="ET59" s="125"/>
      <c r="EU59" s="125"/>
      <c r="EV59" s="125"/>
      <c r="EW59" s="125"/>
      <c r="EX59" s="125"/>
      <c r="EY59" s="125"/>
      <c r="EZ59" s="125"/>
      <c r="FA59" s="125"/>
      <c r="FB59" s="125"/>
      <c r="FC59" s="125"/>
      <c r="FD59" s="125"/>
      <c r="FE59" s="125"/>
      <c r="FF59" s="125"/>
      <c r="FG59" s="125"/>
      <c r="FH59" s="125"/>
      <c r="FI59" s="125"/>
      <c r="FJ59" s="125"/>
      <c r="FK59" s="125"/>
      <c r="FL59" s="125"/>
      <c r="FM59" s="125"/>
      <c r="FN59" s="125"/>
      <c r="FO59" s="125"/>
      <c r="FP59" s="125"/>
      <c r="FQ59" s="125"/>
      <c r="FR59" s="125"/>
      <c r="FS59" s="125"/>
      <c r="FT59" s="125"/>
      <c r="FU59" s="125"/>
      <c r="FV59" s="125"/>
      <c r="FW59" s="125"/>
      <c r="FX59" s="125"/>
      <c r="FY59" s="125"/>
      <c r="FZ59" s="125"/>
      <c r="GA59" s="125"/>
      <c r="GB59" s="125"/>
      <c r="GC59" s="125"/>
      <c r="GD59" s="125"/>
      <c r="GE59" s="125"/>
      <c r="GF59" s="125"/>
      <c r="GG59" s="125"/>
      <c r="GH59" s="125"/>
      <c r="GI59" s="125"/>
      <c r="GJ59" s="125"/>
      <c r="GK59" s="125"/>
      <c r="GL59" s="125"/>
      <c r="GM59" s="125"/>
      <c r="GN59" s="125"/>
      <c r="GO59" s="125"/>
      <c r="GP59" s="125"/>
      <c r="GQ59" s="125"/>
      <c r="GR59" s="125"/>
      <c r="GS59" s="125"/>
      <c r="GT59" s="125"/>
      <c r="GU59" s="125"/>
      <c r="GV59" s="125"/>
      <c r="GW59" s="125"/>
      <c r="GX59" s="125"/>
      <c r="GY59" s="125"/>
      <c r="GZ59" s="125"/>
      <c r="HA59" s="125"/>
      <c r="HB59" s="125"/>
      <c r="HC59" s="125"/>
      <c r="HD59" s="125"/>
      <c r="HE59" s="125"/>
      <c r="HF59" s="125"/>
      <c r="HG59" s="125"/>
      <c r="HH59" s="125"/>
      <c r="HI59" s="125"/>
      <c r="HJ59" s="125"/>
      <c r="HK59" s="125"/>
      <c r="HL59" s="125"/>
      <c r="HM59" s="125"/>
      <c r="HN59" s="125"/>
      <c r="HO59" s="125"/>
      <c r="HP59" s="125"/>
      <c r="HQ59" s="125"/>
      <c r="HR59" s="125"/>
      <c r="HS59" s="125"/>
      <c r="HT59" s="125"/>
      <c r="HU59" s="125"/>
      <c r="HV59" s="125"/>
      <c r="HW59" s="125"/>
      <c r="HX59" s="125"/>
      <c r="HY59" s="125"/>
      <c r="HZ59" s="125"/>
      <c r="IA59" s="125"/>
      <c r="IB59" s="125"/>
      <c r="IC59" s="125"/>
      <c r="ID59" s="125"/>
      <c r="IE59" s="125"/>
      <c r="IF59" s="125"/>
      <c r="IG59" s="125"/>
      <c r="IH59" s="125"/>
      <c r="II59" s="125"/>
      <c r="IJ59" s="125"/>
      <c r="IK59" s="125"/>
      <c r="IL59" s="125"/>
      <c r="IM59" s="125"/>
      <c r="IN59" s="125"/>
      <c r="IO59" s="125"/>
      <c r="IP59" s="125"/>
      <c r="IQ59" s="125"/>
      <c r="IR59" s="125"/>
      <c r="IS59" s="125"/>
      <c r="IT59" s="125"/>
      <c r="IU59" s="125"/>
      <c r="IV59" s="125"/>
      <c r="IW59" s="125"/>
      <c r="IX59" s="125"/>
      <c r="IY59" s="125"/>
      <c r="IZ59" s="125"/>
      <c r="JA59" s="125"/>
      <c r="JB59" s="125"/>
      <c r="JC59" s="125"/>
      <c r="JD59" s="125"/>
      <c r="JE59" s="125"/>
      <c r="JF59" s="125"/>
      <c r="JG59" s="125"/>
      <c r="JH59" s="125"/>
      <c r="JI59" s="125"/>
      <c r="JJ59" s="125"/>
      <c r="JK59" s="125"/>
      <c r="JL59" s="125"/>
      <c r="JM59" s="125"/>
      <c r="JN59" s="125"/>
      <c r="JO59" s="125"/>
      <c r="JP59" s="125"/>
      <c r="JQ59" s="125"/>
      <c r="JR59" s="125"/>
      <c r="JS59" s="125"/>
      <c r="JT59" s="125"/>
      <c r="JU59" s="125"/>
      <c r="JV59" s="125"/>
      <c r="JW59" s="125"/>
      <c r="JX59" s="125"/>
      <c r="JY59" s="125"/>
      <c r="JZ59" s="125"/>
      <c r="KA59" s="125"/>
      <c r="KB59" s="125"/>
      <c r="KC59" s="125"/>
      <c r="KD59" s="125"/>
      <c r="KE59" s="125"/>
      <c r="KF59" s="125"/>
      <c r="KG59" s="125"/>
      <c r="KH59" s="125"/>
      <c r="KI59" s="125"/>
      <c r="KJ59" s="125"/>
      <c r="KK59" s="125"/>
      <c r="KL59" s="125"/>
      <c r="KM59" s="125"/>
      <c r="KN59" s="125"/>
      <c r="KO59" s="125"/>
      <c r="KP59" s="125"/>
      <c r="KQ59" s="125"/>
      <c r="KR59" s="125"/>
      <c r="KS59" s="125"/>
      <c r="KT59" s="125"/>
      <c r="KU59" s="125"/>
      <c r="KV59" s="125"/>
      <c r="KW59" s="125"/>
      <c r="KX59" s="125"/>
      <c r="KY59" s="125"/>
      <c r="KZ59" s="125"/>
      <c r="LA59" s="125"/>
      <c r="LB59" s="125"/>
      <c r="LC59" s="125"/>
      <c r="LD59" s="125"/>
      <c r="LE59" s="125"/>
      <c r="LF59" s="125"/>
      <c r="LG59" s="125"/>
      <c r="LH59" s="125"/>
      <c r="LI59" s="125"/>
      <c r="LJ59" s="125"/>
      <c r="LK59" s="125"/>
      <c r="LL59" s="125"/>
      <c r="LM59" s="125"/>
      <c r="LN59" s="125"/>
      <c r="LO59" s="125"/>
      <c r="LP59" s="125"/>
      <c r="LQ59" s="125"/>
      <c r="LR59" s="125"/>
      <c r="LS59" s="125"/>
      <c r="LT59" s="125"/>
      <c r="LU59" s="125"/>
      <c r="LV59" s="125"/>
      <c r="LW59" s="125"/>
      <c r="LX59" s="125"/>
      <c r="LY59" s="125"/>
      <c r="LZ59" s="125"/>
      <c r="MA59" s="125"/>
      <c r="MB59" s="125"/>
      <c r="MC59" s="125"/>
      <c r="MD59" s="125"/>
      <c r="ME59" s="125"/>
      <c r="MF59" s="125"/>
      <c r="MG59" s="125"/>
      <c r="MH59" s="125"/>
      <c r="MI59" s="125"/>
      <c r="MJ59" s="125"/>
      <c r="MK59" s="125"/>
      <c r="ML59" s="125"/>
      <c r="MM59" s="125"/>
      <c r="MN59" s="125"/>
      <c r="MO59" s="125"/>
      <c r="MP59" s="125"/>
      <c r="MQ59" s="125"/>
      <c r="MR59" s="125"/>
      <c r="MS59" s="125"/>
      <c r="MT59" s="125"/>
      <c r="MU59" s="125"/>
      <c r="MV59" s="125"/>
      <c r="MW59" s="125"/>
      <c r="MX59" s="125"/>
      <c r="MY59" s="125"/>
      <c r="MZ59" s="125">
        <v>5</v>
      </c>
      <c r="NA59" s="125"/>
      <c r="NB59" s="125"/>
      <c r="NC59" s="125"/>
      <c r="ND59" s="125">
        <v>5</v>
      </c>
      <c r="NE59" s="125"/>
      <c r="NF59" s="125"/>
      <c r="NG59" s="125"/>
      <c r="NH59" s="125"/>
      <c r="NI59" s="125"/>
      <c r="NJ59" s="125"/>
      <c r="NK59" s="125"/>
      <c r="NL59" s="125">
        <v>20</v>
      </c>
      <c r="NM59" s="125">
        <v>20</v>
      </c>
      <c r="NN59" s="125"/>
      <c r="NO59" s="125">
        <v>20</v>
      </c>
      <c r="NP59" s="125"/>
      <c r="NQ59" s="125"/>
      <c r="NR59" s="125"/>
      <c r="NS59" s="125"/>
      <c r="NT59" s="125">
        <v>10</v>
      </c>
      <c r="NU59" s="125"/>
      <c r="NV59" s="125"/>
      <c r="NW59" s="125"/>
      <c r="NX59" s="125"/>
      <c r="NY59" s="125"/>
      <c r="NZ59" s="125"/>
      <c r="OA59" s="125"/>
      <c r="OB59" s="125"/>
      <c r="OC59" s="125"/>
      <c r="OD59" s="125"/>
      <c r="OE59" s="125"/>
      <c r="OF59" s="125"/>
      <c r="OG59" s="125"/>
      <c r="OH59" s="125"/>
      <c r="OI59" s="125"/>
      <c r="OJ59" s="125"/>
      <c r="OK59" s="125"/>
      <c r="OL59" s="125"/>
      <c r="OM59" s="125"/>
      <c r="ON59" s="125"/>
      <c r="OO59" s="125"/>
      <c r="OP59" s="125"/>
      <c r="OQ59" s="125"/>
      <c r="OR59" s="125"/>
      <c r="OS59" s="125"/>
      <c r="OT59" s="125"/>
      <c r="OU59" s="125"/>
      <c r="OV59" s="125"/>
      <c r="OW59" s="125"/>
      <c r="OX59" s="125"/>
      <c r="OY59" s="125"/>
      <c r="OZ59" s="125"/>
      <c r="PA59" s="125"/>
      <c r="PB59" s="125"/>
      <c r="PC59" s="125"/>
      <c r="PD59" s="125"/>
      <c r="PE59" s="125"/>
      <c r="PF59" s="125"/>
      <c r="PG59" s="125"/>
      <c r="PH59" s="125"/>
      <c r="PI59" s="125"/>
      <c r="PJ59" s="125"/>
      <c r="PK59" s="125"/>
      <c r="PL59" s="125"/>
      <c r="PM59" s="125"/>
      <c r="PN59" s="125"/>
      <c r="PO59" s="125"/>
      <c r="PP59" s="125"/>
      <c r="PQ59" s="125"/>
      <c r="PR59" s="125"/>
      <c r="PS59" s="125"/>
      <c r="PT59" s="125"/>
      <c r="PU59" s="125"/>
      <c r="PV59" s="125"/>
      <c r="PW59" s="125"/>
      <c r="PX59" s="125"/>
      <c r="PY59" s="125"/>
      <c r="PZ59" s="125"/>
      <c r="QA59" s="125"/>
      <c r="QB59" s="125"/>
      <c r="QC59" s="125"/>
      <c r="QD59" s="125"/>
      <c r="QE59" s="125"/>
      <c r="QF59" s="125"/>
      <c r="QG59" s="125"/>
      <c r="QH59" s="125"/>
      <c r="QI59" s="125"/>
      <c r="QJ59" s="125"/>
      <c r="QK59" s="125"/>
      <c r="QL59" s="125"/>
      <c r="QM59" s="125"/>
      <c r="QN59" s="125"/>
      <c r="QO59" s="125"/>
      <c r="QP59" s="125"/>
      <c r="QQ59" s="125"/>
      <c r="QR59" s="125">
        <v>20</v>
      </c>
      <c r="QS59" s="125"/>
      <c r="QT59" s="125"/>
      <c r="QU59" s="125"/>
      <c r="QV59" s="125"/>
      <c r="QW59" s="125"/>
      <c r="QX59" s="125"/>
      <c r="QY59" s="125"/>
      <c r="QZ59" s="125"/>
      <c r="RA59" s="125"/>
      <c r="RB59" s="125"/>
      <c r="RC59" s="125"/>
      <c r="RD59" s="125"/>
      <c r="RE59" s="125"/>
      <c r="RF59" s="125"/>
      <c r="RG59" s="24">
        <f t="shared" si="3"/>
        <v>100</v>
      </c>
      <c r="RH59" s="60" t="s">
        <v>69</v>
      </c>
      <c r="RI59" s="121">
        <v>9778.7999999999993</v>
      </c>
      <c r="RJ59" s="77">
        <f>RM59+RN59</f>
        <v>9778.7999999999993</v>
      </c>
      <c r="RK59" s="77">
        <v>6991.8</v>
      </c>
      <c r="RL59" s="121">
        <f t="shared" si="4"/>
        <v>0</v>
      </c>
      <c r="RM59" s="145"/>
      <c r="RN59" s="145">
        <v>9778.7999999999993</v>
      </c>
      <c r="RO59" s="145"/>
      <c r="RP59" s="104">
        <f t="shared" si="5"/>
        <v>1.3986098000514888</v>
      </c>
      <c r="RQ59" s="172"/>
    </row>
    <row r="60" spans="1:485" s="5" customFormat="1" ht="12.75" customHeight="1" x14ac:dyDescent="0.25">
      <c r="A60" s="61">
        <v>44980</v>
      </c>
      <c r="B60" s="102" t="s">
        <v>549</v>
      </c>
      <c r="C60" s="123"/>
      <c r="D60" s="123"/>
      <c r="E60" s="124"/>
      <c r="F60" s="124"/>
      <c r="G60" s="124"/>
      <c r="H60" s="124"/>
      <c r="I60" s="124"/>
      <c r="J60" s="124"/>
      <c r="K60" s="124"/>
      <c r="L60" s="124"/>
      <c r="M60" s="124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>
        <v>10</v>
      </c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>
        <v>10</v>
      </c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125"/>
      <c r="MG60" s="125"/>
      <c r="MH60" s="125"/>
      <c r="MI60" s="125"/>
      <c r="MJ60" s="125"/>
      <c r="MK60" s="125"/>
      <c r="ML60" s="125"/>
      <c r="MM60" s="125"/>
      <c r="MN60" s="125"/>
      <c r="MO60" s="125"/>
      <c r="MP60" s="125"/>
      <c r="MQ60" s="125"/>
      <c r="MR60" s="125"/>
      <c r="MS60" s="125"/>
      <c r="MT60" s="125"/>
      <c r="MU60" s="125"/>
      <c r="MV60" s="125"/>
      <c r="MW60" s="125"/>
      <c r="MX60" s="125"/>
      <c r="MY60" s="125"/>
      <c r="MZ60" s="125"/>
      <c r="NA60" s="125"/>
      <c r="NB60" s="125"/>
      <c r="NC60" s="125"/>
      <c r="ND60" s="125"/>
      <c r="NE60" s="125"/>
      <c r="NF60" s="125"/>
      <c r="NG60" s="125"/>
      <c r="NH60" s="125"/>
      <c r="NI60" s="125"/>
      <c r="NJ60" s="125"/>
      <c r="NK60" s="125"/>
      <c r="NL60" s="125"/>
      <c r="NM60" s="125"/>
      <c r="NN60" s="125"/>
      <c r="NO60" s="125"/>
      <c r="NP60" s="125"/>
      <c r="NQ60" s="125"/>
      <c r="NR60" s="125"/>
      <c r="NS60" s="125"/>
      <c r="NT60" s="125"/>
      <c r="NU60" s="125"/>
      <c r="NV60" s="125"/>
      <c r="NW60" s="125"/>
      <c r="NX60" s="125"/>
      <c r="NY60" s="125"/>
      <c r="NZ60" s="125"/>
      <c r="OA60" s="125"/>
      <c r="OB60" s="125"/>
      <c r="OC60" s="125"/>
      <c r="OD60" s="125"/>
      <c r="OE60" s="125"/>
      <c r="OF60" s="125"/>
      <c r="OG60" s="125"/>
      <c r="OH60" s="125"/>
      <c r="OI60" s="125"/>
      <c r="OJ60" s="125"/>
      <c r="OK60" s="125"/>
      <c r="OL60" s="125"/>
      <c r="OM60" s="125"/>
      <c r="ON60" s="125"/>
      <c r="OO60" s="125"/>
      <c r="OP60" s="125"/>
      <c r="OQ60" s="125"/>
      <c r="OR60" s="125"/>
      <c r="OS60" s="125"/>
      <c r="OT60" s="125"/>
      <c r="OU60" s="125"/>
      <c r="OV60" s="125"/>
      <c r="OW60" s="125"/>
      <c r="OX60" s="125"/>
      <c r="OY60" s="125"/>
      <c r="OZ60" s="125"/>
      <c r="PA60" s="125"/>
      <c r="PB60" s="125"/>
      <c r="PC60" s="125"/>
      <c r="PD60" s="125"/>
      <c r="PE60" s="125"/>
      <c r="PF60" s="125"/>
      <c r="PG60" s="125"/>
      <c r="PH60" s="125"/>
      <c r="PI60" s="125"/>
      <c r="PJ60" s="125"/>
      <c r="PK60" s="125"/>
      <c r="PL60" s="125"/>
      <c r="PM60" s="125"/>
      <c r="PN60" s="125"/>
      <c r="PO60" s="125"/>
      <c r="PP60" s="125"/>
      <c r="PQ60" s="125"/>
      <c r="PR60" s="125"/>
      <c r="PS60" s="125"/>
      <c r="PT60" s="125"/>
      <c r="PU60" s="125"/>
      <c r="PV60" s="125"/>
      <c r="PW60" s="125"/>
      <c r="PX60" s="125"/>
      <c r="PY60" s="125"/>
      <c r="PZ60" s="125"/>
      <c r="QA60" s="125"/>
      <c r="QB60" s="125"/>
      <c r="QC60" s="125"/>
      <c r="QD60" s="125"/>
      <c r="QE60" s="125"/>
      <c r="QF60" s="125"/>
      <c r="QG60" s="125"/>
      <c r="QH60" s="125"/>
      <c r="QI60" s="125"/>
      <c r="QJ60" s="125"/>
      <c r="QK60" s="125"/>
      <c r="QL60" s="125"/>
      <c r="QM60" s="125"/>
      <c r="QN60" s="125"/>
      <c r="QO60" s="125"/>
      <c r="QP60" s="125"/>
      <c r="QQ60" s="125"/>
      <c r="QR60" s="125"/>
      <c r="QS60" s="125"/>
      <c r="QT60" s="125"/>
      <c r="QU60" s="125"/>
      <c r="QV60" s="125"/>
      <c r="QW60" s="125"/>
      <c r="QX60" s="125"/>
      <c r="QY60" s="125"/>
      <c r="QZ60" s="125"/>
      <c r="RA60" s="125"/>
      <c r="RB60" s="125"/>
      <c r="RC60" s="125"/>
      <c r="RD60" s="125"/>
      <c r="RE60" s="125"/>
      <c r="RF60" s="125"/>
      <c r="RG60" s="24">
        <f t="shared" si="3"/>
        <v>20</v>
      </c>
      <c r="RH60" s="60" t="s">
        <v>36</v>
      </c>
      <c r="RI60" s="121">
        <v>1002.6</v>
      </c>
      <c r="RJ60" s="77">
        <f t="shared" ref="RJ60:RJ66" si="6">RM60+RN60+RO60</f>
        <v>0</v>
      </c>
      <c r="RK60" s="77">
        <v>537.6</v>
      </c>
      <c r="RL60" s="121">
        <f t="shared" si="4"/>
        <v>1002.6</v>
      </c>
      <c r="RM60" s="145"/>
      <c r="RN60" s="145"/>
      <c r="RO60" s="145"/>
      <c r="RP60" s="104">
        <f t="shared" si="5"/>
        <v>1.8649553571428572</v>
      </c>
      <c r="RQ60" s="172" t="s">
        <v>561</v>
      </c>
    </row>
    <row r="61" spans="1:485" s="5" customFormat="1" ht="12.75" customHeight="1" x14ac:dyDescent="0.25">
      <c r="A61" s="61">
        <v>44980</v>
      </c>
      <c r="B61" s="112" t="s">
        <v>405</v>
      </c>
      <c r="C61" s="123"/>
      <c r="D61" s="123"/>
      <c r="E61" s="124"/>
      <c r="F61" s="124"/>
      <c r="G61" s="124"/>
      <c r="H61" s="124"/>
      <c r="I61" s="124"/>
      <c r="J61" s="124"/>
      <c r="K61" s="124"/>
      <c r="L61" s="124"/>
      <c r="M61" s="124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  <c r="AZ61" s="125"/>
      <c r="BA61" s="125"/>
      <c r="BB61" s="125"/>
      <c r="BC61" s="125"/>
      <c r="BD61" s="125"/>
      <c r="BE61" s="125"/>
      <c r="BF61" s="125"/>
      <c r="BG61" s="125"/>
      <c r="BH61" s="125"/>
      <c r="BI61" s="125"/>
      <c r="BJ61" s="125"/>
      <c r="BK61" s="125"/>
      <c r="BL61" s="125"/>
      <c r="BM61" s="125"/>
      <c r="BN61" s="125"/>
      <c r="BO61" s="125"/>
      <c r="BP61" s="125"/>
      <c r="BQ61" s="125"/>
      <c r="BR61" s="125"/>
      <c r="BS61" s="125"/>
      <c r="BT61" s="125"/>
      <c r="BU61" s="125"/>
      <c r="BV61" s="125"/>
      <c r="BW61" s="125"/>
      <c r="BX61" s="125"/>
      <c r="BY61" s="125"/>
      <c r="BZ61" s="125"/>
      <c r="CA61" s="125"/>
      <c r="CB61" s="125"/>
      <c r="CC61" s="125"/>
      <c r="CD61" s="125"/>
      <c r="CE61" s="125"/>
      <c r="CF61" s="125"/>
      <c r="CG61" s="125"/>
      <c r="CH61" s="125"/>
      <c r="CI61" s="125"/>
      <c r="CJ61" s="125"/>
      <c r="CK61" s="125"/>
      <c r="CL61" s="125"/>
      <c r="CM61" s="125"/>
      <c r="CN61" s="125"/>
      <c r="CO61" s="125"/>
      <c r="CP61" s="125"/>
      <c r="CQ61" s="125"/>
      <c r="CR61" s="125"/>
      <c r="CS61" s="125"/>
      <c r="CT61" s="125"/>
      <c r="CU61" s="125"/>
      <c r="CV61" s="125"/>
      <c r="CW61" s="125"/>
      <c r="CX61" s="125"/>
      <c r="CY61" s="125"/>
      <c r="CZ61" s="125"/>
      <c r="DA61" s="125"/>
      <c r="DB61" s="125"/>
      <c r="DC61" s="125"/>
      <c r="DD61" s="125"/>
      <c r="DE61" s="125"/>
      <c r="DF61" s="125"/>
      <c r="DG61" s="125"/>
      <c r="DH61" s="125"/>
      <c r="DI61" s="125"/>
      <c r="DJ61" s="125"/>
      <c r="DK61" s="125"/>
      <c r="DL61" s="125"/>
      <c r="DM61" s="125"/>
      <c r="DN61" s="125"/>
      <c r="DO61" s="125"/>
      <c r="DP61" s="125"/>
      <c r="DQ61" s="125"/>
      <c r="DR61" s="125"/>
      <c r="DS61" s="125"/>
      <c r="DT61" s="125"/>
      <c r="DU61" s="125"/>
      <c r="DV61" s="125"/>
      <c r="DW61" s="125"/>
      <c r="DX61" s="125"/>
      <c r="DY61" s="125"/>
      <c r="DZ61" s="125"/>
      <c r="EA61" s="125"/>
      <c r="EB61" s="125"/>
      <c r="EC61" s="125"/>
      <c r="ED61" s="125"/>
      <c r="EE61" s="125"/>
      <c r="EF61" s="125"/>
      <c r="EG61" s="125"/>
      <c r="EH61" s="125"/>
      <c r="EI61" s="125"/>
      <c r="EJ61" s="125"/>
      <c r="EK61" s="125"/>
      <c r="EL61" s="125"/>
      <c r="EM61" s="125"/>
      <c r="EN61" s="125"/>
      <c r="EO61" s="125"/>
      <c r="EP61" s="125"/>
      <c r="EQ61" s="125"/>
      <c r="ER61" s="125"/>
      <c r="ES61" s="125"/>
      <c r="ET61" s="125"/>
      <c r="EU61" s="125"/>
      <c r="EV61" s="125"/>
      <c r="EW61" s="125"/>
      <c r="EX61" s="125"/>
      <c r="EY61" s="125"/>
      <c r="EZ61" s="125"/>
      <c r="FA61" s="125"/>
      <c r="FB61" s="125"/>
      <c r="FC61" s="125"/>
      <c r="FD61" s="125"/>
      <c r="FE61" s="125"/>
      <c r="FF61" s="125"/>
      <c r="FG61" s="125"/>
      <c r="FH61" s="125"/>
      <c r="FI61" s="125"/>
      <c r="FJ61" s="125"/>
      <c r="FK61" s="125"/>
      <c r="FL61" s="125"/>
      <c r="FM61" s="125"/>
      <c r="FN61" s="125"/>
      <c r="FO61" s="125"/>
      <c r="FP61" s="125"/>
      <c r="FQ61" s="125"/>
      <c r="FR61" s="125"/>
      <c r="FS61" s="125"/>
      <c r="FT61" s="125"/>
      <c r="FU61" s="125"/>
      <c r="FV61" s="125"/>
      <c r="FW61" s="125"/>
      <c r="FX61" s="125"/>
      <c r="FY61" s="125"/>
      <c r="FZ61" s="125"/>
      <c r="GA61" s="125"/>
      <c r="GB61" s="125"/>
      <c r="GC61" s="125"/>
      <c r="GD61" s="125"/>
      <c r="GE61" s="125"/>
      <c r="GF61" s="125"/>
      <c r="GG61" s="125"/>
      <c r="GH61" s="125"/>
      <c r="GI61" s="125"/>
      <c r="GJ61" s="125"/>
      <c r="GK61" s="125"/>
      <c r="GL61" s="125"/>
      <c r="GM61" s="125"/>
      <c r="GN61" s="125"/>
      <c r="GO61" s="125"/>
      <c r="GP61" s="125"/>
      <c r="GQ61" s="125"/>
      <c r="GR61" s="125"/>
      <c r="GS61" s="125"/>
      <c r="GT61" s="125"/>
      <c r="GU61" s="125"/>
      <c r="GV61" s="125"/>
      <c r="GW61" s="125"/>
      <c r="GX61" s="125"/>
      <c r="GY61" s="125"/>
      <c r="GZ61" s="125"/>
      <c r="HA61" s="125"/>
      <c r="HB61" s="125"/>
      <c r="HC61" s="125"/>
      <c r="HD61" s="125"/>
      <c r="HE61" s="125"/>
      <c r="HF61" s="125"/>
      <c r="HG61" s="125"/>
      <c r="HH61" s="125"/>
      <c r="HI61" s="125"/>
      <c r="HJ61" s="125"/>
      <c r="HK61" s="125"/>
      <c r="HL61" s="125"/>
      <c r="HM61" s="125"/>
      <c r="HN61" s="125"/>
      <c r="HO61" s="125"/>
      <c r="HP61" s="125"/>
      <c r="HQ61" s="125"/>
      <c r="HR61" s="125"/>
      <c r="HS61" s="125"/>
      <c r="HT61" s="125"/>
      <c r="HU61" s="125"/>
      <c r="HV61" s="125"/>
      <c r="HW61" s="125"/>
      <c r="HX61" s="125"/>
      <c r="HY61" s="125"/>
      <c r="HZ61" s="125"/>
      <c r="IA61" s="125"/>
      <c r="IB61" s="125"/>
      <c r="IC61" s="125"/>
      <c r="ID61" s="125"/>
      <c r="IE61" s="125"/>
      <c r="IF61" s="125"/>
      <c r="IG61" s="125"/>
      <c r="IH61" s="125"/>
      <c r="II61" s="125"/>
      <c r="IJ61" s="125"/>
      <c r="IK61" s="125"/>
      <c r="IL61" s="125"/>
      <c r="IM61" s="125"/>
      <c r="IN61" s="125"/>
      <c r="IO61" s="125"/>
      <c r="IP61" s="125"/>
      <c r="IQ61" s="125"/>
      <c r="IR61" s="125"/>
      <c r="IS61" s="125"/>
      <c r="IT61" s="125"/>
      <c r="IU61" s="125"/>
      <c r="IV61" s="125"/>
      <c r="IW61" s="125"/>
      <c r="IX61" s="125"/>
      <c r="IY61" s="125"/>
      <c r="IZ61" s="125"/>
      <c r="JA61" s="125"/>
      <c r="JB61" s="125"/>
      <c r="JC61" s="125"/>
      <c r="JD61" s="125"/>
      <c r="JE61" s="125"/>
      <c r="JF61" s="125"/>
      <c r="JG61" s="125"/>
      <c r="JH61" s="125"/>
      <c r="JI61" s="125"/>
      <c r="JJ61" s="125"/>
      <c r="JK61" s="125"/>
      <c r="JL61" s="125"/>
      <c r="JM61" s="125"/>
      <c r="JN61" s="125"/>
      <c r="JO61" s="125"/>
      <c r="JP61" s="125"/>
      <c r="JQ61" s="125"/>
      <c r="JR61" s="125"/>
      <c r="JS61" s="125"/>
      <c r="JT61" s="125"/>
      <c r="JU61" s="125"/>
      <c r="JV61" s="125"/>
      <c r="JW61" s="125"/>
      <c r="JX61" s="125"/>
      <c r="JY61" s="125"/>
      <c r="JZ61" s="125"/>
      <c r="KA61" s="125"/>
      <c r="KB61" s="125"/>
      <c r="KC61" s="125"/>
      <c r="KD61" s="125"/>
      <c r="KE61" s="125"/>
      <c r="KF61" s="125"/>
      <c r="KG61" s="125"/>
      <c r="KH61" s="125"/>
      <c r="KI61" s="125"/>
      <c r="KJ61" s="125"/>
      <c r="KK61" s="125"/>
      <c r="KL61" s="125"/>
      <c r="KM61" s="125"/>
      <c r="KN61" s="125"/>
      <c r="KO61" s="125"/>
      <c r="KP61" s="125"/>
      <c r="KQ61" s="125"/>
      <c r="KR61" s="125"/>
      <c r="KS61" s="125"/>
      <c r="KT61" s="125"/>
      <c r="KU61" s="125"/>
      <c r="KV61" s="125"/>
      <c r="KW61" s="125"/>
      <c r="KX61" s="125"/>
      <c r="KY61" s="125"/>
      <c r="KZ61" s="125"/>
      <c r="LA61" s="125"/>
      <c r="LB61" s="125"/>
      <c r="LC61" s="125"/>
      <c r="LD61" s="125"/>
      <c r="LE61" s="125"/>
      <c r="LF61" s="125"/>
      <c r="LG61" s="125"/>
      <c r="LH61" s="125"/>
      <c r="LI61" s="125"/>
      <c r="LJ61" s="125"/>
      <c r="LK61" s="125"/>
      <c r="LL61" s="125"/>
      <c r="LM61" s="125"/>
      <c r="LN61" s="125"/>
      <c r="LO61" s="125"/>
      <c r="LP61" s="125"/>
      <c r="LQ61" s="125"/>
      <c r="LR61" s="125"/>
      <c r="LS61" s="125"/>
      <c r="LT61" s="125"/>
      <c r="LU61" s="125"/>
      <c r="LV61" s="125"/>
      <c r="LW61" s="125"/>
      <c r="LX61" s="125"/>
      <c r="LY61" s="125"/>
      <c r="LZ61" s="125"/>
      <c r="MA61" s="125"/>
      <c r="MB61" s="125"/>
      <c r="MC61" s="125"/>
      <c r="MD61" s="125"/>
      <c r="ME61" s="125"/>
      <c r="MF61" s="125"/>
      <c r="MG61" s="125"/>
      <c r="MH61" s="125"/>
      <c r="MI61" s="125"/>
      <c r="MJ61" s="125"/>
      <c r="MK61" s="125"/>
      <c r="ML61" s="125"/>
      <c r="MM61" s="125"/>
      <c r="MN61" s="125"/>
      <c r="MO61" s="125"/>
      <c r="MP61" s="125"/>
      <c r="MQ61" s="125"/>
      <c r="MR61" s="125"/>
      <c r="MS61" s="125"/>
      <c r="MT61" s="125"/>
      <c r="MU61" s="125"/>
      <c r="MV61" s="125"/>
      <c r="MW61" s="125"/>
      <c r="MX61" s="125"/>
      <c r="MY61" s="125"/>
      <c r="MZ61" s="125"/>
      <c r="NA61" s="125"/>
      <c r="NB61" s="125"/>
      <c r="NC61" s="125"/>
      <c r="ND61" s="125"/>
      <c r="NE61" s="125"/>
      <c r="NF61" s="125"/>
      <c r="NG61" s="125"/>
      <c r="NH61" s="125"/>
      <c r="NI61" s="125"/>
      <c r="NJ61" s="125"/>
      <c r="NK61" s="125"/>
      <c r="NL61" s="125"/>
      <c r="NM61" s="125"/>
      <c r="NN61" s="125"/>
      <c r="NO61" s="125"/>
      <c r="NP61" s="125"/>
      <c r="NQ61" s="125"/>
      <c r="NR61" s="125"/>
      <c r="NS61" s="125"/>
      <c r="NT61" s="125"/>
      <c r="NU61" s="125"/>
      <c r="NV61" s="125"/>
      <c r="NW61" s="125"/>
      <c r="NX61" s="125"/>
      <c r="NY61" s="125"/>
      <c r="NZ61" s="125"/>
      <c r="OA61" s="125"/>
      <c r="OB61" s="125"/>
      <c r="OC61" s="125"/>
      <c r="OD61" s="125"/>
      <c r="OE61" s="125"/>
      <c r="OF61" s="125"/>
      <c r="OG61" s="125"/>
      <c r="OH61" s="125"/>
      <c r="OI61" s="125"/>
      <c r="OJ61" s="125"/>
      <c r="OK61" s="125"/>
      <c r="OL61" s="125"/>
      <c r="OM61" s="125"/>
      <c r="ON61" s="125"/>
      <c r="OO61" s="125"/>
      <c r="OP61" s="125"/>
      <c r="OQ61" s="125"/>
      <c r="OR61" s="125"/>
      <c r="OS61" s="125"/>
      <c r="OT61" s="125"/>
      <c r="OU61" s="125"/>
      <c r="OV61" s="125"/>
      <c r="OW61" s="125"/>
      <c r="OX61" s="125"/>
      <c r="OY61" s="125"/>
      <c r="OZ61" s="125"/>
      <c r="PA61" s="125"/>
      <c r="PB61" s="125"/>
      <c r="PC61" s="125"/>
      <c r="PD61" s="125"/>
      <c r="PE61" s="125"/>
      <c r="PF61" s="125"/>
      <c r="PG61" s="125"/>
      <c r="PH61" s="125"/>
      <c r="PI61" s="125"/>
      <c r="PJ61" s="125"/>
      <c r="PK61" s="125"/>
      <c r="PL61" s="125"/>
      <c r="PM61" s="125"/>
      <c r="PN61" s="125"/>
      <c r="PO61" s="125"/>
      <c r="PP61" s="125"/>
      <c r="PQ61" s="125"/>
      <c r="PR61" s="125"/>
      <c r="PS61" s="125"/>
      <c r="PT61" s="125"/>
      <c r="PU61" s="125"/>
      <c r="PV61" s="125"/>
      <c r="PW61" s="125"/>
      <c r="PX61" s="125"/>
      <c r="PY61" s="125"/>
      <c r="PZ61" s="125"/>
      <c r="QA61" s="125"/>
      <c r="QB61" s="125"/>
      <c r="QC61" s="125"/>
      <c r="QD61" s="125"/>
      <c r="QE61" s="125"/>
      <c r="QF61" s="125"/>
      <c r="QG61" s="125"/>
      <c r="QH61" s="125"/>
      <c r="QI61" s="125"/>
      <c r="QJ61" s="125"/>
      <c r="QK61" s="125"/>
      <c r="QL61" s="125"/>
      <c r="QM61" s="125"/>
      <c r="QN61" s="125"/>
      <c r="QO61" s="125"/>
      <c r="QP61" s="125"/>
      <c r="QQ61" s="125"/>
      <c r="QR61" s="125"/>
      <c r="QS61" s="125"/>
      <c r="QT61" s="125"/>
      <c r="QU61" s="125"/>
      <c r="QV61" s="125"/>
      <c r="QW61" s="125"/>
      <c r="QX61" s="125"/>
      <c r="QY61" s="125"/>
      <c r="QZ61" s="125">
        <v>30</v>
      </c>
      <c r="RA61" s="125">
        <v>30</v>
      </c>
      <c r="RB61" s="125"/>
      <c r="RC61" s="125"/>
      <c r="RD61" s="125"/>
      <c r="RE61" s="125"/>
      <c r="RF61" s="125"/>
      <c r="RG61" s="24">
        <f t="shared" si="3"/>
        <v>60</v>
      </c>
      <c r="RH61" s="60" t="s">
        <v>36</v>
      </c>
      <c r="RI61" s="121">
        <v>2100.96</v>
      </c>
      <c r="RJ61" s="77">
        <f t="shared" si="6"/>
        <v>0</v>
      </c>
      <c r="RK61" s="77">
        <v>1673.6999999999998</v>
      </c>
      <c r="RL61" s="121">
        <f t="shared" si="4"/>
        <v>2100.96</v>
      </c>
      <c r="RM61" s="145"/>
      <c r="RN61" s="145"/>
      <c r="RO61" s="145"/>
      <c r="RP61" s="104">
        <f t="shared" si="5"/>
        <v>1.2552787237856249</v>
      </c>
      <c r="RQ61" s="172" t="s">
        <v>561</v>
      </c>
    </row>
    <row r="62" spans="1:485" s="5" customFormat="1" ht="12.75" customHeight="1" x14ac:dyDescent="0.25">
      <c r="A62" s="61">
        <v>44980</v>
      </c>
      <c r="B62" s="112" t="s">
        <v>449</v>
      </c>
      <c r="C62" s="123"/>
      <c r="D62" s="123"/>
      <c r="E62" s="124"/>
      <c r="F62" s="124"/>
      <c r="G62" s="124"/>
      <c r="H62" s="124"/>
      <c r="I62" s="124"/>
      <c r="J62" s="124"/>
      <c r="K62" s="124"/>
      <c r="L62" s="124"/>
      <c r="M62" s="124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  <c r="BK62" s="125"/>
      <c r="BL62" s="125"/>
      <c r="BM62" s="125"/>
      <c r="BN62" s="125"/>
      <c r="BO62" s="125"/>
      <c r="BP62" s="125"/>
      <c r="BQ62" s="125"/>
      <c r="BR62" s="125"/>
      <c r="BS62" s="125"/>
      <c r="BT62" s="125"/>
      <c r="BU62" s="125"/>
      <c r="BV62" s="125"/>
      <c r="BW62" s="125"/>
      <c r="BX62" s="125"/>
      <c r="BY62" s="125"/>
      <c r="BZ62" s="125"/>
      <c r="CA62" s="125"/>
      <c r="CB62" s="125"/>
      <c r="CC62" s="125"/>
      <c r="CD62" s="125"/>
      <c r="CE62" s="125"/>
      <c r="CF62" s="125"/>
      <c r="CG62" s="125"/>
      <c r="CH62" s="125"/>
      <c r="CI62" s="125"/>
      <c r="CJ62" s="125"/>
      <c r="CK62" s="125"/>
      <c r="CL62" s="125"/>
      <c r="CM62" s="125"/>
      <c r="CN62" s="125"/>
      <c r="CO62" s="125"/>
      <c r="CP62" s="125"/>
      <c r="CQ62" s="125"/>
      <c r="CR62" s="125"/>
      <c r="CS62" s="125"/>
      <c r="CT62" s="125"/>
      <c r="CU62" s="125"/>
      <c r="CV62" s="125"/>
      <c r="CW62" s="125"/>
      <c r="CX62" s="125"/>
      <c r="CY62" s="125"/>
      <c r="CZ62" s="125"/>
      <c r="DA62" s="125"/>
      <c r="DB62" s="125"/>
      <c r="DC62" s="125"/>
      <c r="DD62" s="125"/>
      <c r="DE62" s="125"/>
      <c r="DF62" s="125"/>
      <c r="DG62" s="125"/>
      <c r="DH62" s="125"/>
      <c r="DI62" s="125"/>
      <c r="DJ62" s="125"/>
      <c r="DK62" s="125"/>
      <c r="DL62" s="125"/>
      <c r="DM62" s="125"/>
      <c r="DN62" s="125"/>
      <c r="DO62" s="125"/>
      <c r="DP62" s="125"/>
      <c r="DQ62" s="125"/>
      <c r="DR62" s="125"/>
      <c r="DS62" s="125"/>
      <c r="DT62" s="125"/>
      <c r="DU62" s="125"/>
      <c r="DV62" s="125"/>
      <c r="DW62" s="125"/>
      <c r="DX62" s="125"/>
      <c r="DY62" s="125"/>
      <c r="DZ62" s="125"/>
      <c r="EA62" s="125"/>
      <c r="EB62" s="125"/>
      <c r="EC62" s="125"/>
      <c r="ED62" s="125"/>
      <c r="EE62" s="125"/>
      <c r="EF62" s="125"/>
      <c r="EG62" s="125"/>
      <c r="EH62" s="125"/>
      <c r="EI62" s="125"/>
      <c r="EJ62" s="125"/>
      <c r="EK62" s="125"/>
      <c r="EL62" s="125"/>
      <c r="EM62" s="125"/>
      <c r="EN62" s="125"/>
      <c r="EO62" s="125"/>
      <c r="EP62" s="125"/>
      <c r="EQ62" s="125"/>
      <c r="ER62" s="125"/>
      <c r="ES62" s="125"/>
      <c r="ET62" s="125"/>
      <c r="EU62" s="125"/>
      <c r="EV62" s="125"/>
      <c r="EW62" s="125"/>
      <c r="EX62" s="125"/>
      <c r="EY62" s="125"/>
      <c r="EZ62" s="125"/>
      <c r="FA62" s="125"/>
      <c r="FB62" s="125"/>
      <c r="FC62" s="125"/>
      <c r="FD62" s="125"/>
      <c r="FE62" s="125"/>
      <c r="FF62" s="125"/>
      <c r="FG62" s="125"/>
      <c r="FH62" s="125"/>
      <c r="FI62" s="125"/>
      <c r="FJ62" s="125"/>
      <c r="FK62" s="125"/>
      <c r="FL62" s="125"/>
      <c r="FM62" s="125"/>
      <c r="FN62" s="125"/>
      <c r="FO62" s="125"/>
      <c r="FP62" s="125"/>
      <c r="FQ62" s="125"/>
      <c r="FR62" s="125"/>
      <c r="FS62" s="125"/>
      <c r="FT62" s="125"/>
      <c r="FU62" s="125"/>
      <c r="FV62" s="125"/>
      <c r="FW62" s="125"/>
      <c r="FX62" s="125"/>
      <c r="FY62" s="125"/>
      <c r="FZ62" s="125"/>
      <c r="GA62" s="125"/>
      <c r="GB62" s="125"/>
      <c r="GC62" s="125"/>
      <c r="GD62" s="125"/>
      <c r="GE62" s="125"/>
      <c r="GF62" s="125"/>
      <c r="GG62" s="125"/>
      <c r="GH62" s="125"/>
      <c r="GI62" s="125"/>
      <c r="GJ62" s="125"/>
      <c r="GK62" s="125"/>
      <c r="GL62" s="125"/>
      <c r="GM62" s="125"/>
      <c r="GN62" s="125"/>
      <c r="GO62" s="125"/>
      <c r="GP62" s="125"/>
      <c r="GQ62" s="125"/>
      <c r="GR62" s="125"/>
      <c r="GS62" s="125"/>
      <c r="GT62" s="125"/>
      <c r="GU62" s="125"/>
      <c r="GV62" s="125"/>
      <c r="GW62" s="125"/>
      <c r="GX62" s="125"/>
      <c r="GY62" s="125"/>
      <c r="GZ62" s="125"/>
      <c r="HA62" s="125"/>
      <c r="HB62" s="125"/>
      <c r="HC62" s="125"/>
      <c r="HD62" s="125"/>
      <c r="HE62" s="125"/>
      <c r="HF62" s="125"/>
      <c r="HG62" s="125"/>
      <c r="HH62" s="125"/>
      <c r="HI62" s="125"/>
      <c r="HJ62" s="125"/>
      <c r="HK62" s="125"/>
      <c r="HL62" s="125"/>
      <c r="HM62" s="125"/>
      <c r="HN62" s="125"/>
      <c r="HO62" s="125"/>
      <c r="HP62" s="125"/>
      <c r="HQ62" s="125"/>
      <c r="HR62" s="125"/>
      <c r="HS62" s="125"/>
      <c r="HT62" s="125"/>
      <c r="HU62" s="125"/>
      <c r="HV62" s="125"/>
      <c r="HW62" s="125"/>
      <c r="HX62" s="125"/>
      <c r="HY62" s="125"/>
      <c r="HZ62" s="125"/>
      <c r="IA62" s="125"/>
      <c r="IB62" s="125"/>
      <c r="IC62" s="125"/>
      <c r="ID62" s="125"/>
      <c r="IE62" s="125"/>
      <c r="IF62" s="125"/>
      <c r="IG62" s="125"/>
      <c r="IH62" s="125"/>
      <c r="II62" s="125"/>
      <c r="IJ62" s="125"/>
      <c r="IK62" s="125"/>
      <c r="IL62" s="125"/>
      <c r="IM62" s="125"/>
      <c r="IN62" s="125"/>
      <c r="IO62" s="125"/>
      <c r="IP62" s="125"/>
      <c r="IQ62" s="125"/>
      <c r="IR62" s="125"/>
      <c r="IS62" s="125"/>
      <c r="IT62" s="125"/>
      <c r="IU62" s="125"/>
      <c r="IV62" s="125"/>
      <c r="IW62" s="125"/>
      <c r="IX62" s="125"/>
      <c r="IY62" s="125"/>
      <c r="IZ62" s="125"/>
      <c r="JA62" s="125"/>
      <c r="JB62" s="125"/>
      <c r="JC62" s="125"/>
      <c r="JD62" s="125"/>
      <c r="JE62" s="125"/>
      <c r="JF62" s="125"/>
      <c r="JG62" s="125"/>
      <c r="JH62" s="125"/>
      <c r="JI62" s="125"/>
      <c r="JJ62" s="125"/>
      <c r="JK62" s="125"/>
      <c r="JL62" s="125"/>
      <c r="JM62" s="125"/>
      <c r="JN62" s="125"/>
      <c r="JO62" s="125"/>
      <c r="JP62" s="125"/>
      <c r="JQ62" s="125"/>
      <c r="JR62" s="125"/>
      <c r="JS62" s="125"/>
      <c r="JT62" s="125"/>
      <c r="JU62" s="125"/>
      <c r="JV62" s="125"/>
      <c r="JW62" s="125"/>
      <c r="JX62" s="125"/>
      <c r="JY62" s="125"/>
      <c r="JZ62" s="125"/>
      <c r="KA62" s="125"/>
      <c r="KB62" s="125"/>
      <c r="KC62" s="125"/>
      <c r="KD62" s="125"/>
      <c r="KE62" s="125"/>
      <c r="KF62" s="125"/>
      <c r="KG62" s="125"/>
      <c r="KH62" s="125"/>
      <c r="KI62" s="125"/>
      <c r="KJ62" s="125"/>
      <c r="KK62" s="125"/>
      <c r="KL62" s="125"/>
      <c r="KM62" s="125"/>
      <c r="KN62" s="125"/>
      <c r="KO62" s="125"/>
      <c r="KP62" s="125"/>
      <c r="KQ62" s="125"/>
      <c r="KR62" s="125"/>
      <c r="KS62" s="125"/>
      <c r="KT62" s="125"/>
      <c r="KU62" s="125"/>
      <c r="KV62" s="125"/>
      <c r="KW62" s="125"/>
      <c r="KX62" s="125"/>
      <c r="KY62" s="125"/>
      <c r="KZ62" s="125"/>
      <c r="LA62" s="125"/>
      <c r="LB62" s="125"/>
      <c r="LC62" s="125"/>
      <c r="LD62" s="125"/>
      <c r="LE62" s="125"/>
      <c r="LF62" s="125"/>
      <c r="LG62" s="125"/>
      <c r="LH62" s="125"/>
      <c r="LI62" s="125"/>
      <c r="LJ62" s="125"/>
      <c r="LK62" s="125"/>
      <c r="LL62" s="125"/>
      <c r="LM62" s="125"/>
      <c r="LN62" s="125"/>
      <c r="LO62" s="125"/>
      <c r="LP62" s="125"/>
      <c r="LQ62" s="125"/>
      <c r="LR62" s="125"/>
      <c r="LS62" s="125"/>
      <c r="LT62" s="125"/>
      <c r="LU62" s="125"/>
      <c r="LV62" s="125"/>
      <c r="LW62" s="125"/>
      <c r="LX62" s="125"/>
      <c r="LY62" s="125"/>
      <c r="LZ62" s="125"/>
      <c r="MA62" s="125"/>
      <c r="MB62" s="125"/>
      <c r="MC62" s="125"/>
      <c r="MD62" s="125"/>
      <c r="ME62" s="125"/>
      <c r="MF62" s="125"/>
      <c r="MG62" s="125"/>
      <c r="MH62" s="125"/>
      <c r="MI62" s="125"/>
      <c r="MJ62" s="125"/>
      <c r="MK62" s="125"/>
      <c r="ML62" s="125"/>
      <c r="MM62" s="125"/>
      <c r="MN62" s="125"/>
      <c r="MO62" s="125"/>
      <c r="MP62" s="125"/>
      <c r="MQ62" s="125"/>
      <c r="MR62" s="125"/>
      <c r="MS62" s="125"/>
      <c r="MT62" s="125"/>
      <c r="MU62" s="125"/>
      <c r="MV62" s="125"/>
      <c r="MW62" s="125"/>
      <c r="MX62" s="125"/>
      <c r="MY62" s="125"/>
      <c r="MZ62" s="125"/>
      <c r="NA62" s="125"/>
      <c r="NB62" s="125"/>
      <c r="NC62" s="125"/>
      <c r="ND62" s="125"/>
      <c r="NE62" s="125"/>
      <c r="NF62" s="125"/>
      <c r="NG62" s="125"/>
      <c r="NH62" s="125"/>
      <c r="NI62" s="125"/>
      <c r="NJ62" s="125"/>
      <c r="NK62" s="125"/>
      <c r="NL62" s="125"/>
      <c r="NM62" s="125"/>
      <c r="NN62" s="125"/>
      <c r="NO62" s="125"/>
      <c r="NP62" s="125"/>
      <c r="NQ62" s="125"/>
      <c r="NR62" s="125"/>
      <c r="NS62" s="125"/>
      <c r="NT62" s="125"/>
      <c r="NU62" s="125"/>
      <c r="NV62" s="125"/>
      <c r="NW62" s="125"/>
      <c r="NX62" s="125"/>
      <c r="NY62" s="125"/>
      <c r="NZ62" s="125"/>
      <c r="OA62" s="125"/>
      <c r="OB62" s="125"/>
      <c r="OC62" s="125"/>
      <c r="OD62" s="125"/>
      <c r="OE62" s="125"/>
      <c r="OF62" s="125"/>
      <c r="OG62" s="125"/>
      <c r="OH62" s="125"/>
      <c r="OI62" s="125"/>
      <c r="OJ62" s="125"/>
      <c r="OK62" s="125"/>
      <c r="OL62" s="125"/>
      <c r="OM62" s="125"/>
      <c r="ON62" s="125"/>
      <c r="OO62" s="125"/>
      <c r="OP62" s="125"/>
      <c r="OQ62" s="125"/>
      <c r="OR62" s="125"/>
      <c r="OS62" s="125"/>
      <c r="OT62" s="125"/>
      <c r="OU62" s="125"/>
      <c r="OV62" s="125"/>
      <c r="OW62" s="125"/>
      <c r="OX62" s="125"/>
      <c r="OY62" s="125"/>
      <c r="OZ62" s="125"/>
      <c r="PA62" s="125"/>
      <c r="PB62" s="125"/>
      <c r="PC62" s="125"/>
      <c r="PD62" s="125">
        <v>84</v>
      </c>
      <c r="PE62" s="125"/>
      <c r="PF62" s="125"/>
      <c r="PG62" s="125"/>
      <c r="PH62" s="125"/>
      <c r="PI62" s="125"/>
      <c r="PJ62" s="125"/>
      <c r="PK62" s="125"/>
      <c r="PL62" s="125"/>
      <c r="PM62" s="125"/>
      <c r="PN62" s="125"/>
      <c r="PO62" s="125"/>
      <c r="PP62" s="125"/>
      <c r="PQ62" s="125"/>
      <c r="PR62" s="125"/>
      <c r="PS62" s="125"/>
      <c r="PT62" s="125"/>
      <c r="PU62" s="125"/>
      <c r="PV62" s="125"/>
      <c r="PW62" s="125"/>
      <c r="PX62" s="125"/>
      <c r="PY62" s="125"/>
      <c r="PZ62" s="125"/>
      <c r="QA62" s="125"/>
      <c r="QB62" s="125"/>
      <c r="QC62" s="125"/>
      <c r="QD62" s="125"/>
      <c r="QE62" s="125"/>
      <c r="QF62" s="125"/>
      <c r="QG62" s="125"/>
      <c r="QH62" s="125"/>
      <c r="QI62" s="125"/>
      <c r="QJ62" s="125"/>
      <c r="QK62" s="125"/>
      <c r="QL62" s="125"/>
      <c r="QM62" s="125"/>
      <c r="QN62" s="125"/>
      <c r="QO62" s="125"/>
      <c r="QP62" s="125"/>
      <c r="QQ62" s="125"/>
      <c r="QR62" s="125"/>
      <c r="QS62" s="125"/>
      <c r="QT62" s="125"/>
      <c r="QU62" s="125"/>
      <c r="QV62" s="125"/>
      <c r="QW62" s="125"/>
      <c r="QX62" s="125"/>
      <c r="QY62" s="125"/>
      <c r="QZ62" s="125"/>
      <c r="RA62" s="125"/>
      <c r="RB62" s="125"/>
      <c r="RC62" s="125"/>
      <c r="RD62" s="125"/>
      <c r="RE62" s="125"/>
      <c r="RF62" s="125"/>
      <c r="RG62" s="24">
        <f t="shared" si="3"/>
        <v>84</v>
      </c>
      <c r="RH62" s="60" t="s">
        <v>69</v>
      </c>
      <c r="RI62" s="121">
        <v>1058.4000000000001</v>
      </c>
      <c r="RJ62" s="77">
        <f t="shared" si="6"/>
        <v>0</v>
      </c>
      <c r="RK62" s="77">
        <v>693.84</v>
      </c>
      <c r="RL62" s="121">
        <f t="shared" si="4"/>
        <v>1058.4000000000001</v>
      </c>
      <c r="RM62" s="145"/>
      <c r="RN62" s="145"/>
      <c r="RO62" s="145"/>
      <c r="RP62" s="104">
        <f t="shared" si="5"/>
        <v>1.5254237288135595</v>
      </c>
      <c r="RQ62" s="172" t="s">
        <v>611</v>
      </c>
    </row>
    <row r="63" spans="1:485" s="5" customFormat="1" ht="12.75" customHeight="1" x14ac:dyDescent="0.25">
      <c r="A63" s="61">
        <v>44980</v>
      </c>
      <c r="B63" s="112" t="s">
        <v>55</v>
      </c>
      <c r="C63" s="123"/>
      <c r="D63" s="123"/>
      <c r="E63" s="124"/>
      <c r="F63" s="124"/>
      <c r="G63" s="124"/>
      <c r="H63" s="124"/>
      <c r="I63" s="124"/>
      <c r="J63" s="124"/>
      <c r="K63" s="124"/>
      <c r="L63" s="124"/>
      <c r="M63" s="124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5"/>
      <c r="BV63" s="125"/>
      <c r="BW63" s="125"/>
      <c r="BX63" s="125"/>
      <c r="BY63" s="125"/>
      <c r="BZ63" s="125"/>
      <c r="CA63" s="125"/>
      <c r="CB63" s="125"/>
      <c r="CC63" s="125"/>
      <c r="CD63" s="125"/>
      <c r="CE63" s="125">
        <v>0.8</v>
      </c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  <c r="CY63" s="125"/>
      <c r="CZ63" s="125"/>
      <c r="DA63" s="125"/>
      <c r="DB63" s="125"/>
      <c r="DC63" s="125"/>
      <c r="DD63" s="125"/>
      <c r="DE63" s="125"/>
      <c r="DF63" s="125"/>
      <c r="DG63" s="125"/>
      <c r="DH63" s="125"/>
      <c r="DI63" s="125"/>
      <c r="DJ63" s="125"/>
      <c r="DK63" s="125"/>
      <c r="DL63" s="125"/>
      <c r="DM63" s="125"/>
      <c r="DN63" s="125"/>
      <c r="DO63" s="125"/>
      <c r="DP63" s="125"/>
      <c r="DQ63" s="125"/>
      <c r="DR63" s="125"/>
      <c r="DS63" s="125"/>
      <c r="DT63" s="125"/>
      <c r="DU63" s="125"/>
      <c r="DV63" s="125"/>
      <c r="DW63" s="125"/>
      <c r="DX63" s="125"/>
      <c r="DY63" s="125"/>
      <c r="DZ63" s="125"/>
      <c r="EA63" s="125"/>
      <c r="EB63" s="125"/>
      <c r="EC63" s="125"/>
      <c r="ED63" s="125"/>
      <c r="EE63" s="125"/>
      <c r="EF63" s="125"/>
      <c r="EG63" s="125"/>
      <c r="EH63" s="125"/>
      <c r="EI63" s="125"/>
      <c r="EJ63" s="125"/>
      <c r="EK63" s="125"/>
      <c r="EL63" s="125"/>
      <c r="EM63" s="125"/>
      <c r="EN63" s="125"/>
      <c r="EO63" s="125"/>
      <c r="EP63" s="125"/>
      <c r="EQ63" s="125"/>
      <c r="ER63" s="125"/>
      <c r="ES63" s="125"/>
      <c r="ET63" s="125"/>
      <c r="EU63" s="125"/>
      <c r="EV63" s="125"/>
      <c r="EW63" s="125"/>
      <c r="EX63" s="125"/>
      <c r="EY63" s="125"/>
      <c r="EZ63" s="125"/>
      <c r="FA63" s="125"/>
      <c r="FB63" s="125"/>
      <c r="FC63" s="125"/>
      <c r="FD63" s="125"/>
      <c r="FE63" s="125"/>
      <c r="FF63" s="125"/>
      <c r="FG63" s="125"/>
      <c r="FH63" s="125"/>
      <c r="FI63" s="125"/>
      <c r="FJ63" s="125"/>
      <c r="FK63" s="125"/>
      <c r="FL63" s="125"/>
      <c r="FM63" s="125"/>
      <c r="FN63" s="125"/>
      <c r="FO63" s="125"/>
      <c r="FP63" s="125"/>
      <c r="FQ63" s="125"/>
      <c r="FR63" s="125"/>
      <c r="FS63" s="125"/>
      <c r="FT63" s="125"/>
      <c r="FU63" s="125"/>
      <c r="FV63" s="125"/>
      <c r="FW63" s="125"/>
      <c r="FX63" s="125"/>
      <c r="FY63" s="125"/>
      <c r="FZ63" s="125"/>
      <c r="GA63" s="125"/>
      <c r="GB63" s="125"/>
      <c r="GC63" s="125"/>
      <c r="GD63" s="125"/>
      <c r="GE63" s="125"/>
      <c r="GF63" s="125"/>
      <c r="GG63" s="125"/>
      <c r="GH63" s="125"/>
      <c r="GI63" s="125"/>
      <c r="GJ63" s="125"/>
      <c r="GK63" s="125"/>
      <c r="GL63" s="125"/>
      <c r="GM63" s="125"/>
      <c r="GN63" s="125"/>
      <c r="GO63" s="125"/>
      <c r="GP63" s="125"/>
      <c r="GQ63" s="125"/>
      <c r="GR63" s="125"/>
      <c r="GS63" s="125"/>
      <c r="GT63" s="125"/>
      <c r="GU63" s="125"/>
      <c r="GV63" s="125"/>
      <c r="GW63" s="125"/>
      <c r="GX63" s="125"/>
      <c r="GY63" s="125"/>
      <c r="GZ63" s="125"/>
      <c r="HA63" s="125"/>
      <c r="HB63" s="125"/>
      <c r="HC63" s="125"/>
      <c r="HD63" s="125"/>
      <c r="HE63" s="125"/>
      <c r="HF63" s="125"/>
      <c r="HG63" s="125"/>
      <c r="HH63" s="125"/>
      <c r="HI63" s="125"/>
      <c r="HJ63" s="125"/>
      <c r="HK63" s="125"/>
      <c r="HL63" s="125"/>
      <c r="HM63" s="125"/>
      <c r="HN63" s="125"/>
      <c r="HO63" s="125"/>
      <c r="HP63" s="125"/>
      <c r="HQ63" s="125"/>
      <c r="HR63" s="125"/>
      <c r="HS63" s="125"/>
      <c r="HT63" s="125"/>
      <c r="HU63" s="125"/>
      <c r="HV63" s="125"/>
      <c r="HW63" s="125"/>
      <c r="HX63" s="125"/>
      <c r="HY63" s="125"/>
      <c r="HZ63" s="125"/>
      <c r="IA63" s="125"/>
      <c r="IB63" s="125"/>
      <c r="IC63" s="125"/>
      <c r="ID63" s="125"/>
      <c r="IE63" s="125"/>
      <c r="IF63" s="125"/>
      <c r="IG63" s="125"/>
      <c r="IH63" s="125"/>
      <c r="II63" s="125"/>
      <c r="IJ63" s="125"/>
      <c r="IK63" s="125"/>
      <c r="IL63" s="125"/>
      <c r="IM63" s="125"/>
      <c r="IN63" s="125"/>
      <c r="IO63" s="125"/>
      <c r="IP63" s="125"/>
      <c r="IQ63" s="125"/>
      <c r="IR63" s="125"/>
      <c r="IS63" s="125"/>
      <c r="IT63" s="125"/>
      <c r="IU63" s="125"/>
      <c r="IV63" s="125"/>
      <c r="IW63" s="125"/>
      <c r="IX63" s="125"/>
      <c r="IY63" s="125"/>
      <c r="IZ63" s="125"/>
      <c r="JA63" s="125"/>
      <c r="JB63" s="125"/>
      <c r="JC63" s="125"/>
      <c r="JD63" s="125"/>
      <c r="JE63" s="125"/>
      <c r="JF63" s="125"/>
      <c r="JG63" s="125"/>
      <c r="JH63" s="125"/>
      <c r="JI63" s="125"/>
      <c r="JJ63" s="125"/>
      <c r="JK63" s="125"/>
      <c r="JL63" s="125"/>
      <c r="JM63" s="125"/>
      <c r="JN63" s="125"/>
      <c r="JO63" s="125"/>
      <c r="JP63" s="125"/>
      <c r="JQ63" s="125"/>
      <c r="JR63" s="125"/>
      <c r="JS63" s="125"/>
      <c r="JT63" s="125"/>
      <c r="JU63" s="125"/>
      <c r="JV63" s="125"/>
      <c r="JW63" s="125"/>
      <c r="JX63" s="125"/>
      <c r="JY63" s="125"/>
      <c r="JZ63" s="125"/>
      <c r="KA63" s="125"/>
      <c r="KB63" s="125"/>
      <c r="KC63" s="125"/>
      <c r="KD63" s="125"/>
      <c r="KE63" s="125"/>
      <c r="KF63" s="125"/>
      <c r="KG63" s="125"/>
      <c r="KH63" s="125"/>
      <c r="KI63" s="125"/>
      <c r="KJ63" s="125"/>
      <c r="KK63" s="125"/>
      <c r="KL63" s="125"/>
      <c r="KM63" s="125"/>
      <c r="KN63" s="125"/>
      <c r="KO63" s="125"/>
      <c r="KP63" s="125"/>
      <c r="KQ63" s="125"/>
      <c r="KR63" s="125"/>
      <c r="KS63" s="125"/>
      <c r="KT63" s="125"/>
      <c r="KU63" s="125"/>
      <c r="KV63" s="125"/>
      <c r="KW63" s="125"/>
      <c r="KX63" s="125"/>
      <c r="KY63" s="125"/>
      <c r="KZ63" s="125"/>
      <c r="LA63" s="125"/>
      <c r="LB63" s="125"/>
      <c r="LC63" s="125"/>
      <c r="LD63" s="125"/>
      <c r="LE63" s="125"/>
      <c r="LF63" s="125"/>
      <c r="LG63" s="125"/>
      <c r="LH63" s="125"/>
      <c r="LI63" s="125"/>
      <c r="LJ63" s="125"/>
      <c r="LK63" s="125"/>
      <c r="LL63" s="125"/>
      <c r="LM63" s="125"/>
      <c r="LN63" s="125"/>
      <c r="LO63" s="125"/>
      <c r="LP63" s="125"/>
      <c r="LQ63" s="125"/>
      <c r="LR63" s="125"/>
      <c r="LS63" s="125"/>
      <c r="LT63" s="125"/>
      <c r="LU63" s="125"/>
      <c r="LV63" s="125"/>
      <c r="LW63" s="125"/>
      <c r="LX63" s="125"/>
      <c r="LY63" s="125"/>
      <c r="LZ63" s="125"/>
      <c r="MA63" s="125"/>
      <c r="MB63" s="125"/>
      <c r="MC63" s="125"/>
      <c r="MD63" s="125"/>
      <c r="ME63" s="125"/>
      <c r="MF63" s="125"/>
      <c r="MG63" s="125"/>
      <c r="MH63" s="125"/>
      <c r="MI63" s="125"/>
      <c r="MJ63" s="125"/>
      <c r="MK63" s="125"/>
      <c r="ML63" s="125"/>
      <c r="MM63" s="125"/>
      <c r="MN63" s="125"/>
      <c r="MO63" s="125"/>
      <c r="MP63" s="125"/>
      <c r="MQ63" s="125"/>
      <c r="MR63" s="125"/>
      <c r="MS63" s="125"/>
      <c r="MT63" s="125"/>
      <c r="MU63" s="125"/>
      <c r="MV63" s="125"/>
      <c r="MW63" s="125"/>
      <c r="MX63" s="125"/>
      <c r="MY63" s="125"/>
      <c r="MZ63" s="125"/>
      <c r="NA63" s="125"/>
      <c r="NB63" s="125"/>
      <c r="NC63" s="125"/>
      <c r="ND63" s="125"/>
      <c r="NE63" s="125"/>
      <c r="NF63" s="125"/>
      <c r="NG63" s="125"/>
      <c r="NH63" s="125"/>
      <c r="NI63" s="125"/>
      <c r="NJ63" s="125"/>
      <c r="NK63" s="125"/>
      <c r="NL63" s="125"/>
      <c r="NM63" s="125"/>
      <c r="NN63" s="125"/>
      <c r="NO63" s="125"/>
      <c r="NP63" s="125"/>
      <c r="NQ63" s="125"/>
      <c r="NR63" s="125"/>
      <c r="NS63" s="125"/>
      <c r="NT63" s="125"/>
      <c r="NU63" s="125"/>
      <c r="NV63" s="125"/>
      <c r="NW63" s="125"/>
      <c r="NX63" s="125"/>
      <c r="NY63" s="125"/>
      <c r="NZ63" s="125"/>
      <c r="OA63" s="125"/>
      <c r="OB63" s="125"/>
      <c r="OC63" s="125"/>
      <c r="OD63" s="125"/>
      <c r="OE63" s="125"/>
      <c r="OF63" s="125"/>
      <c r="OG63" s="125"/>
      <c r="OH63" s="125"/>
      <c r="OI63" s="125"/>
      <c r="OJ63" s="125"/>
      <c r="OK63" s="125"/>
      <c r="OL63" s="125"/>
      <c r="OM63" s="125"/>
      <c r="ON63" s="125"/>
      <c r="OO63" s="125"/>
      <c r="OP63" s="125"/>
      <c r="OQ63" s="125"/>
      <c r="OR63" s="125"/>
      <c r="OS63" s="125"/>
      <c r="OT63" s="125"/>
      <c r="OU63" s="125"/>
      <c r="OV63" s="125"/>
      <c r="OW63" s="125"/>
      <c r="OX63" s="125"/>
      <c r="OY63" s="125"/>
      <c r="OZ63" s="125"/>
      <c r="PA63" s="125"/>
      <c r="PB63" s="125"/>
      <c r="PC63" s="125"/>
      <c r="PD63" s="125"/>
      <c r="PE63" s="125"/>
      <c r="PF63" s="125"/>
      <c r="PG63" s="125"/>
      <c r="PH63" s="125"/>
      <c r="PI63" s="125"/>
      <c r="PJ63" s="125"/>
      <c r="PK63" s="125"/>
      <c r="PL63" s="125"/>
      <c r="PM63" s="125"/>
      <c r="PN63" s="125"/>
      <c r="PO63" s="125"/>
      <c r="PP63" s="125"/>
      <c r="PQ63" s="125"/>
      <c r="PR63" s="125"/>
      <c r="PS63" s="125"/>
      <c r="PT63" s="125"/>
      <c r="PU63" s="125"/>
      <c r="PV63" s="125"/>
      <c r="PW63" s="125"/>
      <c r="PX63" s="125"/>
      <c r="PY63" s="125"/>
      <c r="PZ63" s="125"/>
      <c r="QA63" s="125"/>
      <c r="QB63" s="125"/>
      <c r="QC63" s="125"/>
      <c r="QD63" s="125"/>
      <c r="QE63" s="125"/>
      <c r="QF63" s="125"/>
      <c r="QG63" s="125"/>
      <c r="QH63" s="125"/>
      <c r="QI63" s="125"/>
      <c r="QJ63" s="125"/>
      <c r="QK63" s="125"/>
      <c r="QL63" s="125"/>
      <c r="QM63" s="125"/>
      <c r="QN63" s="125"/>
      <c r="QO63" s="125"/>
      <c r="QP63" s="125"/>
      <c r="QQ63" s="125"/>
      <c r="QR63" s="125"/>
      <c r="QS63" s="125"/>
      <c r="QT63" s="125"/>
      <c r="QU63" s="125"/>
      <c r="QV63" s="125"/>
      <c r="QW63" s="125"/>
      <c r="QX63" s="125"/>
      <c r="QY63" s="125"/>
      <c r="QZ63" s="125"/>
      <c r="RA63" s="125"/>
      <c r="RB63" s="125"/>
      <c r="RC63" s="125"/>
      <c r="RD63" s="125"/>
      <c r="RE63" s="125"/>
      <c r="RF63" s="125"/>
      <c r="RG63" s="24">
        <f t="shared" si="3"/>
        <v>0.8</v>
      </c>
      <c r="RH63" s="60" t="s">
        <v>36</v>
      </c>
      <c r="RI63" s="121">
        <v>98.04</v>
      </c>
      <c r="RJ63" s="77">
        <f t="shared" si="6"/>
        <v>0</v>
      </c>
      <c r="RK63" s="77">
        <v>54.632000000000005</v>
      </c>
      <c r="RL63" s="121">
        <f t="shared" si="4"/>
        <v>98.04</v>
      </c>
      <c r="RM63" s="145"/>
      <c r="RN63" s="145"/>
      <c r="RO63" s="145"/>
      <c r="RP63" s="104">
        <f t="shared" si="5"/>
        <v>1.7945526431395518</v>
      </c>
      <c r="RQ63" s="172" t="s">
        <v>611</v>
      </c>
    </row>
    <row r="64" spans="1:485" s="5" customFormat="1" ht="12.75" customHeight="1" x14ac:dyDescent="0.25">
      <c r="A64" s="61">
        <v>44980</v>
      </c>
      <c r="B64" s="112" t="s">
        <v>55</v>
      </c>
      <c r="C64" s="123"/>
      <c r="D64" s="123"/>
      <c r="E64" s="124"/>
      <c r="F64" s="124"/>
      <c r="G64" s="124"/>
      <c r="H64" s="124"/>
      <c r="I64" s="124"/>
      <c r="J64" s="124"/>
      <c r="K64" s="124"/>
      <c r="L64" s="124"/>
      <c r="M64" s="124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  <c r="AZ64" s="125"/>
      <c r="BA64" s="125"/>
      <c r="BB64" s="125"/>
      <c r="BC64" s="125"/>
      <c r="BD64" s="125"/>
      <c r="BE64" s="125"/>
      <c r="BF64" s="125"/>
      <c r="BG64" s="125"/>
      <c r="BH64" s="125"/>
      <c r="BI64" s="125"/>
      <c r="BJ64" s="125"/>
      <c r="BK64" s="125"/>
      <c r="BL64" s="125"/>
      <c r="BM64" s="125"/>
      <c r="BN64" s="125"/>
      <c r="BO64" s="125"/>
      <c r="BP64" s="125"/>
      <c r="BQ64" s="125"/>
      <c r="BR64" s="125"/>
      <c r="BS64" s="125"/>
      <c r="BT64" s="125"/>
      <c r="BU64" s="125"/>
      <c r="BV64" s="125"/>
      <c r="BW64" s="125"/>
      <c r="BX64" s="125"/>
      <c r="BY64" s="125"/>
      <c r="BZ64" s="125"/>
      <c r="CA64" s="125"/>
      <c r="CB64" s="125"/>
      <c r="CC64" s="125"/>
      <c r="CD64" s="125"/>
      <c r="CE64" s="125"/>
      <c r="CF64" s="125"/>
      <c r="CG64" s="125"/>
      <c r="CH64" s="125"/>
      <c r="CI64" s="125"/>
      <c r="CJ64" s="125"/>
      <c r="CK64" s="125"/>
      <c r="CL64" s="125"/>
      <c r="CM64" s="125"/>
      <c r="CN64" s="125"/>
      <c r="CO64" s="125"/>
      <c r="CP64" s="125"/>
      <c r="CQ64" s="125"/>
      <c r="CR64" s="125"/>
      <c r="CS64" s="125"/>
      <c r="CT64" s="125"/>
      <c r="CU64" s="125"/>
      <c r="CV64" s="125"/>
      <c r="CW64" s="125"/>
      <c r="CX64" s="125"/>
      <c r="CY64" s="125"/>
      <c r="CZ64" s="125"/>
      <c r="DA64" s="125"/>
      <c r="DB64" s="125"/>
      <c r="DC64" s="125"/>
      <c r="DD64" s="125"/>
      <c r="DE64" s="125"/>
      <c r="DF64" s="125"/>
      <c r="DG64" s="125"/>
      <c r="DH64" s="125"/>
      <c r="DI64" s="125"/>
      <c r="DJ64" s="125"/>
      <c r="DK64" s="125"/>
      <c r="DL64" s="125"/>
      <c r="DM64" s="125"/>
      <c r="DN64" s="125"/>
      <c r="DO64" s="125"/>
      <c r="DP64" s="125"/>
      <c r="DQ64" s="125"/>
      <c r="DR64" s="125"/>
      <c r="DS64" s="125"/>
      <c r="DT64" s="125"/>
      <c r="DU64" s="125"/>
      <c r="DV64" s="125"/>
      <c r="DW64" s="125"/>
      <c r="DX64" s="125"/>
      <c r="DY64" s="125"/>
      <c r="DZ64" s="125"/>
      <c r="EA64" s="125"/>
      <c r="EB64" s="125"/>
      <c r="EC64" s="125"/>
      <c r="ED64" s="125"/>
      <c r="EE64" s="125"/>
      <c r="EF64" s="125"/>
      <c r="EG64" s="125"/>
      <c r="EH64" s="125"/>
      <c r="EI64" s="125"/>
      <c r="EJ64" s="125"/>
      <c r="EK64" s="125"/>
      <c r="EL64" s="125"/>
      <c r="EM64" s="125"/>
      <c r="EN64" s="125"/>
      <c r="EO64" s="125"/>
      <c r="EP64" s="125"/>
      <c r="EQ64" s="125"/>
      <c r="ER64" s="125"/>
      <c r="ES64" s="125"/>
      <c r="ET64" s="125"/>
      <c r="EU64" s="125"/>
      <c r="EV64" s="125"/>
      <c r="EW64" s="125"/>
      <c r="EX64" s="125"/>
      <c r="EY64" s="125"/>
      <c r="EZ64" s="125"/>
      <c r="FA64" s="125"/>
      <c r="FB64" s="125"/>
      <c r="FC64" s="125"/>
      <c r="FD64" s="125"/>
      <c r="FE64" s="125"/>
      <c r="FF64" s="125"/>
      <c r="FG64" s="125"/>
      <c r="FH64" s="125"/>
      <c r="FI64" s="125"/>
      <c r="FJ64" s="125"/>
      <c r="FK64" s="125"/>
      <c r="FL64" s="125"/>
      <c r="FM64" s="125"/>
      <c r="FN64" s="125"/>
      <c r="FO64" s="125"/>
      <c r="FP64" s="125"/>
      <c r="FQ64" s="125"/>
      <c r="FR64" s="125"/>
      <c r="FS64" s="125"/>
      <c r="FT64" s="125"/>
      <c r="FU64" s="125"/>
      <c r="FV64" s="125"/>
      <c r="FW64" s="125"/>
      <c r="FX64" s="125"/>
      <c r="FY64" s="125"/>
      <c r="FZ64" s="125"/>
      <c r="GA64" s="125"/>
      <c r="GB64" s="125"/>
      <c r="GC64" s="125"/>
      <c r="GD64" s="125"/>
      <c r="GE64" s="125"/>
      <c r="GF64" s="125"/>
      <c r="GG64" s="125"/>
      <c r="GH64" s="125"/>
      <c r="GI64" s="125"/>
      <c r="GJ64" s="125"/>
      <c r="GK64" s="125"/>
      <c r="GL64" s="125"/>
      <c r="GM64" s="125"/>
      <c r="GN64" s="125"/>
      <c r="GO64" s="125"/>
      <c r="GP64" s="125"/>
      <c r="GQ64" s="125"/>
      <c r="GR64" s="125"/>
      <c r="GS64" s="125"/>
      <c r="GT64" s="125"/>
      <c r="GU64" s="125"/>
      <c r="GV64" s="125"/>
      <c r="GW64" s="125"/>
      <c r="GX64" s="125"/>
      <c r="GY64" s="125"/>
      <c r="GZ64" s="125"/>
      <c r="HA64" s="125"/>
      <c r="HB64" s="125"/>
      <c r="HC64" s="125"/>
      <c r="HD64" s="125"/>
      <c r="HE64" s="125"/>
      <c r="HF64" s="125"/>
      <c r="HG64" s="125"/>
      <c r="HH64" s="125"/>
      <c r="HI64" s="125"/>
      <c r="HJ64" s="125"/>
      <c r="HK64" s="125"/>
      <c r="HL64" s="125"/>
      <c r="HM64" s="125"/>
      <c r="HN64" s="125"/>
      <c r="HO64" s="125"/>
      <c r="HP64" s="125"/>
      <c r="HQ64" s="125"/>
      <c r="HR64" s="125"/>
      <c r="HS64" s="125"/>
      <c r="HT64" s="125"/>
      <c r="HU64" s="125"/>
      <c r="HV64" s="125"/>
      <c r="HW64" s="125"/>
      <c r="HX64" s="125"/>
      <c r="HY64" s="125"/>
      <c r="HZ64" s="125"/>
      <c r="IA64" s="125"/>
      <c r="IB64" s="125"/>
      <c r="IC64" s="125"/>
      <c r="ID64" s="125"/>
      <c r="IE64" s="125"/>
      <c r="IF64" s="125"/>
      <c r="IG64" s="125"/>
      <c r="IH64" s="125"/>
      <c r="II64" s="125"/>
      <c r="IJ64" s="125"/>
      <c r="IK64" s="125"/>
      <c r="IL64" s="125"/>
      <c r="IM64" s="125"/>
      <c r="IN64" s="125"/>
      <c r="IO64" s="125"/>
      <c r="IP64" s="125"/>
      <c r="IQ64" s="125"/>
      <c r="IR64" s="125"/>
      <c r="IS64" s="125"/>
      <c r="IT64" s="125"/>
      <c r="IU64" s="125"/>
      <c r="IV64" s="125"/>
      <c r="IW64" s="125"/>
      <c r="IX64" s="125"/>
      <c r="IY64" s="125"/>
      <c r="IZ64" s="125"/>
      <c r="JA64" s="125"/>
      <c r="JB64" s="125"/>
      <c r="JC64" s="125"/>
      <c r="JD64" s="125"/>
      <c r="JE64" s="125"/>
      <c r="JF64" s="125"/>
      <c r="JG64" s="125"/>
      <c r="JH64" s="125"/>
      <c r="JI64" s="125"/>
      <c r="JJ64" s="125"/>
      <c r="JK64" s="125"/>
      <c r="JL64" s="125"/>
      <c r="JM64" s="125"/>
      <c r="JN64" s="125"/>
      <c r="JO64" s="125"/>
      <c r="JP64" s="125"/>
      <c r="JQ64" s="125"/>
      <c r="JR64" s="125"/>
      <c r="JS64" s="125"/>
      <c r="JT64" s="125"/>
      <c r="JU64" s="125"/>
      <c r="JV64" s="125"/>
      <c r="JW64" s="125"/>
      <c r="JX64" s="125"/>
      <c r="JY64" s="125"/>
      <c r="JZ64" s="125"/>
      <c r="KA64" s="125"/>
      <c r="KB64" s="125">
        <v>3</v>
      </c>
      <c r="KC64" s="125"/>
      <c r="KD64" s="125"/>
      <c r="KE64" s="125"/>
      <c r="KF64" s="125"/>
      <c r="KG64" s="125"/>
      <c r="KH64" s="125"/>
      <c r="KI64" s="125"/>
      <c r="KJ64" s="125"/>
      <c r="KK64" s="125"/>
      <c r="KL64" s="125"/>
      <c r="KM64" s="125"/>
      <c r="KN64" s="125"/>
      <c r="KO64" s="125"/>
      <c r="KP64" s="125"/>
      <c r="KQ64" s="125"/>
      <c r="KR64" s="125"/>
      <c r="KS64" s="125"/>
      <c r="KT64" s="125"/>
      <c r="KU64" s="125"/>
      <c r="KV64" s="125"/>
      <c r="KW64" s="125"/>
      <c r="KX64" s="125"/>
      <c r="KY64" s="125"/>
      <c r="KZ64" s="125"/>
      <c r="LA64" s="125"/>
      <c r="LB64" s="125"/>
      <c r="LC64" s="125"/>
      <c r="LD64" s="125"/>
      <c r="LE64" s="125"/>
      <c r="LF64" s="125"/>
      <c r="LG64" s="125"/>
      <c r="LH64" s="125"/>
      <c r="LI64" s="125"/>
      <c r="LJ64" s="125"/>
      <c r="LK64" s="125"/>
      <c r="LL64" s="125"/>
      <c r="LM64" s="125"/>
      <c r="LN64" s="125"/>
      <c r="LO64" s="125"/>
      <c r="LP64" s="125"/>
      <c r="LQ64" s="125"/>
      <c r="LR64" s="125"/>
      <c r="LS64" s="125"/>
      <c r="LT64" s="125"/>
      <c r="LU64" s="125"/>
      <c r="LV64" s="125"/>
      <c r="LW64" s="125"/>
      <c r="LX64" s="125"/>
      <c r="LY64" s="125"/>
      <c r="LZ64" s="125"/>
      <c r="MA64" s="125"/>
      <c r="MB64" s="125"/>
      <c r="MC64" s="125"/>
      <c r="MD64" s="125"/>
      <c r="ME64" s="125"/>
      <c r="MF64" s="125"/>
      <c r="MG64" s="125"/>
      <c r="MH64" s="125"/>
      <c r="MI64" s="125"/>
      <c r="MJ64" s="125"/>
      <c r="MK64" s="125"/>
      <c r="ML64" s="125"/>
      <c r="MM64" s="125"/>
      <c r="MN64" s="125"/>
      <c r="MO64" s="125"/>
      <c r="MP64" s="125"/>
      <c r="MQ64" s="125"/>
      <c r="MR64" s="125"/>
      <c r="MS64" s="125"/>
      <c r="MT64" s="125"/>
      <c r="MU64" s="125"/>
      <c r="MV64" s="125"/>
      <c r="MW64" s="125"/>
      <c r="MX64" s="125"/>
      <c r="MY64" s="125"/>
      <c r="MZ64" s="125"/>
      <c r="NA64" s="125"/>
      <c r="NB64" s="125"/>
      <c r="NC64" s="125"/>
      <c r="ND64" s="125"/>
      <c r="NE64" s="125"/>
      <c r="NF64" s="125"/>
      <c r="NG64" s="125"/>
      <c r="NH64" s="125"/>
      <c r="NI64" s="125"/>
      <c r="NJ64" s="125"/>
      <c r="NK64" s="125"/>
      <c r="NL64" s="125"/>
      <c r="NM64" s="125"/>
      <c r="NN64" s="125"/>
      <c r="NO64" s="125"/>
      <c r="NP64" s="125"/>
      <c r="NQ64" s="125"/>
      <c r="NR64" s="125"/>
      <c r="NS64" s="125"/>
      <c r="NT64" s="125"/>
      <c r="NU64" s="125"/>
      <c r="NV64" s="125"/>
      <c r="NW64" s="125"/>
      <c r="NX64" s="125"/>
      <c r="NY64" s="125"/>
      <c r="NZ64" s="125"/>
      <c r="OA64" s="125"/>
      <c r="OB64" s="125"/>
      <c r="OC64" s="125"/>
      <c r="OD64" s="125"/>
      <c r="OE64" s="125"/>
      <c r="OF64" s="125"/>
      <c r="OG64" s="125"/>
      <c r="OH64" s="125"/>
      <c r="OI64" s="125"/>
      <c r="OJ64" s="125"/>
      <c r="OK64" s="125"/>
      <c r="OL64" s="125"/>
      <c r="OM64" s="125"/>
      <c r="ON64" s="125"/>
      <c r="OO64" s="125"/>
      <c r="OP64" s="125"/>
      <c r="OQ64" s="125"/>
      <c r="OR64" s="125"/>
      <c r="OS64" s="125"/>
      <c r="OT64" s="125"/>
      <c r="OU64" s="125"/>
      <c r="OV64" s="125"/>
      <c r="OW64" s="125"/>
      <c r="OX64" s="125"/>
      <c r="OY64" s="125"/>
      <c r="OZ64" s="125"/>
      <c r="PA64" s="125"/>
      <c r="PB64" s="125"/>
      <c r="PC64" s="125"/>
      <c r="PD64" s="125"/>
      <c r="PE64" s="125"/>
      <c r="PF64" s="125"/>
      <c r="PG64" s="125"/>
      <c r="PH64" s="125"/>
      <c r="PI64" s="125"/>
      <c r="PJ64" s="125"/>
      <c r="PK64" s="125"/>
      <c r="PL64" s="125"/>
      <c r="PM64" s="125"/>
      <c r="PN64" s="125"/>
      <c r="PO64" s="125"/>
      <c r="PP64" s="125"/>
      <c r="PQ64" s="125"/>
      <c r="PR64" s="125"/>
      <c r="PS64" s="125"/>
      <c r="PT64" s="125"/>
      <c r="PU64" s="125"/>
      <c r="PV64" s="125"/>
      <c r="PW64" s="125"/>
      <c r="PX64" s="125"/>
      <c r="PY64" s="125"/>
      <c r="PZ64" s="125"/>
      <c r="QA64" s="125"/>
      <c r="QB64" s="125"/>
      <c r="QC64" s="125"/>
      <c r="QD64" s="125"/>
      <c r="QE64" s="125"/>
      <c r="QF64" s="125"/>
      <c r="QG64" s="125"/>
      <c r="QH64" s="125"/>
      <c r="QI64" s="125"/>
      <c r="QJ64" s="125"/>
      <c r="QK64" s="125"/>
      <c r="QL64" s="125"/>
      <c r="QM64" s="125"/>
      <c r="QN64" s="125"/>
      <c r="QO64" s="125"/>
      <c r="QP64" s="125"/>
      <c r="QQ64" s="125"/>
      <c r="QR64" s="125"/>
      <c r="QS64" s="125"/>
      <c r="QT64" s="125"/>
      <c r="QU64" s="125"/>
      <c r="QV64" s="125"/>
      <c r="QW64" s="125"/>
      <c r="QX64" s="125"/>
      <c r="QY64" s="125"/>
      <c r="QZ64" s="125"/>
      <c r="RA64" s="125"/>
      <c r="RB64" s="125"/>
      <c r="RC64" s="125"/>
      <c r="RD64" s="125"/>
      <c r="RE64" s="125"/>
      <c r="RF64" s="125"/>
      <c r="RG64" s="24">
        <f t="shared" si="3"/>
        <v>3</v>
      </c>
      <c r="RH64" s="60" t="s">
        <v>36</v>
      </c>
      <c r="RI64" s="121">
        <v>263.02</v>
      </c>
      <c r="RJ64" s="77">
        <f t="shared" si="6"/>
        <v>0</v>
      </c>
      <c r="RK64" s="77">
        <v>162.30000000000001</v>
      </c>
      <c r="RL64" s="121">
        <f t="shared" si="4"/>
        <v>263.02</v>
      </c>
      <c r="RM64" s="145"/>
      <c r="RN64" s="145"/>
      <c r="RO64" s="145"/>
      <c r="RP64" s="104">
        <f t="shared" si="5"/>
        <v>1.6205791743684532</v>
      </c>
      <c r="RQ64" s="172" t="s">
        <v>612</v>
      </c>
    </row>
    <row r="65" spans="1:485" s="5" customFormat="1" ht="12.75" customHeight="1" x14ac:dyDescent="0.25">
      <c r="A65" s="61">
        <v>44980</v>
      </c>
      <c r="B65" s="112" t="s">
        <v>55</v>
      </c>
      <c r="C65" s="123"/>
      <c r="D65" s="123"/>
      <c r="E65" s="124"/>
      <c r="F65" s="124"/>
      <c r="G65" s="124"/>
      <c r="H65" s="124"/>
      <c r="I65" s="124"/>
      <c r="J65" s="124"/>
      <c r="K65" s="124"/>
      <c r="L65" s="124"/>
      <c r="M65" s="124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  <c r="CY65" s="125"/>
      <c r="CZ65" s="125"/>
      <c r="DA65" s="125"/>
      <c r="DB65" s="125"/>
      <c r="DC65" s="125"/>
      <c r="DD65" s="125"/>
      <c r="DE65" s="125"/>
      <c r="DF65" s="125"/>
      <c r="DG65" s="125"/>
      <c r="DH65" s="125"/>
      <c r="DI65" s="125"/>
      <c r="DJ65" s="125"/>
      <c r="DK65" s="125"/>
      <c r="DL65" s="125"/>
      <c r="DM65" s="125"/>
      <c r="DN65" s="125"/>
      <c r="DO65" s="125"/>
      <c r="DP65" s="125"/>
      <c r="DQ65" s="125"/>
      <c r="DR65" s="125"/>
      <c r="DS65" s="125"/>
      <c r="DT65" s="125"/>
      <c r="DU65" s="125"/>
      <c r="DV65" s="125"/>
      <c r="DW65" s="125"/>
      <c r="DX65" s="125"/>
      <c r="DY65" s="125"/>
      <c r="DZ65" s="125"/>
      <c r="EA65" s="125"/>
      <c r="EB65" s="125"/>
      <c r="EC65" s="125"/>
      <c r="ED65" s="125"/>
      <c r="EE65" s="125"/>
      <c r="EF65" s="125"/>
      <c r="EG65" s="125"/>
      <c r="EH65" s="125"/>
      <c r="EI65" s="125"/>
      <c r="EJ65" s="125"/>
      <c r="EK65" s="125"/>
      <c r="EL65" s="125"/>
      <c r="EM65" s="125"/>
      <c r="EN65" s="125"/>
      <c r="EO65" s="125"/>
      <c r="EP65" s="125"/>
      <c r="EQ65" s="125"/>
      <c r="ER65" s="125"/>
      <c r="ES65" s="125"/>
      <c r="ET65" s="125"/>
      <c r="EU65" s="125"/>
      <c r="EV65" s="125"/>
      <c r="EW65" s="125"/>
      <c r="EX65" s="125"/>
      <c r="EY65" s="125"/>
      <c r="EZ65" s="125"/>
      <c r="FA65" s="125"/>
      <c r="FB65" s="125"/>
      <c r="FC65" s="125"/>
      <c r="FD65" s="125"/>
      <c r="FE65" s="125"/>
      <c r="FF65" s="125"/>
      <c r="FG65" s="125"/>
      <c r="FH65" s="125"/>
      <c r="FI65" s="125"/>
      <c r="FJ65" s="125"/>
      <c r="FK65" s="125"/>
      <c r="FL65" s="125"/>
      <c r="FM65" s="125"/>
      <c r="FN65" s="125"/>
      <c r="FO65" s="125"/>
      <c r="FP65" s="125"/>
      <c r="FQ65" s="125"/>
      <c r="FR65" s="125"/>
      <c r="FS65" s="125"/>
      <c r="FT65" s="125"/>
      <c r="FU65" s="125"/>
      <c r="FV65" s="125"/>
      <c r="FW65" s="125"/>
      <c r="FX65" s="125"/>
      <c r="FY65" s="125"/>
      <c r="FZ65" s="125"/>
      <c r="GA65" s="125"/>
      <c r="GB65" s="125"/>
      <c r="GC65" s="125"/>
      <c r="GD65" s="125"/>
      <c r="GE65" s="125"/>
      <c r="GF65" s="125"/>
      <c r="GG65" s="125"/>
      <c r="GH65" s="125"/>
      <c r="GI65" s="125"/>
      <c r="GJ65" s="125"/>
      <c r="GK65" s="125"/>
      <c r="GL65" s="125"/>
      <c r="GM65" s="125"/>
      <c r="GN65" s="125"/>
      <c r="GO65" s="125"/>
      <c r="GP65" s="125"/>
      <c r="GQ65" s="125"/>
      <c r="GR65" s="125"/>
      <c r="GS65" s="125"/>
      <c r="GT65" s="125"/>
      <c r="GU65" s="125"/>
      <c r="GV65" s="125"/>
      <c r="GW65" s="125"/>
      <c r="GX65" s="125"/>
      <c r="GY65" s="125"/>
      <c r="GZ65" s="125"/>
      <c r="HA65" s="125"/>
      <c r="HB65" s="125"/>
      <c r="HC65" s="125"/>
      <c r="HD65" s="125"/>
      <c r="HE65" s="125"/>
      <c r="HF65" s="125"/>
      <c r="HG65" s="125"/>
      <c r="HH65" s="125"/>
      <c r="HI65" s="125"/>
      <c r="HJ65" s="125"/>
      <c r="HK65" s="125"/>
      <c r="HL65" s="125"/>
      <c r="HM65" s="125"/>
      <c r="HN65" s="125"/>
      <c r="HO65" s="125"/>
      <c r="HP65" s="125"/>
      <c r="HQ65" s="125"/>
      <c r="HR65" s="125"/>
      <c r="HS65" s="125"/>
      <c r="HT65" s="125"/>
      <c r="HU65" s="125"/>
      <c r="HV65" s="125"/>
      <c r="HW65" s="125"/>
      <c r="HX65" s="125"/>
      <c r="HY65" s="125"/>
      <c r="HZ65" s="125"/>
      <c r="IA65" s="125"/>
      <c r="IB65" s="125"/>
      <c r="IC65" s="125"/>
      <c r="ID65" s="125"/>
      <c r="IE65" s="125"/>
      <c r="IF65" s="125"/>
      <c r="IG65" s="125"/>
      <c r="IH65" s="125"/>
      <c r="II65" s="125"/>
      <c r="IJ65" s="125"/>
      <c r="IK65" s="125"/>
      <c r="IL65" s="125"/>
      <c r="IM65" s="125"/>
      <c r="IN65" s="125"/>
      <c r="IO65" s="125"/>
      <c r="IP65" s="125"/>
      <c r="IQ65" s="125"/>
      <c r="IR65" s="125"/>
      <c r="IS65" s="125"/>
      <c r="IT65" s="125"/>
      <c r="IU65" s="125"/>
      <c r="IV65" s="125"/>
      <c r="IW65" s="125"/>
      <c r="IX65" s="125"/>
      <c r="IY65" s="125"/>
      <c r="IZ65" s="125"/>
      <c r="JA65" s="125"/>
      <c r="JB65" s="125"/>
      <c r="JC65" s="125"/>
      <c r="JD65" s="125"/>
      <c r="JE65" s="125"/>
      <c r="JF65" s="125"/>
      <c r="JG65" s="125"/>
      <c r="JH65" s="125"/>
      <c r="JI65" s="125"/>
      <c r="JJ65" s="125"/>
      <c r="JK65" s="125"/>
      <c r="JL65" s="125"/>
      <c r="JM65" s="125"/>
      <c r="JN65" s="125"/>
      <c r="JO65" s="125"/>
      <c r="JP65" s="125"/>
      <c r="JQ65" s="125"/>
      <c r="JR65" s="125"/>
      <c r="JS65" s="125"/>
      <c r="JT65" s="125"/>
      <c r="JU65" s="125"/>
      <c r="JV65" s="125"/>
      <c r="JW65" s="125"/>
      <c r="JX65" s="125"/>
      <c r="JY65" s="125"/>
      <c r="JZ65" s="125"/>
      <c r="KA65" s="125">
        <v>10</v>
      </c>
      <c r="KB65" s="125"/>
      <c r="KC65" s="125"/>
      <c r="KD65" s="125"/>
      <c r="KE65" s="125"/>
      <c r="KF65" s="125"/>
      <c r="KG65" s="125"/>
      <c r="KH65" s="125"/>
      <c r="KI65" s="125"/>
      <c r="KJ65" s="125"/>
      <c r="KK65" s="125"/>
      <c r="KL65" s="125"/>
      <c r="KM65" s="125"/>
      <c r="KN65" s="125"/>
      <c r="KO65" s="125"/>
      <c r="KP65" s="125"/>
      <c r="KQ65" s="125"/>
      <c r="KR65" s="125"/>
      <c r="KS65" s="125"/>
      <c r="KT65" s="125"/>
      <c r="KU65" s="125"/>
      <c r="KV65" s="125"/>
      <c r="KW65" s="125"/>
      <c r="KX65" s="125"/>
      <c r="KY65" s="125"/>
      <c r="KZ65" s="125"/>
      <c r="LA65" s="125"/>
      <c r="LB65" s="125"/>
      <c r="LC65" s="125"/>
      <c r="LD65" s="125"/>
      <c r="LE65" s="125"/>
      <c r="LF65" s="125"/>
      <c r="LG65" s="125"/>
      <c r="LH65" s="125"/>
      <c r="LI65" s="125"/>
      <c r="LJ65" s="125"/>
      <c r="LK65" s="125"/>
      <c r="LL65" s="125"/>
      <c r="LM65" s="125"/>
      <c r="LN65" s="125"/>
      <c r="LO65" s="125"/>
      <c r="LP65" s="125"/>
      <c r="LQ65" s="125"/>
      <c r="LR65" s="125"/>
      <c r="LS65" s="125"/>
      <c r="LT65" s="125"/>
      <c r="LU65" s="125"/>
      <c r="LV65" s="125"/>
      <c r="LW65" s="125"/>
      <c r="LX65" s="125"/>
      <c r="LY65" s="125"/>
      <c r="LZ65" s="125"/>
      <c r="MA65" s="125"/>
      <c r="MB65" s="125"/>
      <c r="MC65" s="125"/>
      <c r="MD65" s="125"/>
      <c r="ME65" s="125"/>
      <c r="MF65" s="125"/>
      <c r="MG65" s="125"/>
      <c r="MH65" s="125"/>
      <c r="MI65" s="125"/>
      <c r="MJ65" s="125"/>
      <c r="MK65" s="125"/>
      <c r="ML65" s="125"/>
      <c r="MM65" s="125"/>
      <c r="MN65" s="125"/>
      <c r="MO65" s="125"/>
      <c r="MP65" s="125"/>
      <c r="MQ65" s="125"/>
      <c r="MR65" s="125"/>
      <c r="MS65" s="125"/>
      <c r="MT65" s="125"/>
      <c r="MU65" s="125"/>
      <c r="MV65" s="125"/>
      <c r="MW65" s="125"/>
      <c r="MX65" s="125"/>
      <c r="MY65" s="125"/>
      <c r="MZ65" s="125"/>
      <c r="NA65" s="125"/>
      <c r="NB65" s="125"/>
      <c r="NC65" s="125"/>
      <c r="ND65" s="125"/>
      <c r="NE65" s="125"/>
      <c r="NF65" s="125"/>
      <c r="NG65" s="125"/>
      <c r="NH65" s="125"/>
      <c r="NI65" s="125"/>
      <c r="NJ65" s="125"/>
      <c r="NK65" s="125"/>
      <c r="NL65" s="125"/>
      <c r="NM65" s="125"/>
      <c r="NN65" s="125"/>
      <c r="NO65" s="125"/>
      <c r="NP65" s="125"/>
      <c r="NQ65" s="125"/>
      <c r="NR65" s="125"/>
      <c r="NS65" s="125"/>
      <c r="NT65" s="125"/>
      <c r="NU65" s="125"/>
      <c r="NV65" s="125"/>
      <c r="NW65" s="125"/>
      <c r="NX65" s="125"/>
      <c r="NY65" s="125"/>
      <c r="NZ65" s="125"/>
      <c r="OA65" s="125"/>
      <c r="OB65" s="125"/>
      <c r="OC65" s="125"/>
      <c r="OD65" s="125"/>
      <c r="OE65" s="125"/>
      <c r="OF65" s="125"/>
      <c r="OG65" s="125"/>
      <c r="OH65" s="125"/>
      <c r="OI65" s="125"/>
      <c r="OJ65" s="125"/>
      <c r="OK65" s="125"/>
      <c r="OL65" s="125"/>
      <c r="OM65" s="125"/>
      <c r="ON65" s="125"/>
      <c r="OO65" s="125"/>
      <c r="OP65" s="125"/>
      <c r="OQ65" s="125"/>
      <c r="OR65" s="125"/>
      <c r="OS65" s="125"/>
      <c r="OT65" s="125"/>
      <c r="OU65" s="125"/>
      <c r="OV65" s="125"/>
      <c r="OW65" s="125"/>
      <c r="OX65" s="125"/>
      <c r="OY65" s="125"/>
      <c r="OZ65" s="125"/>
      <c r="PA65" s="125"/>
      <c r="PB65" s="125"/>
      <c r="PC65" s="125"/>
      <c r="PD65" s="125"/>
      <c r="PE65" s="125"/>
      <c r="PF65" s="125"/>
      <c r="PG65" s="125"/>
      <c r="PH65" s="125"/>
      <c r="PI65" s="125"/>
      <c r="PJ65" s="125"/>
      <c r="PK65" s="125"/>
      <c r="PL65" s="125"/>
      <c r="PM65" s="125"/>
      <c r="PN65" s="125"/>
      <c r="PO65" s="125"/>
      <c r="PP65" s="125"/>
      <c r="PQ65" s="125"/>
      <c r="PR65" s="125"/>
      <c r="PS65" s="125"/>
      <c r="PT65" s="125"/>
      <c r="PU65" s="125"/>
      <c r="PV65" s="125"/>
      <c r="PW65" s="125"/>
      <c r="PX65" s="125"/>
      <c r="PY65" s="125"/>
      <c r="PZ65" s="125"/>
      <c r="QA65" s="125"/>
      <c r="QB65" s="125"/>
      <c r="QC65" s="125"/>
      <c r="QD65" s="125"/>
      <c r="QE65" s="125"/>
      <c r="QF65" s="125"/>
      <c r="QG65" s="125"/>
      <c r="QH65" s="125"/>
      <c r="QI65" s="125"/>
      <c r="QJ65" s="125"/>
      <c r="QK65" s="125"/>
      <c r="QL65" s="125"/>
      <c r="QM65" s="125"/>
      <c r="QN65" s="125"/>
      <c r="QO65" s="125"/>
      <c r="QP65" s="125"/>
      <c r="QQ65" s="125"/>
      <c r="QR65" s="125"/>
      <c r="QS65" s="125"/>
      <c r="QT65" s="125"/>
      <c r="QU65" s="125"/>
      <c r="QV65" s="125"/>
      <c r="QW65" s="125"/>
      <c r="QX65" s="125"/>
      <c r="QY65" s="125"/>
      <c r="QZ65" s="125"/>
      <c r="RA65" s="125"/>
      <c r="RB65" s="125"/>
      <c r="RC65" s="125"/>
      <c r="RD65" s="125"/>
      <c r="RE65" s="125"/>
      <c r="RF65" s="125"/>
      <c r="RG65" s="24">
        <f t="shared" si="3"/>
        <v>10</v>
      </c>
      <c r="RH65" s="60" t="s">
        <v>36</v>
      </c>
      <c r="RI65" s="121">
        <v>681.6</v>
      </c>
      <c r="RJ65" s="77">
        <f t="shared" si="6"/>
        <v>0</v>
      </c>
      <c r="RK65" s="77">
        <v>356</v>
      </c>
      <c r="RL65" s="121">
        <f t="shared" si="4"/>
        <v>681.6</v>
      </c>
      <c r="RM65" s="145"/>
      <c r="RN65" s="145"/>
      <c r="RO65" s="145"/>
      <c r="RP65" s="104">
        <f t="shared" si="5"/>
        <v>1.9146067415730337</v>
      </c>
      <c r="RQ65" s="172" t="s">
        <v>610</v>
      </c>
    </row>
    <row r="66" spans="1:485" s="5" customFormat="1" ht="12.75" customHeight="1" x14ac:dyDescent="0.25">
      <c r="A66" s="61">
        <v>44980</v>
      </c>
      <c r="B66" s="112" t="s">
        <v>55</v>
      </c>
      <c r="C66" s="123"/>
      <c r="D66" s="123"/>
      <c r="E66" s="124"/>
      <c r="F66" s="124"/>
      <c r="G66" s="124"/>
      <c r="H66" s="124"/>
      <c r="I66" s="124"/>
      <c r="J66" s="124"/>
      <c r="K66" s="124"/>
      <c r="L66" s="124"/>
      <c r="M66" s="124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  <c r="AZ66" s="125"/>
      <c r="BA66" s="125"/>
      <c r="BB66" s="125"/>
      <c r="BC66" s="125"/>
      <c r="BD66" s="125"/>
      <c r="BE66" s="125"/>
      <c r="BF66" s="125"/>
      <c r="BG66" s="125"/>
      <c r="BH66" s="125"/>
      <c r="BI66" s="125"/>
      <c r="BJ66" s="125"/>
      <c r="BK66" s="125"/>
      <c r="BL66" s="125"/>
      <c r="BM66" s="125"/>
      <c r="BN66" s="125"/>
      <c r="BO66" s="125"/>
      <c r="BP66" s="125"/>
      <c r="BQ66" s="125"/>
      <c r="BR66" s="125"/>
      <c r="BS66" s="125"/>
      <c r="BT66" s="125"/>
      <c r="BU66" s="125"/>
      <c r="BV66" s="125"/>
      <c r="BW66" s="125"/>
      <c r="BX66" s="125"/>
      <c r="BY66" s="125"/>
      <c r="BZ66" s="125"/>
      <c r="CA66" s="125"/>
      <c r="CB66" s="125"/>
      <c r="CC66" s="125"/>
      <c r="CD66" s="125"/>
      <c r="CE66" s="125"/>
      <c r="CF66" s="125"/>
      <c r="CG66" s="125"/>
      <c r="CH66" s="125"/>
      <c r="CI66" s="125"/>
      <c r="CJ66" s="125"/>
      <c r="CK66" s="125"/>
      <c r="CL66" s="125"/>
      <c r="CM66" s="125"/>
      <c r="CN66" s="125"/>
      <c r="CO66" s="125"/>
      <c r="CP66" s="125"/>
      <c r="CQ66" s="125"/>
      <c r="CR66" s="125"/>
      <c r="CS66" s="125"/>
      <c r="CT66" s="125"/>
      <c r="CU66" s="125"/>
      <c r="CV66" s="125"/>
      <c r="CW66" s="125"/>
      <c r="CX66" s="125"/>
      <c r="CY66" s="125"/>
      <c r="CZ66" s="125"/>
      <c r="DA66" s="125"/>
      <c r="DB66" s="125"/>
      <c r="DC66" s="125"/>
      <c r="DD66" s="125"/>
      <c r="DE66" s="125"/>
      <c r="DF66" s="125"/>
      <c r="DG66" s="125"/>
      <c r="DH66" s="125"/>
      <c r="DI66" s="125"/>
      <c r="DJ66" s="125"/>
      <c r="DK66" s="125"/>
      <c r="DL66" s="125"/>
      <c r="DM66" s="125"/>
      <c r="DN66" s="125"/>
      <c r="DO66" s="125"/>
      <c r="DP66" s="125"/>
      <c r="DQ66" s="125"/>
      <c r="DR66" s="125"/>
      <c r="DS66" s="125"/>
      <c r="DT66" s="125"/>
      <c r="DU66" s="125"/>
      <c r="DV66" s="125"/>
      <c r="DW66" s="125"/>
      <c r="DX66" s="125"/>
      <c r="DY66" s="125"/>
      <c r="DZ66" s="125"/>
      <c r="EA66" s="125"/>
      <c r="EB66" s="125"/>
      <c r="EC66" s="125"/>
      <c r="ED66" s="125"/>
      <c r="EE66" s="125"/>
      <c r="EF66" s="125"/>
      <c r="EG66" s="125"/>
      <c r="EH66" s="125"/>
      <c r="EI66" s="125"/>
      <c r="EJ66" s="125"/>
      <c r="EK66" s="125"/>
      <c r="EL66" s="125"/>
      <c r="EM66" s="125"/>
      <c r="EN66" s="125"/>
      <c r="EO66" s="125"/>
      <c r="EP66" s="125"/>
      <c r="EQ66" s="125"/>
      <c r="ER66" s="125"/>
      <c r="ES66" s="125"/>
      <c r="ET66" s="125"/>
      <c r="EU66" s="125"/>
      <c r="EV66" s="125"/>
      <c r="EW66" s="125"/>
      <c r="EX66" s="125"/>
      <c r="EY66" s="125"/>
      <c r="EZ66" s="125"/>
      <c r="FA66" s="125"/>
      <c r="FB66" s="125"/>
      <c r="FC66" s="125"/>
      <c r="FD66" s="125"/>
      <c r="FE66" s="125"/>
      <c r="FF66" s="125"/>
      <c r="FG66" s="125"/>
      <c r="FH66" s="125"/>
      <c r="FI66" s="125"/>
      <c r="FJ66" s="125"/>
      <c r="FK66" s="125"/>
      <c r="FL66" s="125"/>
      <c r="FM66" s="125"/>
      <c r="FN66" s="125"/>
      <c r="FO66" s="125"/>
      <c r="FP66" s="125"/>
      <c r="FQ66" s="125"/>
      <c r="FR66" s="125"/>
      <c r="FS66" s="125"/>
      <c r="FT66" s="125"/>
      <c r="FU66" s="125"/>
      <c r="FV66" s="125"/>
      <c r="FW66" s="125">
        <v>30</v>
      </c>
      <c r="FX66" s="125"/>
      <c r="FY66" s="125"/>
      <c r="FZ66" s="125"/>
      <c r="GA66" s="125"/>
      <c r="GB66" s="125"/>
      <c r="GC66" s="125"/>
      <c r="GD66" s="125"/>
      <c r="GE66" s="125"/>
      <c r="GF66" s="125"/>
      <c r="GG66" s="125"/>
      <c r="GH66" s="125"/>
      <c r="GI66" s="125"/>
      <c r="GJ66" s="125"/>
      <c r="GK66" s="125"/>
      <c r="GL66" s="125"/>
      <c r="GM66" s="125"/>
      <c r="GN66" s="125"/>
      <c r="GO66" s="125"/>
      <c r="GP66" s="125"/>
      <c r="GQ66" s="125"/>
      <c r="GR66" s="125"/>
      <c r="GS66" s="125"/>
      <c r="GT66" s="125"/>
      <c r="GU66" s="125"/>
      <c r="GV66" s="125"/>
      <c r="GW66" s="125"/>
      <c r="GX66" s="125"/>
      <c r="GY66" s="125"/>
      <c r="GZ66" s="125"/>
      <c r="HA66" s="125"/>
      <c r="HB66" s="125"/>
      <c r="HC66" s="125"/>
      <c r="HD66" s="125"/>
      <c r="HE66" s="125"/>
      <c r="HF66" s="125"/>
      <c r="HG66" s="125"/>
      <c r="HH66" s="125"/>
      <c r="HI66" s="125"/>
      <c r="HJ66" s="125"/>
      <c r="HK66" s="125"/>
      <c r="HL66" s="125"/>
      <c r="HM66" s="125"/>
      <c r="HN66" s="125"/>
      <c r="HO66" s="125"/>
      <c r="HP66" s="125"/>
      <c r="HQ66" s="125"/>
      <c r="HR66" s="125"/>
      <c r="HS66" s="125"/>
      <c r="HT66" s="125"/>
      <c r="HU66" s="125"/>
      <c r="HV66" s="125"/>
      <c r="HW66" s="125"/>
      <c r="HX66" s="125"/>
      <c r="HY66" s="125"/>
      <c r="HZ66" s="125"/>
      <c r="IA66" s="125"/>
      <c r="IB66" s="125"/>
      <c r="IC66" s="125"/>
      <c r="ID66" s="125"/>
      <c r="IE66" s="125"/>
      <c r="IF66" s="125"/>
      <c r="IG66" s="125"/>
      <c r="IH66" s="125"/>
      <c r="II66" s="125"/>
      <c r="IJ66" s="125"/>
      <c r="IK66" s="125"/>
      <c r="IL66" s="125"/>
      <c r="IM66" s="125"/>
      <c r="IN66" s="125"/>
      <c r="IO66" s="125"/>
      <c r="IP66" s="125"/>
      <c r="IQ66" s="125"/>
      <c r="IR66" s="125"/>
      <c r="IS66" s="125"/>
      <c r="IT66" s="125"/>
      <c r="IU66" s="125"/>
      <c r="IV66" s="125"/>
      <c r="IW66" s="125"/>
      <c r="IX66" s="125"/>
      <c r="IY66" s="125"/>
      <c r="IZ66" s="125"/>
      <c r="JA66" s="125"/>
      <c r="JB66" s="125"/>
      <c r="JC66" s="125"/>
      <c r="JD66" s="125"/>
      <c r="JE66" s="125"/>
      <c r="JF66" s="125"/>
      <c r="JG66" s="125"/>
      <c r="JH66" s="125"/>
      <c r="JI66" s="125"/>
      <c r="JJ66" s="125"/>
      <c r="JK66" s="125"/>
      <c r="JL66" s="125"/>
      <c r="JM66" s="125"/>
      <c r="JN66" s="125"/>
      <c r="JO66" s="125"/>
      <c r="JP66" s="125"/>
      <c r="JQ66" s="125"/>
      <c r="JR66" s="125"/>
      <c r="JS66" s="125"/>
      <c r="JT66" s="125"/>
      <c r="JU66" s="125"/>
      <c r="JV66" s="125"/>
      <c r="JW66" s="125"/>
      <c r="JX66" s="125"/>
      <c r="JY66" s="125"/>
      <c r="JZ66" s="125"/>
      <c r="KA66" s="125"/>
      <c r="KB66" s="125"/>
      <c r="KC66" s="125"/>
      <c r="KD66" s="125"/>
      <c r="KE66" s="125"/>
      <c r="KF66" s="125"/>
      <c r="KG66" s="125"/>
      <c r="KH66" s="125"/>
      <c r="KI66" s="125"/>
      <c r="KJ66" s="125"/>
      <c r="KK66" s="125"/>
      <c r="KL66" s="125"/>
      <c r="KM66" s="125"/>
      <c r="KN66" s="125"/>
      <c r="KO66" s="125"/>
      <c r="KP66" s="125"/>
      <c r="KQ66" s="125"/>
      <c r="KR66" s="125"/>
      <c r="KS66" s="125"/>
      <c r="KT66" s="125"/>
      <c r="KU66" s="125"/>
      <c r="KV66" s="125"/>
      <c r="KW66" s="125"/>
      <c r="KX66" s="125"/>
      <c r="KY66" s="125"/>
      <c r="KZ66" s="125"/>
      <c r="LA66" s="125"/>
      <c r="LB66" s="125"/>
      <c r="LC66" s="125"/>
      <c r="LD66" s="125"/>
      <c r="LE66" s="125"/>
      <c r="LF66" s="125"/>
      <c r="LG66" s="125"/>
      <c r="LH66" s="125"/>
      <c r="LI66" s="125"/>
      <c r="LJ66" s="125"/>
      <c r="LK66" s="125"/>
      <c r="LL66" s="125"/>
      <c r="LM66" s="125"/>
      <c r="LN66" s="125"/>
      <c r="LO66" s="125"/>
      <c r="LP66" s="125"/>
      <c r="LQ66" s="125"/>
      <c r="LR66" s="125"/>
      <c r="LS66" s="125"/>
      <c r="LT66" s="125"/>
      <c r="LU66" s="125"/>
      <c r="LV66" s="125"/>
      <c r="LW66" s="125"/>
      <c r="LX66" s="125"/>
      <c r="LY66" s="125"/>
      <c r="LZ66" s="125"/>
      <c r="MA66" s="125"/>
      <c r="MB66" s="125"/>
      <c r="MC66" s="125"/>
      <c r="MD66" s="125"/>
      <c r="ME66" s="125"/>
      <c r="MF66" s="125"/>
      <c r="MG66" s="125"/>
      <c r="MH66" s="125"/>
      <c r="MI66" s="125"/>
      <c r="MJ66" s="125"/>
      <c r="MK66" s="125"/>
      <c r="ML66" s="125"/>
      <c r="MM66" s="125"/>
      <c r="MN66" s="125"/>
      <c r="MO66" s="125"/>
      <c r="MP66" s="125"/>
      <c r="MQ66" s="125"/>
      <c r="MR66" s="125"/>
      <c r="MS66" s="125"/>
      <c r="MT66" s="125"/>
      <c r="MU66" s="125"/>
      <c r="MV66" s="125"/>
      <c r="MW66" s="125"/>
      <c r="MX66" s="125"/>
      <c r="MY66" s="125"/>
      <c r="MZ66" s="125"/>
      <c r="NA66" s="125"/>
      <c r="NB66" s="125"/>
      <c r="NC66" s="125"/>
      <c r="ND66" s="125"/>
      <c r="NE66" s="125"/>
      <c r="NF66" s="125"/>
      <c r="NG66" s="125"/>
      <c r="NH66" s="125"/>
      <c r="NI66" s="125"/>
      <c r="NJ66" s="125"/>
      <c r="NK66" s="125"/>
      <c r="NL66" s="125"/>
      <c r="NM66" s="125"/>
      <c r="NN66" s="125"/>
      <c r="NO66" s="125"/>
      <c r="NP66" s="125"/>
      <c r="NQ66" s="125"/>
      <c r="NR66" s="125"/>
      <c r="NS66" s="125"/>
      <c r="NT66" s="125"/>
      <c r="NU66" s="125"/>
      <c r="NV66" s="125"/>
      <c r="NW66" s="125"/>
      <c r="NX66" s="125"/>
      <c r="NY66" s="125"/>
      <c r="NZ66" s="125"/>
      <c r="OA66" s="125"/>
      <c r="OB66" s="125"/>
      <c r="OC66" s="125"/>
      <c r="OD66" s="125"/>
      <c r="OE66" s="125"/>
      <c r="OF66" s="125"/>
      <c r="OG66" s="125"/>
      <c r="OH66" s="125"/>
      <c r="OI66" s="125"/>
      <c r="OJ66" s="125"/>
      <c r="OK66" s="125"/>
      <c r="OL66" s="125"/>
      <c r="OM66" s="125"/>
      <c r="ON66" s="125"/>
      <c r="OO66" s="125"/>
      <c r="OP66" s="125"/>
      <c r="OQ66" s="125"/>
      <c r="OR66" s="125"/>
      <c r="OS66" s="125"/>
      <c r="OT66" s="125"/>
      <c r="OU66" s="125"/>
      <c r="OV66" s="125"/>
      <c r="OW66" s="125"/>
      <c r="OX66" s="125"/>
      <c r="OY66" s="125"/>
      <c r="OZ66" s="125"/>
      <c r="PA66" s="125"/>
      <c r="PB66" s="125"/>
      <c r="PC66" s="125"/>
      <c r="PD66" s="125"/>
      <c r="PE66" s="125"/>
      <c r="PF66" s="125"/>
      <c r="PG66" s="125"/>
      <c r="PH66" s="125"/>
      <c r="PI66" s="125"/>
      <c r="PJ66" s="125"/>
      <c r="PK66" s="125"/>
      <c r="PL66" s="125"/>
      <c r="PM66" s="125"/>
      <c r="PN66" s="125"/>
      <c r="PO66" s="125"/>
      <c r="PP66" s="125"/>
      <c r="PQ66" s="125"/>
      <c r="PR66" s="125"/>
      <c r="PS66" s="125"/>
      <c r="PT66" s="125"/>
      <c r="PU66" s="125"/>
      <c r="PV66" s="125"/>
      <c r="PW66" s="125"/>
      <c r="PX66" s="125"/>
      <c r="PY66" s="125"/>
      <c r="PZ66" s="125"/>
      <c r="QA66" s="125"/>
      <c r="QB66" s="125"/>
      <c r="QC66" s="125"/>
      <c r="QD66" s="125"/>
      <c r="QE66" s="125"/>
      <c r="QF66" s="125"/>
      <c r="QG66" s="125"/>
      <c r="QH66" s="125"/>
      <c r="QI66" s="125"/>
      <c r="QJ66" s="125"/>
      <c r="QK66" s="125"/>
      <c r="QL66" s="125"/>
      <c r="QM66" s="125"/>
      <c r="QN66" s="125"/>
      <c r="QO66" s="125"/>
      <c r="QP66" s="125"/>
      <c r="QQ66" s="125"/>
      <c r="QR66" s="125"/>
      <c r="QS66" s="125"/>
      <c r="QT66" s="125"/>
      <c r="QU66" s="125"/>
      <c r="QV66" s="125"/>
      <c r="QW66" s="125"/>
      <c r="QX66" s="125"/>
      <c r="QY66" s="125"/>
      <c r="QZ66" s="125"/>
      <c r="RA66" s="125"/>
      <c r="RB66" s="125"/>
      <c r="RC66" s="125"/>
      <c r="RD66" s="125"/>
      <c r="RE66" s="125"/>
      <c r="RF66" s="125"/>
      <c r="RG66" s="24">
        <f t="shared" ref="RG66:RG75" si="7">SUBTOTAL(9,C66:RF66)</f>
        <v>30</v>
      </c>
      <c r="RH66" s="60" t="s">
        <v>36</v>
      </c>
      <c r="RI66" s="121">
        <v>1177.56</v>
      </c>
      <c r="RJ66" s="77">
        <f t="shared" si="6"/>
        <v>0</v>
      </c>
      <c r="RK66" s="77">
        <v>621.30000000000007</v>
      </c>
      <c r="RL66" s="121">
        <f t="shared" ref="RL66:RL75" si="8">RI66-RJ66</f>
        <v>1177.56</v>
      </c>
      <c r="RM66" s="145"/>
      <c r="RN66" s="145"/>
      <c r="RO66" s="145"/>
      <c r="RP66" s="104">
        <f t="shared" ref="RP66:RP75" si="9">RI66/RK66</f>
        <v>1.8953162723322063</v>
      </c>
      <c r="RQ66" s="172"/>
    </row>
    <row r="67" spans="1:485" s="5" customFormat="1" ht="12.75" customHeight="1" x14ac:dyDescent="0.25">
      <c r="A67" s="61">
        <v>44980</v>
      </c>
      <c r="B67" s="165" t="s">
        <v>568</v>
      </c>
      <c r="C67" s="123"/>
      <c r="D67" s="123"/>
      <c r="E67" s="124"/>
      <c r="F67" s="124"/>
      <c r="G67" s="124"/>
      <c r="H67" s="124"/>
      <c r="I67" s="124"/>
      <c r="J67" s="124"/>
      <c r="K67" s="124"/>
      <c r="L67" s="124"/>
      <c r="M67" s="124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>
        <v>30</v>
      </c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5"/>
      <c r="BA67" s="125"/>
      <c r="BB67" s="125"/>
      <c r="BC67" s="125"/>
      <c r="BD67" s="125"/>
      <c r="BE67" s="125"/>
      <c r="BF67" s="125"/>
      <c r="BG67" s="125"/>
      <c r="BH67" s="125">
        <v>2</v>
      </c>
      <c r="BI67" s="125"/>
      <c r="BJ67" s="125"/>
      <c r="BK67" s="125"/>
      <c r="BL67" s="125"/>
      <c r="BM67" s="125"/>
      <c r="BN67" s="125"/>
      <c r="BO67" s="125"/>
      <c r="BP67" s="125"/>
      <c r="BQ67" s="125"/>
      <c r="BR67" s="125"/>
      <c r="BS67" s="125"/>
      <c r="BT67" s="125"/>
      <c r="BU67" s="125"/>
      <c r="BV67" s="125"/>
      <c r="BW67" s="125"/>
      <c r="BX67" s="125"/>
      <c r="BY67" s="125"/>
      <c r="BZ67" s="125"/>
      <c r="CA67" s="125"/>
      <c r="CB67" s="125"/>
      <c r="CC67" s="125"/>
      <c r="CD67" s="125"/>
      <c r="CE67" s="125"/>
      <c r="CF67" s="125"/>
      <c r="CG67" s="125"/>
      <c r="CH67" s="125"/>
      <c r="CI67" s="125"/>
      <c r="CJ67" s="125"/>
      <c r="CK67" s="125"/>
      <c r="CL67" s="125"/>
      <c r="CM67" s="125"/>
      <c r="CN67" s="125"/>
      <c r="CO67" s="125"/>
      <c r="CP67" s="125"/>
      <c r="CQ67" s="125"/>
      <c r="CR67" s="125"/>
      <c r="CS67" s="125"/>
      <c r="CT67" s="125"/>
      <c r="CU67" s="125"/>
      <c r="CV67" s="125"/>
      <c r="CW67" s="125"/>
      <c r="CX67" s="125"/>
      <c r="CY67" s="125"/>
      <c r="CZ67" s="125"/>
      <c r="DA67" s="125"/>
      <c r="DB67" s="125"/>
      <c r="DC67" s="125"/>
      <c r="DD67" s="125"/>
      <c r="DE67" s="125"/>
      <c r="DF67" s="125"/>
      <c r="DG67" s="125"/>
      <c r="DH67" s="125"/>
      <c r="DI67" s="125"/>
      <c r="DJ67" s="125"/>
      <c r="DK67" s="125"/>
      <c r="DL67" s="125"/>
      <c r="DM67" s="125"/>
      <c r="DN67" s="125"/>
      <c r="DO67" s="125"/>
      <c r="DP67" s="125"/>
      <c r="DQ67" s="125"/>
      <c r="DR67" s="125"/>
      <c r="DS67" s="125"/>
      <c r="DT67" s="125"/>
      <c r="DU67" s="125"/>
      <c r="DV67" s="125"/>
      <c r="DW67" s="125"/>
      <c r="DX67" s="125"/>
      <c r="DY67" s="125"/>
      <c r="DZ67" s="125"/>
      <c r="EA67" s="125"/>
      <c r="EB67" s="125"/>
      <c r="EC67" s="125"/>
      <c r="ED67" s="125"/>
      <c r="EE67" s="125"/>
      <c r="EF67" s="125"/>
      <c r="EG67" s="125"/>
      <c r="EH67" s="125"/>
      <c r="EI67" s="125"/>
      <c r="EJ67" s="125"/>
      <c r="EK67" s="125"/>
      <c r="EL67" s="125"/>
      <c r="EM67" s="125"/>
      <c r="EN67" s="125"/>
      <c r="EO67" s="125"/>
      <c r="EP67" s="125"/>
      <c r="EQ67" s="125"/>
      <c r="ER67" s="125"/>
      <c r="ES67" s="125"/>
      <c r="ET67" s="125"/>
      <c r="EU67" s="125"/>
      <c r="EV67" s="125"/>
      <c r="EW67" s="125"/>
      <c r="EX67" s="125"/>
      <c r="EY67" s="125"/>
      <c r="EZ67" s="125"/>
      <c r="FA67" s="125"/>
      <c r="FB67" s="125"/>
      <c r="FC67" s="125"/>
      <c r="FD67" s="125"/>
      <c r="FE67" s="125"/>
      <c r="FF67" s="125"/>
      <c r="FG67" s="125"/>
      <c r="FH67" s="125"/>
      <c r="FI67" s="125"/>
      <c r="FJ67" s="125"/>
      <c r="FK67" s="125"/>
      <c r="FL67" s="125"/>
      <c r="FM67" s="125"/>
      <c r="FN67" s="125"/>
      <c r="FO67" s="125"/>
      <c r="FP67" s="125"/>
      <c r="FQ67" s="125"/>
      <c r="FR67" s="125"/>
      <c r="FS67" s="125"/>
      <c r="FT67" s="125"/>
      <c r="FU67" s="125"/>
      <c r="FV67" s="125"/>
      <c r="FW67" s="125"/>
      <c r="FX67" s="125"/>
      <c r="FY67" s="125"/>
      <c r="FZ67" s="125"/>
      <c r="GA67" s="125"/>
      <c r="GB67" s="125"/>
      <c r="GC67" s="125"/>
      <c r="GD67" s="125"/>
      <c r="GE67" s="125"/>
      <c r="GF67" s="125"/>
      <c r="GG67" s="125"/>
      <c r="GH67" s="125"/>
      <c r="GI67" s="125"/>
      <c r="GJ67" s="125"/>
      <c r="GK67" s="125"/>
      <c r="GL67" s="125"/>
      <c r="GM67" s="125"/>
      <c r="GN67" s="125"/>
      <c r="GO67" s="125"/>
      <c r="GP67" s="125"/>
      <c r="GQ67" s="125"/>
      <c r="GR67" s="125"/>
      <c r="GS67" s="125"/>
      <c r="GT67" s="125"/>
      <c r="GU67" s="125"/>
      <c r="GV67" s="125"/>
      <c r="GW67" s="125"/>
      <c r="GX67" s="125"/>
      <c r="GY67" s="125"/>
      <c r="GZ67" s="125"/>
      <c r="HA67" s="125"/>
      <c r="HB67" s="125"/>
      <c r="HC67" s="125"/>
      <c r="HD67" s="125"/>
      <c r="HE67" s="125"/>
      <c r="HF67" s="125"/>
      <c r="HG67" s="125"/>
      <c r="HH67" s="125"/>
      <c r="HI67" s="125"/>
      <c r="HJ67" s="125"/>
      <c r="HK67" s="125"/>
      <c r="HL67" s="125"/>
      <c r="HM67" s="125"/>
      <c r="HN67" s="125"/>
      <c r="HO67" s="125"/>
      <c r="HP67" s="125"/>
      <c r="HQ67" s="125"/>
      <c r="HR67" s="125"/>
      <c r="HS67" s="125"/>
      <c r="HT67" s="125"/>
      <c r="HU67" s="125"/>
      <c r="HV67" s="125"/>
      <c r="HW67" s="125"/>
      <c r="HX67" s="125"/>
      <c r="HY67" s="125"/>
      <c r="HZ67" s="125"/>
      <c r="IA67" s="125"/>
      <c r="IB67" s="125"/>
      <c r="IC67" s="125"/>
      <c r="ID67" s="125"/>
      <c r="IE67" s="125"/>
      <c r="IF67" s="125"/>
      <c r="IG67" s="125"/>
      <c r="IH67" s="125"/>
      <c r="II67" s="125"/>
      <c r="IJ67" s="125"/>
      <c r="IK67" s="125"/>
      <c r="IL67" s="125"/>
      <c r="IM67" s="125"/>
      <c r="IN67" s="125"/>
      <c r="IO67" s="125"/>
      <c r="IP67" s="125"/>
      <c r="IQ67" s="125"/>
      <c r="IR67" s="125"/>
      <c r="IS67" s="125"/>
      <c r="IT67" s="125"/>
      <c r="IU67" s="125"/>
      <c r="IV67" s="125"/>
      <c r="IW67" s="125"/>
      <c r="IX67" s="125"/>
      <c r="IY67" s="125"/>
      <c r="IZ67" s="125"/>
      <c r="JA67" s="125"/>
      <c r="JB67" s="125"/>
      <c r="JC67" s="125"/>
      <c r="JD67" s="125"/>
      <c r="JE67" s="125"/>
      <c r="JF67" s="125"/>
      <c r="JG67" s="125"/>
      <c r="JH67" s="125"/>
      <c r="JI67" s="125"/>
      <c r="JJ67" s="125"/>
      <c r="JK67" s="125"/>
      <c r="JL67" s="125"/>
      <c r="JM67" s="125"/>
      <c r="JN67" s="125"/>
      <c r="JO67" s="125"/>
      <c r="JP67" s="125"/>
      <c r="JQ67" s="125"/>
      <c r="JR67" s="125"/>
      <c r="JS67" s="125"/>
      <c r="JT67" s="125"/>
      <c r="JU67" s="125"/>
      <c r="JV67" s="125"/>
      <c r="JW67" s="125"/>
      <c r="JX67" s="125"/>
      <c r="JY67" s="125"/>
      <c r="JZ67" s="125"/>
      <c r="KA67" s="125"/>
      <c r="KB67" s="125"/>
      <c r="KC67" s="125"/>
      <c r="KD67" s="125"/>
      <c r="KE67" s="125"/>
      <c r="KF67" s="125"/>
      <c r="KG67" s="125"/>
      <c r="KH67" s="125"/>
      <c r="KI67" s="125"/>
      <c r="KJ67" s="125"/>
      <c r="KK67" s="125"/>
      <c r="KL67" s="125"/>
      <c r="KM67" s="125"/>
      <c r="KN67" s="125"/>
      <c r="KO67" s="125"/>
      <c r="KP67" s="125"/>
      <c r="KQ67" s="125"/>
      <c r="KR67" s="125"/>
      <c r="KS67" s="125"/>
      <c r="KT67" s="125"/>
      <c r="KU67" s="125"/>
      <c r="KV67" s="125"/>
      <c r="KW67" s="125"/>
      <c r="KX67" s="125"/>
      <c r="KY67" s="125"/>
      <c r="KZ67" s="125"/>
      <c r="LA67" s="125"/>
      <c r="LB67" s="125"/>
      <c r="LC67" s="125"/>
      <c r="LD67" s="125"/>
      <c r="LE67" s="125"/>
      <c r="LF67" s="125"/>
      <c r="LG67" s="125"/>
      <c r="LH67" s="125"/>
      <c r="LI67" s="125"/>
      <c r="LJ67" s="125"/>
      <c r="LK67" s="125"/>
      <c r="LL67" s="125"/>
      <c r="LM67" s="125"/>
      <c r="LN67" s="125"/>
      <c r="LO67" s="125"/>
      <c r="LP67" s="125"/>
      <c r="LQ67" s="125"/>
      <c r="LR67" s="125"/>
      <c r="LS67" s="125"/>
      <c r="LT67" s="125"/>
      <c r="LU67" s="125"/>
      <c r="LV67" s="125"/>
      <c r="LW67" s="125"/>
      <c r="LX67" s="125"/>
      <c r="LY67" s="125"/>
      <c r="LZ67" s="125"/>
      <c r="MA67" s="125"/>
      <c r="MB67" s="125"/>
      <c r="MC67" s="125"/>
      <c r="MD67" s="125"/>
      <c r="ME67" s="125"/>
      <c r="MF67" s="125"/>
      <c r="MG67" s="125"/>
      <c r="MH67" s="125"/>
      <c r="MI67" s="125"/>
      <c r="MJ67" s="125"/>
      <c r="MK67" s="125"/>
      <c r="ML67" s="125"/>
      <c r="MM67" s="125"/>
      <c r="MN67" s="125"/>
      <c r="MO67" s="125"/>
      <c r="MP67" s="125"/>
      <c r="MQ67" s="125"/>
      <c r="MR67" s="125"/>
      <c r="MS67" s="125"/>
      <c r="MT67" s="125"/>
      <c r="MU67" s="125"/>
      <c r="MV67" s="125"/>
      <c r="MW67" s="125"/>
      <c r="MX67" s="125"/>
      <c r="MY67" s="125"/>
      <c r="MZ67" s="125"/>
      <c r="NA67" s="125"/>
      <c r="NB67" s="125"/>
      <c r="NC67" s="125"/>
      <c r="ND67" s="125"/>
      <c r="NE67" s="125"/>
      <c r="NF67" s="125"/>
      <c r="NG67" s="125"/>
      <c r="NH67" s="125"/>
      <c r="NI67" s="125"/>
      <c r="NJ67" s="125"/>
      <c r="NK67" s="125"/>
      <c r="NL67" s="125"/>
      <c r="NM67" s="125"/>
      <c r="NN67" s="125"/>
      <c r="NO67" s="125"/>
      <c r="NP67" s="125"/>
      <c r="NQ67" s="125"/>
      <c r="NR67" s="125"/>
      <c r="NS67" s="125"/>
      <c r="NT67" s="125"/>
      <c r="NU67" s="125"/>
      <c r="NV67" s="125"/>
      <c r="NW67" s="125"/>
      <c r="NX67" s="125"/>
      <c r="NY67" s="125"/>
      <c r="NZ67" s="125"/>
      <c r="OA67" s="125"/>
      <c r="OB67" s="125"/>
      <c r="OC67" s="125"/>
      <c r="OD67" s="125"/>
      <c r="OE67" s="125"/>
      <c r="OF67" s="125"/>
      <c r="OG67" s="125"/>
      <c r="OH67" s="125"/>
      <c r="OI67" s="125"/>
      <c r="OJ67" s="125"/>
      <c r="OK67" s="125"/>
      <c r="OL67" s="125"/>
      <c r="OM67" s="125"/>
      <c r="ON67" s="125"/>
      <c r="OO67" s="125"/>
      <c r="OP67" s="125"/>
      <c r="OQ67" s="125"/>
      <c r="OR67" s="125"/>
      <c r="OS67" s="125"/>
      <c r="OT67" s="125"/>
      <c r="OU67" s="125"/>
      <c r="OV67" s="125"/>
      <c r="OW67" s="125"/>
      <c r="OX67" s="125"/>
      <c r="OY67" s="125"/>
      <c r="OZ67" s="125"/>
      <c r="PA67" s="125"/>
      <c r="PB67" s="125"/>
      <c r="PC67" s="125"/>
      <c r="PD67" s="125"/>
      <c r="PE67" s="125"/>
      <c r="PF67" s="125"/>
      <c r="PG67" s="125"/>
      <c r="PH67" s="125"/>
      <c r="PI67" s="125"/>
      <c r="PJ67" s="125"/>
      <c r="PK67" s="125">
        <v>5</v>
      </c>
      <c r="PL67" s="125"/>
      <c r="PM67" s="125"/>
      <c r="PN67" s="125"/>
      <c r="PO67" s="125"/>
      <c r="PP67" s="125"/>
      <c r="PQ67" s="125"/>
      <c r="PR67" s="125"/>
      <c r="PS67" s="125"/>
      <c r="PT67" s="125"/>
      <c r="PU67" s="125"/>
      <c r="PV67" s="125"/>
      <c r="PW67" s="125"/>
      <c r="PX67" s="125"/>
      <c r="PY67" s="125"/>
      <c r="PZ67" s="125"/>
      <c r="QA67" s="125"/>
      <c r="QB67" s="125"/>
      <c r="QC67" s="125"/>
      <c r="QD67" s="125"/>
      <c r="QE67" s="125"/>
      <c r="QF67" s="125"/>
      <c r="QG67" s="125"/>
      <c r="QH67" s="125"/>
      <c r="QI67" s="125"/>
      <c r="QJ67" s="125"/>
      <c r="QK67" s="125"/>
      <c r="QL67" s="125"/>
      <c r="QM67" s="125"/>
      <c r="QN67" s="125"/>
      <c r="QO67" s="125"/>
      <c r="QP67" s="125"/>
      <c r="QQ67" s="125"/>
      <c r="QR67" s="125"/>
      <c r="QS67" s="125"/>
      <c r="QT67" s="125"/>
      <c r="QU67" s="125"/>
      <c r="QV67" s="125"/>
      <c r="QW67" s="125"/>
      <c r="QX67" s="125"/>
      <c r="QY67" s="125"/>
      <c r="QZ67" s="125"/>
      <c r="RA67" s="125"/>
      <c r="RB67" s="125"/>
      <c r="RC67" s="125"/>
      <c r="RD67" s="125"/>
      <c r="RE67" s="125"/>
      <c r="RF67" s="125"/>
      <c r="RG67" s="24">
        <f t="shared" si="7"/>
        <v>37</v>
      </c>
      <c r="RH67" s="60" t="s">
        <v>36</v>
      </c>
      <c r="RI67" s="121">
        <v>2581.6799999999998</v>
      </c>
      <c r="RJ67" s="77">
        <f>RM67+RN67</f>
        <v>2581.6800000000003</v>
      </c>
      <c r="RK67" s="77">
        <v>1571.54</v>
      </c>
      <c r="RL67" s="121">
        <f t="shared" si="8"/>
        <v>0</v>
      </c>
      <c r="RM67" s="145">
        <v>1933.2</v>
      </c>
      <c r="RN67" s="145">
        <v>648.48</v>
      </c>
      <c r="RO67" s="145"/>
      <c r="RP67" s="104">
        <f t="shared" si="9"/>
        <v>1.6427707853443119</v>
      </c>
      <c r="RQ67" s="172" t="s">
        <v>613</v>
      </c>
    </row>
    <row r="68" spans="1:485" s="5" customFormat="1" ht="12.75" customHeight="1" x14ac:dyDescent="0.25">
      <c r="A68" s="61">
        <v>44980</v>
      </c>
      <c r="B68" s="102" t="s">
        <v>456</v>
      </c>
      <c r="C68" s="123"/>
      <c r="D68" s="123"/>
      <c r="E68" s="124"/>
      <c r="F68" s="124"/>
      <c r="G68" s="124"/>
      <c r="H68" s="124"/>
      <c r="I68" s="124"/>
      <c r="J68" s="124"/>
      <c r="K68" s="124"/>
      <c r="L68" s="124"/>
      <c r="M68" s="124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  <c r="AZ68" s="125"/>
      <c r="BA68" s="125"/>
      <c r="BB68" s="125"/>
      <c r="BC68" s="125"/>
      <c r="BD68" s="125"/>
      <c r="BE68" s="125"/>
      <c r="BF68" s="125"/>
      <c r="BG68" s="125"/>
      <c r="BH68" s="125"/>
      <c r="BI68" s="125"/>
      <c r="BJ68" s="125"/>
      <c r="BK68" s="125"/>
      <c r="BL68" s="125"/>
      <c r="BM68" s="125"/>
      <c r="BN68" s="125"/>
      <c r="BO68" s="125"/>
      <c r="BP68" s="125"/>
      <c r="BQ68" s="125"/>
      <c r="BR68" s="125"/>
      <c r="BS68" s="125"/>
      <c r="BT68" s="125"/>
      <c r="BU68" s="125"/>
      <c r="BV68" s="125"/>
      <c r="BW68" s="125"/>
      <c r="BX68" s="125"/>
      <c r="BY68" s="125"/>
      <c r="BZ68" s="125"/>
      <c r="CA68" s="125"/>
      <c r="CB68" s="125"/>
      <c r="CC68" s="125"/>
      <c r="CD68" s="125"/>
      <c r="CE68" s="125"/>
      <c r="CF68" s="125"/>
      <c r="CG68" s="125"/>
      <c r="CH68" s="125"/>
      <c r="CI68" s="125"/>
      <c r="CJ68" s="125"/>
      <c r="CK68" s="125"/>
      <c r="CL68" s="125"/>
      <c r="CM68" s="125"/>
      <c r="CN68" s="125"/>
      <c r="CO68" s="125"/>
      <c r="CP68" s="125"/>
      <c r="CQ68" s="125"/>
      <c r="CR68" s="125"/>
      <c r="CS68" s="125"/>
      <c r="CT68" s="125"/>
      <c r="CU68" s="125"/>
      <c r="CV68" s="125"/>
      <c r="CW68" s="125"/>
      <c r="CX68" s="125"/>
      <c r="CY68" s="125"/>
      <c r="CZ68" s="125"/>
      <c r="DA68" s="125"/>
      <c r="DB68" s="125"/>
      <c r="DC68" s="125"/>
      <c r="DD68" s="125"/>
      <c r="DE68" s="125"/>
      <c r="DF68" s="125"/>
      <c r="DG68" s="125"/>
      <c r="DH68" s="125"/>
      <c r="DI68" s="125"/>
      <c r="DJ68" s="125"/>
      <c r="DK68" s="125"/>
      <c r="DL68" s="125"/>
      <c r="DM68" s="125"/>
      <c r="DN68" s="125"/>
      <c r="DO68" s="125"/>
      <c r="DP68" s="125"/>
      <c r="DQ68" s="125"/>
      <c r="DR68" s="125"/>
      <c r="DS68" s="125"/>
      <c r="DT68" s="125"/>
      <c r="DU68" s="125"/>
      <c r="DV68" s="125"/>
      <c r="DW68" s="125"/>
      <c r="DX68" s="125"/>
      <c r="DY68" s="125"/>
      <c r="DZ68" s="125"/>
      <c r="EA68" s="125"/>
      <c r="EB68" s="125"/>
      <c r="EC68" s="125"/>
      <c r="ED68" s="125"/>
      <c r="EE68" s="125"/>
      <c r="EF68" s="125"/>
      <c r="EG68" s="125"/>
      <c r="EH68" s="125"/>
      <c r="EI68" s="125"/>
      <c r="EJ68" s="125"/>
      <c r="EK68" s="125"/>
      <c r="EL68" s="125"/>
      <c r="EM68" s="125"/>
      <c r="EN68" s="125"/>
      <c r="EO68" s="125"/>
      <c r="EP68" s="125"/>
      <c r="EQ68" s="125"/>
      <c r="ER68" s="125"/>
      <c r="ES68" s="125"/>
      <c r="ET68" s="125"/>
      <c r="EU68" s="125"/>
      <c r="EV68" s="125"/>
      <c r="EW68" s="125"/>
      <c r="EX68" s="125"/>
      <c r="EY68" s="125"/>
      <c r="EZ68" s="125"/>
      <c r="FA68" s="125"/>
      <c r="FB68" s="125"/>
      <c r="FC68" s="125"/>
      <c r="FD68" s="125"/>
      <c r="FE68" s="125"/>
      <c r="FF68" s="125"/>
      <c r="FG68" s="125"/>
      <c r="FH68" s="125"/>
      <c r="FI68" s="125"/>
      <c r="FJ68" s="125"/>
      <c r="FK68" s="125"/>
      <c r="FL68" s="125"/>
      <c r="FM68" s="125"/>
      <c r="FN68" s="125"/>
      <c r="FO68" s="125"/>
      <c r="FP68" s="125"/>
      <c r="FQ68" s="125"/>
      <c r="FR68" s="125"/>
      <c r="FS68" s="125"/>
      <c r="FT68" s="125"/>
      <c r="FU68" s="125"/>
      <c r="FV68" s="125"/>
      <c r="FW68" s="125"/>
      <c r="FX68" s="125"/>
      <c r="FY68" s="125"/>
      <c r="FZ68" s="125"/>
      <c r="GA68" s="125"/>
      <c r="GB68" s="125"/>
      <c r="GC68" s="125"/>
      <c r="GD68" s="125"/>
      <c r="GE68" s="125"/>
      <c r="GF68" s="125"/>
      <c r="GG68" s="125"/>
      <c r="GH68" s="125"/>
      <c r="GI68" s="125"/>
      <c r="GJ68" s="125"/>
      <c r="GK68" s="125"/>
      <c r="GL68" s="125"/>
      <c r="GM68" s="125"/>
      <c r="GN68" s="125"/>
      <c r="GO68" s="125"/>
      <c r="GP68" s="125"/>
      <c r="GQ68" s="125"/>
      <c r="GR68" s="125"/>
      <c r="GS68" s="125"/>
      <c r="GT68" s="125"/>
      <c r="GU68" s="125"/>
      <c r="GV68" s="125"/>
      <c r="GW68" s="125"/>
      <c r="GX68" s="125"/>
      <c r="GY68" s="125"/>
      <c r="GZ68" s="125"/>
      <c r="HA68" s="125"/>
      <c r="HB68" s="125"/>
      <c r="HC68" s="125"/>
      <c r="HD68" s="125"/>
      <c r="HE68" s="125"/>
      <c r="HF68" s="125"/>
      <c r="HG68" s="125"/>
      <c r="HH68" s="125"/>
      <c r="HI68" s="125"/>
      <c r="HJ68" s="125"/>
      <c r="HK68" s="125"/>
      <c r="HL68" s="125"/>
      <c r="HM68" s="125"/>
      <c r="HN68" s="125"/>
      <c r="HO68" s="125"/>
      <c r="HP68" s="125"/>
      <c r="HQ68" s="125"/>
      <c r="HR68" s="125"/>
      <c r="HS68" s="125"/>
      <c r="HT68" s="125"/>
      <c r="HU68" s="125"/>
      <c r="HV68" s="125"/>
      <c r="HW68" s="125"/>
      <c r="HX68" s="125"/>
      <c r="HY68" s="125"/>
      <c r="HZ68" s="125"/>
      <c r="IA68" s="125"/>
      <c r="IB68" s="125"/>
      <c r="IC68" s="125"/>
      <c r="ID68" s="125"/>
      <c r="IE68" s="125"/>
      <c r="IF68" s="125"/>
      <c r="IG68" s="125"/>
      <c r="IH68" s="125"/>
      <c r="II68" s="125"/>
      <c r="IJ68" s="125"/>
      <c r="IK68" s="125"/>
      <c r="IL68" s="125"/>
      <c r="IM68" s="125"/>
      <c r="IN68" s="125"/>
      <c r="IO68" s="125"/>
      <c r="IP68" s="125"/>
      <c r="IQ68" s="125"/>
      <c r="IR68" s="125"/>
      <c r="IS68" s="125"/>
      <c r="IT68" s="125"/>
      <c r="IU68" s="125"/>
      <c r="IV68" s="125"/>
      <c r="IW68" s="125"/>
      <c r="IX68" s="125"/>
      <c r="IY68" s="125"/>
      <c r="IZ68" s="125"/>
      <c r="JA68" s="125"/>
      <c r="JB68" s="125"/>
      <c r="JC68" s="125"/>
      <c r="JD68" s="125"/>
      <c r="JE68" s="125"/>
      <c r="JF68" s="125"/>
      <c r="JG68" s="125"/>
      <c r="JH68" s="125"/>
      <c r="JI68" s="125"/>
      <c r="JJ68" s="125"/>
      <c r="JK68" s="125"/>
      <c r="JL68" s="125"/>
      <c r="JM68" s="125"/>
      <c r="JN68" s="125"/>
      <c r="JO68" s="125"/>
      <c r="JP68" s="125"/>
      <c r="JQ68" s="125"/>
      <c r="JR68" s="125"/>
      <c r="JS68" s="125"/>
      <c r="JT68" s="125"/>
      <c r="JU68" s="125"/>
      <c r="JV68" s="125"/>
      <c r="JW68" s="125"/>
      <c r="JX68" s="125"/>
      <c r="JY68" s="125"/>
      <c r="JZ68" s="125"/>
      <c r="KA68" s="125"/>
      <c r="KB68" s="125"/>
      <c r="KC68" s="125"/>
      <c r="KD68" s="125"/>
      <c r="KE68" s="125"/>
      <c r="KF68" s="125"/>
      <c r="KG68" s="125"/>
      <c r="KH68" s="125"/>
      <c r="KI68" s="125"/>
      <c r="KJ68" s="125"/>
      <c r="KK68" s="125"/>
      <c r="KL68" s="125"/>
      <c r="KM68" s="125"/>
      <c r="KN68" s="125"/>
      <c r="KO68" s="125"/>
      <c r="KP68" s="125"/>
      <c r="KQ68" s="125"/>
      <c r="KR68" s="125"/>
      <c r="KS68" s="125"/>
      <c r="KT68" s="125"/>
      <c r="KU68" s="125"/>
      <c r="KV68" s="125"/>
      <c r="KW68" s="125"/>
      <c r="KX68" s="125"/>
      <c r="KY68" s="125"/>
      <c r="KZ68" s="125"/>
      <c r="LA68" s="125"/>
      <c r="LB68" s="125"/>
      <c r="LC68" s="125"/>
      <c r="LD68" s="125"/>
      <c r="LE68" s="125"/>
      <c r="LF68" s="125"/>
      <c r="LG68" s="125"/>
      <c r="LH68" s="125"/>
      <c r="LI68" s="125"/>
      <c r="LJ68" s="125"/>
      <c r="LK68" s="125"/>
      <c r="LL68" s="125"/>
      <c r="LM68" s="125"/>
      <c r="LN68" s="125"/>
      <c r="LO68" s="125"/>
      <c r="LP68" s="125"/>
      <c r="LQ68" s="125"/>
      <c r="LR68" s="125"/>
      <c r="LS68" s="125"/>
      <c r="LT68" s="125"/>
      <c r="LU68" s="125"/>
      <c r="LV68" s="125"/>
      <c r="LW68" s="125"/>
      <c r="LX68" s="125"/>
      <c r="LY68" s="125"/>
      <c r="LZ68" s="125"/>
      <c r="MA68" s="125"/>
      <c r="MB68" s="125"/>
      <c r="MC68" s="125"/>
      <c r="MD68" s="125"/>
      <c r="ME68" s="125"/>
      <c r="MF68" s="125"/>
      <c r="MG68" s="125"/>
      <c r="MH68" s="125"/>
      <c r="MI68" s="125"/>
      <c r="MJ68" s="125"/>
      <c r="MK68" s="125"/>
      <c r="ML68" s="125"/>
      <c r="MM68" s="125"/>
      <c r="MN68" s="125"/>
      <c r="MO68" s="125"/>
      <c r="MP68" s="125"/>
      <c r="MQ68" s="125"/>
      <c r="MR68" s="125"/>
      <c r="MS68" s="125"/>
      <c r="MT68" s="125"/>
      <c r="MU68" s="125"/>
      <c r="MV68" s="125"/>
      <c r="MW68" s="125"/>
      <c r="MX68" s="125"/>
      <c r="MY68" s="125"/>
      <c r="MZ68" s="125"/>
      <c r="NA68" s="125"/>
      <c r="NB68" s="125"/>
      <c r="NC68" s="125"/>
      <c r="ND68" s="125"/>
      <c r="NE68" s="125"/>
      <c r="NF68" s="125"/>
      <c r="NG68" s="125"/>
      <c r="NH68" s="125"/>
      <c r="NI68" s="125"/>
      <c r="NJ68" s="125"/>
      <c r="NK68" s="125"/>
      <c r="NL68" s="125"/>
      <c r="NM68" s="125"/>
      <c r="NN68" s="125"/>
      <c r="NO68" s="125"/>
      <c r="NP68" s="125"/>
      <c r="NQ68" s="125"/>
      <c r="NR68" s="125"/>
      <c r="NS68" s="125"/>
      <c r="NT68" s="125"/>
      <c r="NU68" s="125"/>
      <c r="NV68" s="125"/>
      <c r="NW68" s="125"/>
      <c r="NX68" s="125"/>
      <c r="NY68" s="125"/>
      <c r="NZ68" s="125"/>
      <c r="OA68" s="125"/>
      <c r="OB68" s="125"/>
      <c r="OC68" s="125"/>
      <c r="OD68" s="125"/>
      <c r="OE68" s="125"/>
      <c r="OF68" s="125"/>
      <c r="OG68" s="125"/>
      <c r="OH68" s="125"/>
      <c r="OI68" s="125"/>
      <c r="OJ68" s="125"/>
      <c r="OK68" s="125"/>
      <c r="OL68" s="125"/>
      <c r="OM68" s="125"/>
      <c r="ON68" s="125"/>
      <c r="OO68" s="125"/>
      <c r="OP68" s="125"/>
      <c r="OQ68" s="125"/>
      <c r="OR68" s="125"/>
      <c r="OS68" s="125"/>
      <c r="OT68" s="125"/>
      <c r="OU68" s="125"/>
      <c r="OV68" s="125"/>
      <c r="OW68" s="125"/>
      <c r="OX68" s="125"/>
      <c r="OY68" s="125"/>
      <c r="OZ68" s="125"/>
      <c r="PA68" s="125"/>
      <c r="PB68" s="125"/>
      <c r="PC68" s="125"/>
      <c r="PD68" s="125"/>
      <c r="PE68" s="125"/>
      <c r="PF68" s="125"/>
      <c r="PG68" s="125"/>
      <c r="PH68" s="125"/>
      <c r="PI68" s="125"/>
      <c r="PJ68" s="125"/>
      <c r="PK68" s="125"/>
      <c r="PL68" s="125"/>
      <c r="PM68" s="125"/>
      <c r="PN68" s="125"/>
      <c r="PO68" s="125"/>
      <c r="PP68" s="125"/>
      <c r="PQ68" s="125"/>
      <c r="PR68" s="125"/>
      <c r="PS68" s="125"/>
      <c r="PT68" s="125"/>
      <c r="PU68" s="125"/>
      <c r="PV68" s="125"/>
      <c r="PW68" s="125">
        <v>9</v>
      </c>
      <c r="PX68" s="125"/>
      <c r="PY68" s="125"/>
      <c r="PZ68" s="125"/>
      <c r="QA68" s="125"/>
      <c r="QB68" s="125"/>
      <c r="QC68" s="125"/>
      <c r="QD68" s="125"/>
      <c r="QE68" s="125"/>
      <c r="QF68" s="125"/>
      <c r="QG68" s="125"/>
      <c r="QH68" s="125"/>
      <c r="QI68" s="125"/>
      <c r="QJ68" s="125"/>
      <c r="QK68" s="125"/>
      <c r="QL68" s="125"/>
      <c r="QM68" s="125"/>
      <c r="QN68" s="125"/>
      <c r="QO68" s="125"/>
      <c r="QP68" s="125">
        <v>2</v>
      </c>
      <c r="QQ68" s="125"/>
      <c r="QR68" s="125"/>
      <c r="QS68" s="125"/>
      <c r="QT68" s="125"/>
      <c r="QU68" s="125"/>
      <c r="QV68" s="125"/>
      <c r="QW68" s="125"/>
      <c r="QX68" s="125"/>
      <c r="QY68" s="125"/>
      <c r="QZ68" s="125"/>
      <c r="RA68" s="125"/>
      <c r="RB68" s="125"/>
      <c r="RC68" s="125"/>
      <c r="RD68" s="125"/>
      <c r="RE68" s="125"/>
      <c r="RF68" s="125"/>
      <c r="RG68" s="24">
        <f t="shared" si="7"/>
        <v>11</v>
      </c>
      <c r="RH68" s="60" t="s">
        <v>69</v>
      </c>
      <c r="RI68" s="121">
        <v>2109.4699999999998</v>
      </c>
      <c r="RJ68" s="77">
        <f>RM68+RN68+RO68</f>
        <v>0</v>
      </c>
      <c r="RK68" s="77">
        <v>1481.95</v>
      </c>
      <c r="RL68" s="121">
        <f t="shared" si="8"/>
        <v>2109.4699999999998</v>
      </c>
      <c r="RM68" s="145"/>
      <c r="RN68" s="145"/>
      <c r="RO68" s="145"/>
      <c r="RP68" s="104">
        <f t="shared" si="9"/>
        <v>1.4234420864401631</v>
      </c>
      <c r="RQ68" s="172" t="s">
        <v>617</v>
      </c>
    </row>
    <row r="69" spans="1:485" s="5" customFormat="1" ht="12.75" customHeight="1" x14ac:dyDescent="0.25">
      <c r="A69" s="61">
        <v>44980</v>
      </c>
      <c r="B69" s="112" t="s">
        <v>581</v>
      </c>
      <c r="C69" s="123"/>
      <c r="D69" s="123"/>
      <c r="E69" s="124"/>
      <c r="F69" s="124"/>
      <c r="G69" s="124"/>
      <c r="H69" s="124"/>
      <c r="I69" s="124"/>
      <c r="J69" s="124"/>
      <c r="K69" s="124"/>
      <c r="L69" s="124"/>
      <c r="M69" s="124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>
        <v>20</v>
      </c>
      <c r="ED69" s="125">
        <v>10</v>
      </c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25"/>
      <c r="MF69" s="125"/>
      <c r="MG69" s="125"/>
      <c r="MH69" s="125"/>
      <c r="MI69" s="125"/>
      <c r="MJ69" s="125"/>
      <c r="MK69" s="125"/>
      <c r="ML69" s="125"/>
      <c r="MM69" s="125"/>
      <c r="MN69" s="125"/>
      <c r="MO69" s="125"/>
      <c r="MP69" s="125"/>
      <c r="MQ69" s="125"/>
      <c r="MR69" s="125"/>
      <c r="MS69" s="125"/>
      <c r="MT69" s="125"/>
      <c r="MU69" s="125"/>
      <c r="MV69" s="125"/>
      <c r="MW69" s="125"/>
      <c r="MX69" s="125"/>
      <c r="MY69" s="125"/>
      <c r="MZ69" s="125"/>
      <c r="NA69" s="125"/>
      <c r="NB69" s="125"/>
      <c r="NC69" s="125"/>
      <c r="ND69" s="125"/>
      <c r="NE69" s="125"/>
      <c r="NF69" s="125"/>
      <c r="NG69" s="125"/>
      <c r="NH69" s="125"/>
      <c r="NI69" s="125"/>
      <c r="NJ69" s="125"/>
      <c r="NK69" s="125"/>
      <c r="NL69" s="125"/>
      <c r="NM69" s="125"/>
      <c r="NN69" s="125"/>
      <c r="NO69" s="125"/>
      <c r="NP69" s="125"/>
      <c r="NQ69" s="125"/>
      <c r="NR69" s="125"/>
      <c r="NS69" s="125"/>
      <c r="NT69" s="125"/>
      <c r="NU69" s="125"/>
      <c r="NV69" s="125"/>
      <c r="NW69" s="125"/>
      <c r="NX69" s="125"/>
      <c r="NY69" s="125"/>
      <c r="NZ69" s="125"/>
      <c r="OA69" s="125"/>
      <c r="OB69" s="125"/>
      <c r="OC69" s="125"/>
      <c r="OD69" s="125"/>
      <c r="OE69" s="125"/>
      <c r="OF69" s="125"/>
      <c r="OG69" s="125"/>
      <c r="OH69" s="125"/>
      <c r="OI69" s="125"/>
      <c r="OJ69" s="125"/>
      <c r="OK69" s="125"/>
      <c r="OL69" s="125"/>
      <c r="OM69" s="125"/>
      <c r="ON69" s="125"/>
      <c r="OO69" s="125"/>
      <c r="OP69" s="125"/>
      <c r="OQ69" s="125"/>
      <c r="OR69" s="125"/>
      <c r="OS69" s="125"/>
      <c r="OT69" s="125"/>
      <c r="OU69" s="125"/>
      <c r="OV69" s="125"/>
      <c r="OW69" s="125"/>
      <c r="OX69" s="125"/>
      <c r="OY69" s="125"/>
      <c r="OZ69" s="125"/>
      <c r="PA69" s="125"/>
      <c r="PB69" s="125"/>
      <c r="PC69" s="125"/>
      <c r="PD69" s="125"/>
      <c r="PE69" s="125"/>
      <c r="PF69" s="125"/>
      <c r="PG69" s="125"/>
      <c r="PH69" s="125"/>
      <c r="PI69" s="125"/>
      <c r="PJ69" s="125"/>
      <c r="PK69" s="125"/>
      <c r="PL69" s="125"/>
      <c r="PM69" s="125"/>
      <c r="PN69" s="125"/>
      <c r="PO69" s="125"/>
      <c r="PP69" s="125"/>
      <c r="PQ69" s="125"/>
      <c r="PR69" s="125"/>
      <c r="PS69" s="125"/>
      <c r="PT69" s="125"/>
      <c r="PU69" s="125"/>
      <c r="PV69" s="125"/>
      <c r="PW69" s="125"/>
      <c r="PX69" s="125"/>
      <c r="PY69" s="125"/>
      <c r="PZ69" s="125"/>
      <c r="QA69" s="125"/>
      <c r="QB69" s="125"/>
      <c r="QC69" s="125"/>
      <c r="QD69" s="125"/>
      <c r="QE69" s="125"/>
      <c r="QF69" s="125"/>
      <c r="QG69" s="125"/>
      <c r="QH69" s="125"/>
      <c r="QI69" s="125"/>
      <c r="QJ69" s="125"/>
      <c r="QK69" s="125"/>
      <c r="QL69" s="125"/>
      <c r="QM69" s="125"/>
      <c r="QN69" s="125"/>
      <c r="QO69" s="125"/>
      <c r="QP69" s="125"/>
      <c r="QQ69" s="125"/>
      <c r="QR69" s="125"/>
      <c r="QS69" s="125"/>
      <c r="QT69" s="125"/>
      <c r="QU69" s="125"/>
      <c r="QV69" s="125"/>
      <c r="QW69" s="125"/>
      <c r="QX69" s="125"/>
      <c r="QY69" s="125"/>
      <c r="QZ69" s="125"/>
      <c r="RA69" s="125"/>
      <c r="RB69" s="125"/>
      <c r="RC69" s="125"/>
      <c r="RD69" s="125"/>
      <c r="RE69" s="125"/>
      <c r="RF69" s="125"/>
      <c r="RG69" s="24">
        <f t="shared" si="7"/>
        <v>30</v>
      </c>
      <c r="RH69" s="60" t="s">
        <v>36</v>
      </c>
      <c r="RI69" s="121">
        <v>2114.04</v>
      </c>
      <c r="RJ69" s="77">
        <f>RM69+RN69</f>
        <v>2114.04</v>
      </c>
      <c r="RK69" s="77">
        <v>1283</v>
      </c>
      <c r="RL69" s="121">
        <f t="shared" si="8"/>
        <v>0</v>
      </c>
      <c r="RM69" s="145"/>
      <c r="RN69" s="145">
        <v>2114.04</v>
      </c>
      <c r="RO69" s="145"/>
      <c r="RP69" s="104">
        <f t="shared" si="9"/>
        <v>1.6477318784099766</v>
      </c>
      <c r="RQ69" s="172"/>
    </row>
    <row r="70" spans="1:485" s="5" customFormat="1" ht="12.75" customHeight="1" x14ac:dyDescent="0.25">
      <c r="A70" s="61">
        <v>44981</v>
      </c>
      <c r="B70" s="176" t="s">
        <v>595</v>
      </c>
      <c r="C70" s="123"/>
      <c r="D70" s="123"/>
      <c r="E70" s="124"/>
      <c r="F70" s="124"/>
      <c r="G70" s="124"/>
      <c r="H70" s="124"/>
      <c r="I70" s="124"/>
      <c r="J70" s="124"/>
      <c r="K70" s="124"/>
      <c r="L70" s="124"/>
      <c r="M70" s="124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5"/>
      <c r="BG70" s="125"/>
      <c r="BH70" s="125"/>
      <c r="BI70" s="125"/>
      <c r="BJ70" s="125"/>
      <c r="BK70" s="125"/>
      <c r="BL70" s="125"/>
      <c r="BM70" s="125"/>
      <c r="BN70" s="125"/>
      <c r="BO70" s="125"/>
      <c r="BP70" s="125"/>
      <c r="BQ70" s="125"/>
      <c r="BR70" s="125"/>
      <c r="BS70" s="125"/>
      <c r="BT70" s="125"/>
      <c r="BU70" s="125"/>
      <c r="BV70" s="125"/>
      <c r="BW70" s="125"/>
      <c r="BX70" s="125"/>
      <c r="BY70" s="125"/>
      <c r="BZ70" s="125"/>
      <c r="CA70" s="125"/>
      <c r="CB70" s="125"/>
      <c r="CC70" s="125"/>
      <c r="CD70" s="125"/>
      <c r="CE70" s="125"/>
      <c r="CF70" s="125"/>
      <c r="CG70" s="125"/>
      <c r="CH70" s="125"/>
      <c r="CI70" s="125"/>
      <c r="CJ70" s="125"/>
      <c r="CK70" s="125"/>
      <c r="CL70" s="125"/>
      <c r="CM70" s="125"/>
      <c r="CN70" s="125"/>
      <c r="CO70" s="125"/>
      <c r="CP70" s="125"/>
      <c r="CQ70" s="125"/>
      <c r="CR70" s="125"/>
      <c r="CS70" s="125"/>
      <c r="CT70" s="125"/>
      <c r="CU70" s="125"/>
      <c r="CV70" s="125"/>
      <c r="CW70" s="125"/>
      <c r="CX70" s="125"/>
      <c r="CY70" s="125"/>
      <c r="CZ70" s="125"/>
      <c r="DA70" s="125"/>
      <c r="DB70" s="125"/>
      <c r="DC70" s="125"/>
      <c r="DD70" s="125"/>
      <c r="DE70" s="125"/>
      <c r="DF70" s="125"/>
      <c r="DG70" s="125"/>
      <c r="DH70" s="125"/>
      <c r="DI70" s="125"/>
      <c r="DJ70" s="125"/>
      <c r="DK70" s="125"/>
      <c r="DL70" s="125"/>
      <c r="DM70" s="125"/>
      <c r="DN70" s="125"/>
      <c r="DO70" s="125"/>
      <c r="DP70" s="125"/>
      <c r="DQ70" s="125"/>
      <c r="DR70" s="125"/>
      <c r="DS70" s="125"/>
      <c r="DT70" s="125"/>
      <c r="DU70" s="125"/>
      <c r="DV70" s="125"/>
      <c r="DW70" s="125"/>
      <c r="DX70" s="125"/>
      <c r="DY70" s="125"/>
      <c r="DZ70" s="125"/>
      <c r="EA70" s="125"/>
      <c r="EB70" s="125"/>
      <c r="EC70" s="125"/>
      <c r="ED70" s="125"/>
      <c r="EE70" s="125"/>
      <c r="EF70" s="125"/>
      <c r="EG70" s="125"/>
      <c r="EH70" s="125"/>
      <c r="EI70" s="125"/>
      <c r="EJ70" s="125"/>
      <c r="EK70" s="125"/>
      <c r="EL70" s="125"/>
      <c r="EM70" s="125"/>
      <c r="EN70" s="125"/>
      <c r="EO70" s="125"/>
      <c r="EP70" s="125"/>
      <c r="EQ70" s="125"/>
      <c r="ER70" s="125"/>
      <c r="ES70" s="125"/>
      <c r="ET70" s="125"/>
      <c r="EU70" s="125"/>
      <c r="EV70" s="125"/>
      <c r="EW70" s="125"/>
      <c r="EX70" s="125"/>
      <c r="EY70" s="125"/>
      <c r="EZ70" s="125"/>
      <c r="FA70" s="125"/>
      <c r="FB70" s="125"/>
      <c r="FC70" s="125"/>
      <c r="FD70" s="125"/>
      <c r="FE70" s="125"/>
      <c r="FF70" s="125"/>
      <c r="FG70" s="125"/>
      <c r="FH70" s="125"/>
      <c r="FI70" s="125"/>
      <c r="FJ70" s="125"/>
      <c r="FK70" s="125"/>
      <c r="FL70" s="125"/>
      <c r="FM70" s="125"/>
      <c r="FN70" s="125"/>
      <c r="FO70" s="125"/>
      <c r="FP70" s="125"/>
      <c r="FQ70" s="125"/>
      <c r="FR70" s="125"/>
      <c r="FS70" s="125"/>
      <c r="FT70" s="125"/>
      <c r="FU70" s="125"/>
      <c r="FV70" s="125"/>
      <c r="FW70" s="125"/>
      <c r="FX70" s="125"/>
      <c r="FY70" s="125"/>
      <c r="FZ70" s="125"/>
      <c r="GA70" s="125"/>
      <c r="GB70" s="125"/>
      <c r="GC70" s="125"/>
      <c r="GD70" s="125"/>
      <c r="GE70" s="125"/>
      <c r="GF70" s="125"/>
      <c r="GG70" s="125"/>
      <c r="GH70" s="125"/>
      <c r="GI70" s="125"/>
      <c r="GJ70" s="125"/>
      <c r="GK70" s="125"/>
      <c r="GL70" s="125"/>
      <c r="GM70" s="125"/>
      <c r="GN70" s="125"/>
      <c r="GO70" s="125"/>
      <c r="GP70" s="125"/>
      <c r="GQ70" s="125"/>
      <c r="GR70" s="125"/>
      <c r="GS70" s="125"/>
      <c r="GT70" s="125"/>
      <c r="GU70" s="125"/>
      <c r="GV70" s="125"/>
      <c r="GW70" s="125"/>
      <c r="GX70" s="125"/>
      <c r="GY70" s="125"/>
      <c r="GZ70" s="125"/>
      <c r="HA70" s="125"/>
      <c r="HB70" s="125"/>
      <c r="HC70" s="125"/>
      <c r="HD70" s="125"/>
      <c r="HE70" s="125"/>
      <c r="HF70" s="125"/>
      <c r="HG70" s="125"/>
      <c r="HH70" s="125"/>
      <c r="HI70" s="125"/>
      <c r="HJ70" s="125"/>
      <c r="HK70" s="125"/>
      <c r="HL70" s="125"/>
      <c r="HM70" s="125"/>
      <c r="HN70" s="125"/>
      <c r="HO70" s="125"/>
      <c r="HP70" s="125"/>
      <c r="HQ70" s="125"/>
      <c r="HR70" s="125"/>
      <c r="HS70" s="125"/>
      <c r="HT70" s="125"/>
      <c r="HU70" s="125"/>
      <c r="HV70" s="125"/>
      <c r="HW70" s="125"/>
      <c r="HX70" s="125"/>
      <c r="HY70" s="125"/>
      <c r="HZ70" s="125"/>
      <c r="IA70" s="125"/>
      <c r="IB70" s="125"/>
      <c r="IC70" s="125"/>
      <c r="ID70" s="125"/>
      <c r="IE70" s="125"/>
      <c r="IF70" s="125"/>
      <c r="IG70" s="125"/>
      <c r="IH70" s="125"/>
      <c r="II70" s="125"/>
      <c r="IJ70" s="125"/>
      <c r="IK70" s="125"/>
      <c r="IL70" s="125"/>
      <c r="IM70" s="125"/>
      <c r="IN70" s="125"/>
      <c r="IO70" s="125"/>
      <c r="IP70" s="125"/>
      <c r="IQ70" s="125"/>
      <c r="IR70" s="125"/>
      <c r="IS70" s="125"/>
      <c r="IT70" s="125"/>
      <c r="IU70" s="125"/>
      <c r="IV70" s="125"/>
      <c r="IW70" s="125"/>
      <c r="IX70" s="125"/>
      <c r="IY70" s="125"/>
      <c r="IZ70" s="125"/>
      <c r="JA70" s="125"/>
      <c r="JB70" s="125"/>
      <c r="JC70" s="125"/>
      <c r="JD70" s="125"/>
      <c r="JE70" s="125"/>
      <c r="JF70" s="125"/>
      <c r="JG70" s="125"/>
      <c r="JH70" s="125"/>
      <c r="JI70" s="125"/>
      <c r="JJ70" s="125"/>
      <c r="JK70" s="125"/>
      <c r="JL70" s="125"/>
      <c r="JM70" s="125"/>
      <c r="JN70" s="125"/>
      <c r="JO70" s="125"/>
      <c r="JP70" s="125"/>
      <c r="JQ70" s="125"/>
      <c r="JR70" s="125"/>
      <c r="JS70" s="125"/>
      <c r="JT70" s="125"/>
      <c r="JU70" s="125"/>
      <c r="JV70" s="125"/>
      <c r="JW70" s="125"/>
      <c r="JX70" s="125"/>
      <c r="JY70" s="125"/>
      <c r="JZ70" s="125"/>
      <c r="KA70" s="125"/>
      <c r="KB70" s="125"/>
      <c r="KC70" s="125"/>
      <c r="KD70" s="125"/>
      <c r="KE70" s="125"/>
      <c r="KF70" s="125"/>
      <c r="KG70" s="125"/>
      <c r="KH70" s="125"/>
      <c r="KI70" s="125"/>
      <c r="KJ70" s="125"/>
      <c r="KK70" s="125"/>
      <c r="KL70" s="125"/>
      <c r="KM70" s="125"/>
      <c r="KN70" s="125"/>
      <c r="KO70" s="125"/>
      <c r="KP70" s="125"/>
      <c r="KQ70" s="125"/>
      <c r="KR70" s="125"/>
      <c r="KS70" s="125"/>
      <c r="KT70" s="125"/>
      <c r="KU70" s="125"/>
      <c r="KV70" s="125"/>
      <c r="KW70" s="125"/>
      <c r="KX70" s="125"/>
      <c r="KY70" s="125"/>
      <c r="KZ70" s="125"/>
      <c r="LA70" s="125"/>
      <c r="LB70" s="125"/>
      <c r="LC70" s="125"/>
      <c r="LD70" s="125"/>
      <c r="LE70" s="125"/>
      <c r="LF70" s="125"/>
      <c r="LG70" s="125"/>
      <c r="LH70" s="125"/>
      <c r="LI70" s="125"/>
      <c r="LJ70" s="125"/>
      <c r="LK70" s="125"/>
      <c r="LL70" s="125"/>
      <c r="LM70" s="125"/>
      <c r="LN70" s="125"/>
      <c r="LO70" s="125"/>
      <c r="LP70" s="125"/>
      <c r="LQ70" s="125"/>
      <c r="LR70" s="125"/>
      <c r="LS70" s="125"/>
      <c r="LT70" s="125"/>
      <c r="LU70" s="125"/>
      <c r="LV70" s="125"/>
      <c r="LW70" s="125"/>
      <c r="LX70" s="125"/>
      <c r="LY70" s="125"/>
      <c r="LZ70" s="125"/>
      <c r="MA70" s="125"/>
      <c r="MB70" s="125"/>
      <c r="MC70" s="125"/>
      <c r="MD70" s="125"/>
      <c r="ME70" s="125"/>
      <c r="MF70" s="125"/>
      <c r="MG70" s="125"/>
      <c r="MH70" s="125"/>
      <c r="MI70" s="125"/>
      <c r="MJ70" s="125"/>
      <c r="MK70" s="125"/>
      <c r="ML70" s="125"/>
      <c r="MM70" s="125"/>
      <c r="MN70" s="125"/>
      <c r="MO70" s="125"/>
      <c r="MP70" s="125"/>
      <c r="MQ70" s="125"/>
      <c r="MR70" s="125"/>
      <c r="MS70" s="125"/>
      <c r="MT70" s="125"/>
      <c r="MU70" s="125"/>
      <c r="MV70" s="125"/>
      <c r="MW70" s="125"/>
      <c r="MX70" s="125"/>
      <c r="MY70" s="125"/>
      <c r="MZ70" s="125"/>
      <c r="NA70" s="125"/>
      <c r="NB70" s="125"/>
      <c r="NC70" s="125"/>
      <c r="ND70" s="125"/>
      <c r="NE70" s="125"/>
      <c r="NF70" s="125"/>
      <c r="NG70" s="125"/>
      <c r="NH70" s="125"/>
      <c r="NI70" s="125"/>
      <c r="NJ70" s="125"/>
      <c r="NK70" s="125"/>
      <c r="NL70" s="125"/>
      <c r="NM70" s="125"/>
      <c r="NN70" s="125"/>
      <c r="NO70" s="125"/>
      <c r="NP70" s="125"/>
      <c r="NQ70" s="125"/>
      <c r="NR70" s="125"/>
      <c r="NS70" s="125"/>
      <c r="NT70" s="125"/>
      <c r="NU70" s="125"/>
      <c r="NV70" s="125"/>
      <c r="NW70" s="125"/>
      <c r="NX70" s="125"/>
      <c r="NY70" s="125"/>
      <c r="NZ70" s="125"/>
      <c r="OA70" s="125"/>
      <c r="OB70" s="125"/>
      <c r="OC70" s="125"/>
      <c r="OD70" s="125"/>
      <c r="OE70" s="125"/>
      <c r="OF70" s="125"/>
      <c r="OG70" s="125"/>
      <c r="OH70" s="125"/>
      <c r="OI70" s="125"/>
      <c r="OJ70" s="125"/>
      <c r="OK70" s="125"/>
      <c r="OL70" s="125"/>
      <c r="OM70" s="125"/>
      <c r="ON70" s="125"/>
      <c r="OO70" s="125"/>
      <c r="OP70" s="125"/>
      <c r="OQ70" s="125">
        <v>1</v>
      </c>
      <c r="OR70" s="125"/>
      <c r="OS70" s="125"/>
      <c r="OT70" s="125"/>
      <c r="OU70" s="125"/>
      <c r="OV70" s="125"/>
      <c r="OW70" s="125"/>
      <c r="OX70" s="125"/>
      <c r="OY70" s="125"/>
      <c r="OZ70" s="125"/>
      <c r="PA70" s="125"/>
      <c r="PB70" s="125"/>
      <c r="PC70" s="125"/>
      <c r="PD70" s="125"/>
      <c r="PE70" s="125"/>
      <c r="PF70" s="125"/>
      <c r="PG70" s="125"/>
      <c r="PH70" s="125"/>
      <c r="PI70" s="125"/>
      <c r="PJ70" s="125"/>
      <c r="PK70" s="125"/>
      <c r="PL70" s="125"/>
      <c r="PM70" s="125"/>
      <c r="PN70" s="125"/>
      <c r="PO70" s="125"/>
      <c r="PP70" s="125"/>
      <c r="PQ70" s="125"/>
      <c r="PR70" s="125"/>
      <c r="PS70" s="125"/>
      <c r="PT70" s="125"/>
      <c r="PU70" s="125"/>
      <c r="PV70" s="125"/>
      <c r="PW70" s="125"/>
      <c r="PX70" s="125"/>
      <c r="PY70" s="125"/>
      <c r="PZ70" s="125"/>
      <c r="QA70" s="125"/>
      <c r="QB70" s="125"/>
      <c r="QC70" s="125"/>
      <c r="QD70" s="125"/>
      <c r="QE70" s="125"/>
      <c r="QF70" s="125"/>
      <c r="QG70" s="125"/>
      <c r="QH70" s="125"/>
      <c r="QI70" s="125"/>
      <c r="QJ70" s="125"/>
      <c r="QK70" s="125"/>
      <c r="QL70" s="125"/>
      <c r="QM70" s="125"/>
      <c r="QN70" s="125"/>
      <c r="QO70" s="125"/>
      <c r="QP70" s="125"/>
      <c r="QQ70" s="125"/>
      <c r="QR70" s="125"/>
      <c r="QS70" s="125"/>
      <c r="QT70" s="125"/>
      <c r="QU70" s="125"/>
      <c r="QV70" s="125"/>
      <c r="QW70" s="125"/>
      <c r="QX70" s="125"/>
      <c r="QY70" s="125"/>
      <c r="QZ70" s="125"/>
      <c r="RA70" s="125"/>
      <c r="RB70" s="125"/>
      <c r="RC70" s="125"/>
      <c r="RD70" s="125"/>
      <c r="RE70" s="125"/>
      <c r="RF70" s="125"/>
      <c r="RG70" s="24">
        <f t="shared" si="7"/>
        <v>1</v>
      </c>
      <c r="RH70" s="60" t="s">
        <v>69</v>
      </c>
      <c r="RI70" s="121">
        <v>55.36</v>
      </c>
      <c r="RJ70" s="77">
        <f>RM70+RN70</f>
        <v>55.36</v>
      </c>
      <c r="RK70" s="77">
        <v>38.89</v>
      </c>
      <c r="RL70" s="121">
        <f t="shared" si="8"/>
        <v>0</v>
      </c>
      <c r="RM70" s="145"/>
      <c r="RN70" s="145">
        <v>55.36</v>
      </c>
      <c r="RO70" s="145"/>
      <c r="RP70" s="104">
        <f t="shared" si="9"/>
        <v>1.4235021856518384</v>
      </c>
      <c r="RQ70" s="172"/>
    </row>
    <row r="71" spans="1:485" s="5" customFormat="1" ht="12.75" customHeight="1" x14ac:dyDescent="0.25">
      <c r="A71" s="61">
        <v>44981</v>
      </c>
      <c r="B71" s="112" t="s">
        <v>615</v>
      </c>
      <c r="C71" s="123"/>
      <c r="D71" s="123"/>
      <c r="E71" s="124"/>
      <c r="F71" s="124"/>
      <c r="G71" s="124"/>
      <c r="H71" s="124"/>
      <c r="I71" s="124"/>
      <c r="J71" s="124"/>
      <c r="K71" s="124"/>
      <c r="L71" s="124"/>
      <c r="M71" s="124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  <c r="AZ71" s="125"/>
      <c r="BA71" s="125"/>
      <c r="BB71" s="125"/>
      <c r="BC71" s="125"/>
      <c r="BD71" s="125"/>
      <c r="BE71" s="125"/>
      <c r="BF71" s="125"/>
      <c r="BG71" s="125"/>
      <c r="BH71" s="125"/>
      <c r="BI71" s="125"/>
      <c r="BJ71" s="125"/>
      <c r="BK71" s="125"/>
      <c r="BL71" s="125"/>
      <c r="BM71" s="125"/>
      <c r="BN71" s="125"/>
      <c r="BO71" s="125"/>
      <c r="BP71" s="125"/>
      <c r="BQ71" s="125"/>
      <c r="BR71" s="125"/>
      <c r="BS71" s="125"/>
      <c r="BT71" s="125"/>
      <c r="BU71" s="125"/>
      <c r="BV71" s="125"/>
      <c r="BW71" s="125"/>
      <c r="BX71" s="125"/>
      <c r="BY71" s="125"/>
      <c r="BZ71" s="125"/>
      <c r="CA71" s="125"/>
      <c r="CB71" s="125"/>
      <c r="CC71" s="125"/>
      <c r="CD71" s="125"/>
      <c r="CE71" s="125"/>
      <c r="CF71" s="125"/>
      <c r="CG71" s="125"/>
      <c r="CH71" s="125"/>
      <c r="CI71" s="125"/>
      <c r="CJ71" s="125"/>
      <c r="CK71" s="125"/>
      <c r="CL71" s="125"/>
      <c r="CM71" s="125"/>
      <c r="CN71" s="125"/>
      <c r="CO71" s="125"/>
      <c r="CP71" s="125"/>
      <c r="CQ71" s="125"/>
      <c r="CR71" s="125"/>
      <c r="CS71" s="125"/>
      <c r="CT71" s="125"/>
      <c r="CU71" s="125"/>
      <c r="CV71" s="125"/>
      <c r="CW71" s="125"/>
      <c r="CX71" s="125"/>
      <c r="CY71" s="125"/>
      <c r="CZ71" s="125"/>
      <c r="DA71" s="125"/>
      <c r="DB71" s="125"/>
      <c r="DC71" s="125"/>
      <c r="DD71" s="125"/>
      <c r="DE71" s="125"/>
      <c r="DF71" s="125"/>
      <c r="DG71" s="125"/>
      <c r="DH71" s="125"/>
      <c r="DI71" s="125"/>
      <c r="DJ71" s="125"/>
      <c r="DK71" s="125"/>
      <c r="DL71" s="125"/>
      <c r="DM71" s="125"/>
      <c r="DN71" s="125"/>
      <c r="DO71" s="125"/>
      <c r="DP71" s="125"/>
      <c r="DQ71" s="125"/>
      <c r="DR71" s="125"/>
      <c r="DS71" s="125"/>
      <c r="DT71" s="125"/>
      <c r="DU71" s="125"/>
      <c r="DV71" s="125"/>
      <c r="DW71" s="125"/>
      <c r="DX71" s="125"/>
      <c r="DY71" s="125"/>
      <c r="DZ71" s="125"/>
      <c r="EA71" s="125"/>
      <c r="EB71" s="125"/>
      <c r="EC71" s="125"/>
      <c r="ED71" s="125"/>
      <c r="EE71" s="125"/>
      <c r="EF71" s="125"/>
      <c r="EG71" s="125"/>
      <c r="EH71" s="125"/>
      <c r="EI71" s="125"/>
      <c r="EJ71" s="125"/>
      <c r="EK71" s="125"/>
      <c r="EL71" s="125"/>
      <c r="EM71" s="125"/>
      <c r="EN71" s="125"/>
      <c r="EO71" s="125"/>
      <c r="EP71" s="125"/>
      <c r="EQ71" s="125"/>
      <c r="ER71" s="125"/>
      <c r="ES71" s="125"/>
      <c r="ET71" s="125"/>
      <c r="EU71" s="125"/>
      <c r="EV71" s="125"/>
      <c r="EW71" s="125"/>
      <c r="EX71" s="125"/>
      <c r="EY71" s="125"/>
      <c r="EZ71" s="125"/>
      <c r="FA71" s="125"/>
      <c r="FB71" s="125"/>
      <c r="FC71" s="125"/>
      <c r="FD71" s="125"/>
      <c r="FE71" s="125"/>
      <c r="FF71" s="125"/>
      <c r="FG71" s="125"/>
      <c r="FH71" s="125"/>
      <c r="FI71" s="125"/>
      <c r="FJ71" s="125"/>
      <c r="FK71" s="125"/>
      <c r="FL71" s="125"/>
      <c r="FM71" s="125"/>
      <c r="FN71" s="125"/>
      <c r="FO71" s="125"/>
      <c r="FP71" s="125"/>
      <c r="FQ71" s="125"/>
      <c r="FR71" s="125"/>
      <c r="FS71" s="125"/>
      <c r="FT71" s="125"/>
      <c r="FU71" s="125"/>
      <c r="FV71" s="125"/>
      <c r="FW71" s="125"/>
      <c r="FX71" s="125"/>
      <c r="FY71" s="125"/>
      <c r="FZ71" s="125"/>
      <c r="GA71" s="125"/>
      <c r="GB71" s="125"/>
      <c r="GC71" s="125"/>
      <c r="GD71" s="125"/>
      <c r="GE71" s="125"/>
      <c r="GF71" s="125"/>
      <c r="GG71" s="125"/>
      <c r="GH71" s="125"/>
      <c r="GI71" s="125"/>
      <c r="GJ71" s="125"/>
      <c r="GK71" s="125"/>
      <c r="GL71" s="125"/>
      <c r="GM71" s="125"/>
      <c r="GN71" s="125"/>
      <c r="GO71" s="125"/>
      <c r="GP71" s="125"/>
      <c r="GQ71" s="125"/>
      <c r="GR71" s="125"/>
      <c r="GS71" s="125"/>
      <c r="GT71" s="125"/>
      <c r="GU71" s="125"/>
      <c r="GV71" s="125"/>
      <c r="GW71" s="125"/>
      <c r="GX71" s="125"/>
      <c r="GY71" s="125"/>
      <c r="GZ71" s="125"/>
      <c r="HA71" s="125"/>
      <c r="HB71" s="125"/>
      <c r="HC71" s="125"/>
      <c r="HD71" s="125"/>
      <c r="HE71" s="125"/>
      <c r="HF71" s="125"/>
      <c r="HG71" s="125"/>
      <c r="HH71" s="125"/>
      <c r="HI71" s="125"/>
      <c r="HJ71" s="125"/>
      <c r="HK71" s="125"/>
      <c r="HL71" s="125"/>
      <c r="HM71" s="125"/>
      <c r="HN71" s="125"/>
      <c r="HO71" s="125"/>
      <c r="HP71" s="125"/>
      <c r="HQ71" s="125"/>
      <c r="HR71" s="125"/>
      <c r="HS71" s="125"/>
      <c r="HT71" s="125"/>
      <c r="HU71" s="125"/>
      <c r="HV71" s="125"/>
      <c r="HW71" s="125"/>
      <c r="HX71" s="125"/>
      <c r="HY71" s="125"/>
      <c r="HZ71" s="125"/>
      <c r="IA71" s="125"/>
      <c r="IB71" s="125"/>
      <c r="IC71" s="125"/>
      <c r="ID71" s="125"/>
      <c r="IE71" s="125"/>
      <c r="IF71" s="125"/>
      <c r="IG71" s="125"/>
      <c r="IH71" s="125"/>
      <c r="II71" s="125"/>
      <c r="IJ71" s="125"/>
      <c r="IK71" s="125"/>
      <c r="IL71" s="125"/>
      <c r="IM71" s="125"/>
      <c r="IN71" s="125"/>
      <c r="IO71" s="125"/>
      <c r="IP71" s="125"/>
      <c r="IQ71" s="125"/>
      <c r="IR71" s="125"/>
      <c r="IS71" s="125"/>
      <c r="IT71" s="125"/>
      <c r="IU71" s="125"/>
      <c r="IV71" s="125"/>
      <c r="IW71" s="125"/>
      <c r="IX71" s="125"/>
      <c r="IY71" s="125"/>
      <c r="IZ71" s="125"/>
      <c r="JA71" s="125"/>
      <c r="JB71" s="125"/>
      <c r="JC71" s="125"/>
      <c r="JD71" s="125"/>
      <c r="JE71" s="125"/>
      <c r="JF71" s="125"/>
      <c r="JG71" s="125"/>
      <c r="JH71" s="125"/>
      <c r="JI71" s="125"/>
      <c r="JJ71" s="125"/>
      <c r="JK71" s="125"/>
      <c r="JL71" s="125"/>
      <c r="JM71" s="125"/>
      <c r="JN71" s="125"/>
      <c r="JO71" s="125"/>
      <c r="JP71" s="125"/>
      <c r="JQ71" s="125"/>
      <c r="JR71" s="125"/>
      <c r="JS71" s="125"/>
      <c r="JT71" s="125"/>
      <c r="JU71" s="125"/>
      <c r="JV71" s="125"/>
      <c r="JW71" s="125"/>
      <c r="JX71" s="125"/>
      <c r="JY71" s="125"/>
      <c r="JZ71" s="125"/>
      <c r="KA71" s="125"/>
      <c r="KB71" s="125"/>
      <c r="KC71" s="125"/>
      <c r="KD71" s="125"/>
      <c r="KE71" s="125"/>
      <c r="KF71" s="125"/>
      <c r="KG71" s="125"/>
      <c r="KH71" s="125"/>
      <c r="KI71" s="125"/>
      <c r="KJ71" s="125"/>
      <c r="KK71" s="125"/>
      <c r="KL71" s="125"/>
      <c r="KM71" s="125"/>
      <c r="KN71" s="125"/>
      <c r="KO71" s="125"/>
      <c r="KP71" s="125"/>
      <c r="KQ71" s="125"/>
      <c r="KR71" s="125"/>
      <c r="KS71" s="125"/>
      <c r="KT71" s="125"/>
      <c r="KU71" s="125"/>
      <c r="KV71" s="125"/>
      <c r="KW71" s="125"/>
      <c r="KX71" s="125"/>
      <c r="KY71" s="125"/>
      <c r="KZ71" s="125"/>
      <c r="LA71" s="125"/>
      <c r="LB71" s="125"/>
      <c r="LC71" s="125"/>
      <c r="LD71" s="125"/>
      <c r="LE71" s="125"/>
      <c r="LF71" s="125"/>
      <c r="LG71" s="125"/>
      <c r="LH71" s="125"/>
      <c r="LI71" s="125"/>
      <c r="LJ71" s="125"/>
      <c r="LK71" s="125"/>
      <c r="LL71" s="125"/>
      <c r="LM71" s="125"/>
      <c r="LN71" s="125"/>
      <c r="LO71" s="125"/>
      <c r="LP71" s="125"/>
      <c r="LQ71" s="125"/>
      <c r="LR71" s="125"/>
      <c r="LS71" s="125"/>
      <c r="LT71" s="125"/>
      <c r="LU71" s="125"/>
      <c r="LV71" s="125"/>
      <c r="LW71" s="125"/>
      <c r="LX71" s="125"/>
      <c r="LY71" s="125"/>
      <c r="LZ71" s="125"/>
      <c r="MA71" s="125"/>
      <c r="MB71" s="125"/>
      <c r="MC71" s="125"/>
      <c r="MD71" s="125"/>
      <c r="ME71" s="125"/>
      <c r="MF71" s="125"/>
      <c r="MG71" s="125"/>
      <c r="MH71" s="125"/>
      <c r="MI71" s="125"/>
      <c r="MJ71" s="125"/>
      <c r="MK71" s="125"/>
      <c r="ML71" s="125"/>
      <c r="MM71" s="125"/>
      <c r="MN71" s="125"/>
      <c r="MO71" s="125"/>
      <c r="MP71" s="125"/>
      <c r="MQ71" s="125"/>
      <c r="MR71" s="125"/>
      <c r="MS71" s="125"/>
      <c r="MT71" s="125"/>
      <c r="MU71" s="125"/>
      <c r="MV71" s="125"/>
      <c r="MW71" s="125"/>
      <c r="MX71" s="125"/>
      <c r="MY71" s="125"/>
      <c r="MZ71" s="125"/>
      <c r="NA71" s="125"/>
      <c r="NB71" s="125"/>
      <c r="NC71" s="125"/>
      <c r="ND71" s="125"/>
      <c r="NE71" s="125"/>
      <c r="NF71" s="125"/>
      <c r="NG71" s="125"/>
      <c r="NH71" s="125"/>
      <c r="NI71" s="125"/>
      <c r="NJ71" s="125"/>
      <c r="NK71" s="125"/>
      <c r="NL71" s="125"/>
      <c r="NM71" s="125"/>
      <c r="NN71" s="125"/>
      <c r="NO71" s="125"/>
      <c r="NP71" s="125"/>
      <c r="NQ71" s="125"/>
      <c r="NR71" s="125"/>
      <c r="NS71" s="125"/>
      <c r="NT71" s="125"/>
      <c r="NU71" s="125"/>
      <c r="NV71" s="125"/>
      <c r="NW71" s="125"/>
      <c r="NX71" s="125"/>
      <c r="NY71" s="125"/>
      <c r="NZ71" s="125"/>
      <c r="OA71" s="125"/>
      <c r="OB71" s="125"/>
      <c r="OC71" s="125"/>
      <c r="OD71" s="125"/>
      <c r="OE71" s="125"/>
      <c r="OF71" s="125"/>
      <c r="OG71" s="125"/>
      <c r="OH71" s="125">
        <v>2</v>
      </c>
      <c r="OI71" s="125"/>
      <c r="OJ71" s="125"/>
      <c r="OK71" s="125"/>
      <c r="OL71" s="125"/>
      <c r="OM71" s="125"/>
      <c r="ON71" s="125"/>
      <c r="OO71" s="125"/>
      <c r="OP71" s="125"/>
      <c r="OQ71" s="125"/>
      <c r="OR71" s="125"/>
      <c r="OS71" s="125"/>
      <c r="OT71" s="125"/>
      <c r="OU71" s="125"/>
      <c r="OV71" s="125"/>
      <c r="OW71" s="125">
        <v>2</v>
      </c>
      <c r="OX71" s="125"/>
      <c r="OY71" s="125"/>
      <c r="OZ71" s="125"/>
      <c r="PA71" s="125"/>
      <c r="PB71" s="125"/>
      <c r="PC71" s="125"/>
      <c r="PD71" s="125"/>
      <c r="PE71" s="125"/>
      <c r="PF71" s="125"/>
      <c r="PG71" s="125"/>
      <c r="PH71" s="125"/>
      <c r="PI71" s="125"/>
      <c r="PJ71" s="125"/>
      <c r="PK71" s="125"/>
      <c r="PL71" s="125"/>
      <c r="PM71" s="125"/>
      <c r="PN71" s="125"/>
      <c r="PO71" s="125"/>
      <c r="PP71" s="125">
        <v>2</v>
      </c>
      <c r="PQ71" s="125"/>
      <c r="PR71" s="125"/>
      <c r="PS71" s="125"/>
      <c r="PT71" s="125"/>
      <c r="PU71" s="125"/>
      <c r="PV71" s="125"/>
      <c r="PW71" s="125"/>
      <c r="PX71" s="125"/>
      <c r="PY71" s="125"/>
      <c r="PZ71" s="125"/>
      <c r="QA71" s="125"/>
      <c r="QB71" s="125"/>
      <c r="QC71" s="125"/>
      <c r="QD71" s="125"/>
      <c r="QE71" s="125"/>
      <c r="QF71" s="125"/>
      <c r="QG71" s="125"/>
      <c r="QH71" s="125"/>
      <c r="QI71" s="125"/>
      <c r="QJ71" s="125"/>
      <c r="QK71" s="125"/>
      <c r="QL71" s="125"/>
      <c r="QM71" s="125"/>
      <c r="QN71" s="125"/>
      <c r="QO71" s="125"/>
      <c r="QP71" s="125"/>
      <c r="QQ71" s="125"/>
      <c r="QR71" s="125"/>
      <c r="QS71" s="125"/>
      <c r="QT71" s="125"/>
      <c r="QU71" s="125"/>
      <c r="QV71" s="125"/>
      <c r="QW71" s="125"/>
      <c r="QX71" s="125"/>
      <c r="QY71" s="125"/>
      <c r="QZ71" s="125"/>
      <c r="RA71" s="125"/>
      <c r="RB71" s="125"/>
      <c r="RC71" s="125"/>
      <c r="RD71" s="125"/>
      <c r="RE71" s="125"/>
      <c r="RF71" s="125"/>
      <c r="RG71" s="24">
        <f t="shared" si="7"/>
        <v>6</v>
      </c>
      <c r="RH71" s="60" t="s">
        <v>69</v>
      </c>
      <c r="RI71" s="121">
        <v>704.4</v>
      </c>
      <c r="RJ71" s="77">
        <f>RM71+RN71</f>
        <v>704.4</v>
      </c>
      <c r="RK71" s="77">
        <v>563.98</v>
      </c>
      <c r="RL71" s="121">
        <f t="shared" si="8"/>
        <v>0</v>
      </c>
      <c r="RM71" s="145"/>
      <c r="RN71" s="145">
        <v>704.4</v>
      </c>
      <c r="RO71" s="145"/>
      <c r="RP71" s="104">
        <f t="shared" si="9"/>
        <v>1.2489804603000105</v>
      </c>
      <c r="RQ71" s="172"/>
    </row>
    <row r="72" spans="1:485" s="5" customFormat="1" ht="12.75" customHeight="1" x14ac:dyDescent="0.25">
      <c r="A72" s="61">
        <v>44984</v>
      </c>
      <c r="B72" s="112" t="s">
        <v>592</v>
      </c>
      <c r="C72" s="123"/>
      <c r="D72" s="123"/>
      <c r="E72" s="124"/>
      <c r="F72" s="124"/>
      <c r="G72" s="124"/>
      <c r="H72" s="124"/>
      <c r="I72" s="124"/>
      <c r="J72" s="124"/>
      <c r="K72" s="124"/>
      <c r="L72" s="124"/>
      <c r="M72" s="124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  <c r="CY72" s="125"/>
      <c r="CZ72" s="125"/>
      <c r="DA72" s="125"/>
      <c r="DB72" s="125"/>
      <c r="DC72" s="125"/>
      <c r="DD72" s="125"/>
      <c r="DE72" s="125"/>
      <c r="DF72" s="125"/>
      <c r="DG72" s="125"/>
      <c r="DH72" s="125"/>
      <c r="DI72" s="125"/>
      <c r="DJ72" s="125"/>
      <c r="DK72" s="125"/>
      <c r="DL72" s="125"/>
      <c r="DM72" s="125"/>
      <c r="DN72" s="125"/>
      <c r="DO72" s="125"/>
      <c r="DP72" s="125"/>
      <c r="DQ72" s="125"/>
      <c r="DR72" s="125"/>
      <c r="DS72" s="125"/>
      <c r="DT72" s="125"/>
      <c r="DU72" s="125"/>
      <c r="DV72" s="125"/>
      <c r="DW72" s="125"/>
      <c r="DX72" s="125"/>
      <c r="DY72" s="125"/>
      <c r="DZ72" s="125"/>
      <c r="EA72" s="125"/>
      <c r="EB72" s="125"/>
      <c r="EC72" s="125"/>
      <c r="ED72" s="125"/>
      <c r="EE72" s="125"/>
      <c r="EF72" s="125"/>
      <c r="EG72" s="125"/>
      <c r="EH72" s="125"/>
      <c r="EI72" s="125"/>
      <c r="EJ72" s="125"/>
      <c r="EK72" s="125"/>
      <c r="EL72" s="125"/>
      <c r="EM72" s="125"/>
      <c r="EN72" s="125"/>
      <c r="EO72" s="125"/>
      <c r="EP72" s="125"/>
      <c r="EQ72" s="125"/>
      <c r="ER72" s="125"/>
      <c r="ES72" s="125"/>
      <c r="ET72" s="125"/>
      <c r="EU72" s="125"/>
      <c r="EV72" s="125"/>
      <c r="EW72" s="125"/>
      <c r="EX72" s="125"/>
      <c r="EY72" s="125"/>
      <c r="EZ72" s="125"/>
      <c r="FA72" s="125"/>
      <c r="FB72" s="125"/>
      <c r="FC72" s="125"/>
      <c r="FD72" s="125"/>
      <c r="FE72" s="125"/>
      <c r="FF72" s="125"/>
      <c r="FG72" s="125"/>
      <c r="FH72" s="125"/>
      <c r="FI72" s="125"/>
      <c r="FJ72" s="125"/>
      <c r="FK72" s="125"/>
      <c r="FL72" s="125"/>
      <c r="FM72" s="125"/>
      <c r="FN72" s="125"/>
      <c r="FO72" s="125"/>
      <c r="FP72" s="125"/>
      <c r="FQ72" s="125"/>
      <c r="FR72" s="125"/>
      <c r="FS72" s="125"/>
      <c r="FT72" s="125"/>
      <c r="FU72" s="125"/>
      <c r="FV72" s="125"/>
      <c r="FW72" s="125"/>
      <c r="FX72" s="125"/>
      <c r="FY72" s="125"/>
      <c r="FZ72" s="125"/>
      <c r="GA72" s="125"/>
      <c r="GB72" s="125"/>
      <c r="GC72" s="125"/>
      <c r="GD72" s="125"/>
      <c r="GE72" s="125"/>
      <c r="GF72" s="125"/>
      <c r="GG72" s="125"/>
      <c r="GH72" s="125"/>
      <c r="GI72" s="125"/>
      <c r="GJ72" s="125"/>
      <c r="GK72" s="125"/>
      <c r="GL72" s="125"/>
      <c r="GM72" s="125"/>
      <c r="GN72" s="125"/>
      <c r="GO72" s="125"/>
      <c r="GP72" s="125"/>
      <c r="GQ72" s="125"/>
      <c r="GR72" s="125"/>
      <c r="GS72" s="125"/>
      <c r="GT72" s="125"/>
      <c r="GU72" s="125"/>
      <c r="GV72" s="125"/>
      <c r="GW72" s="125"/>
      <c r="GX72" s="125"/>
      <c r="GY72" s="125"/>
      <c r="GZ72" s="125"/>
      <c r="HA72" s="125"/>
      <c r="HB72" s="125"/>
      <c r="HC72" s="125"/>
      <c r="HD72" s="125"/>
      <c r="HE72" s="125"/>
      <c r="HF72" s="125"/>
      <c r="HG72" s="125"/>
      <c r="HH72" s="125"/>
      <c r="HI72" s="125"/>
      <c r="HJ72" s="125"/>
      <c r="HK72" s="125"/>
      <c r="HL72" s="125"/>
      <c r="HM72" s="125"/>
      <c r="HN72" s="125"/>
      <c r="HO72" s="125"/>
      <c r="HP72" s="125"/>
      <c r="HQ72" s="125"/>
      <c r="HR72" s="125"/>
      <c r="HS72" s="125"/>
      <c r="HT72" s="125"/>
      <c r="HU72" s="125"/>
      <c r="HV72" s="125"/>
      <c r="HW72" s="125"/>
      <c r="HX72" s="125"/>
      <c r="HY72" s="125"/>
      <c r="HZ72" s="125"/>
      <c r="IA72" s="125"/>
      <c r="IB72" s="125"/>
      <c r="IC72" s="125"/>
      <c r="ID72" s="125"/>
      <c r="IE72" s="125"/>
      <c r="IF72" s="125"/>
      <c r="IG72" s="125"/>
      <c r="IH72" s="125"/>
      <c r="II72" s="125"/>
      <c r="IJ72" s="125"/>
      <c r="IK72" s="125"/>
      <c r="IL72" s="125"/>
      <c r="IM72" s="125"/>
      <c r="IN72" s="125"/>
      <c r="IO72" s="125"/>
      <c r="IP72" s="125"/>
      <c r="IQ72" s="125"/>
      <c r="IR72" s="125"/>
      <c r="IS72" s="125"/>
      <c r="IT72" s="125"/>
      <c r="IU72" s="125"/>
      <c r="IV72" s="125"/>
      <c r="IW72" s="125"/>
      <c r="IX72" s="125"/>
      <c r="IY72" s="125"/>
      <c r="IZ72" s="125"/>
      <c r="JA72" s="125"/>
      <c r="JB72" s="125">
        <v>10</v>
      </c>
      <c r="JC72" s="125"/>
      <c r="JD72" s="125"/>
      <c r="JE72" s="125"/>
      <c r="JF72" s="125"/>
      <c r="JG72" s="125"/>
      <c r="JH72" s="125"/>
      <c r="JI72" s="125"/>
      <c r="JJ72" s="125"/>
      <c r="JK72" s="125"/>
      <c r="JL72" s="125"/>
      <c r="JM72" s="125"/>
      <c r="JN72" s="125"/>
      <c r="JO72" s="125"/>
      <c r="JP72" s="125"/>
      <c r="JQ72" s="125"/>
      <c r="JR72" s="125"/>
      <c r="JS72" s="125"/>
      <c r="JT72" s="125"/>
      <c r="JU72" s="125"/>
      <c r="JV72" s="125"/>
      <c r="JW72" s="125"/>
      <c r="JX72" s="125"/>
      <c r="JY72" s="125"/>
      <c r="JZ72" s="125"/>
      <c r="KA72" s="125"/>
      <c r="KB72" s="125"/>
      <c r="KC72" s="125"/>
      <c r="KD72" s="125"/>
      <c r="KE72" s="125"/>
      <c r="KF72" s="125"/>
      <c r="KG72" s="125"/>
      <c r="KH72" s="125"/>
      <c r="KI72" s="125"/>
      <c r="KJ72" s="125"/>
      <c r="KK72" s="125"/>
      <c r="KL72" s="125"/>
      <c r="KM72" s="125"/>
      <c r="KN72" s="125"/>
      <c r="KO72" s="125"/>
      <c r="KP72" s="125"/>
      <c r="KQ72" s="125"/>
      <c r="KR72" s="125"/>
      <c r="KS72" s="125"/>
      <c r="KT72" s="125"/>
      <c r="KU72" s="125"/>
      <c r="KV72" s="125"/>
      <c r="KW72" s="125"/>
      <c r="KX72" s="125"/>
      <c r="KY72" s="125"/>
      <c r="KZ72" s="125"/>
      <c r="LA72" s="125"/>
      <c r="LB72" s="125"/>
      <c r="LC72" s="125"/>
      <c r="LD72" s="125"/>
      <c r="LE72" s="125"/>
      <c r="LF72" s="125"/>
      <c r="LG72" s="125"/>
      <c r="LH72" s="125"/>
      <c r="LI72" s="125"/>
      <c r="LJ72" s="125"/>
      <c r="LK72" s="125"/>
      <c r="LL72" s="125"/>
      <c r="LM72" s="125"/>
      <c r="LN72" s="125"/>
      <c r="LO72" s="125"/>
      <c r="LP72" s="125"/>
      <c r="LQ72" s="125"/>
      <c r="LR72" s="125"/>
      <c r="LS72" s="125"/>
      <c r="LT72" s="125"/>
      <c r="LU72" s="125"/>
      <c r="LV72" s="125"/>
      <c r="LW72" s="125"/>
      <c r="LX72" s="125"/>
      <c r="LY72" s="125"/>
      <c r="LZ72" s="125"/>
      <c r="MA72" s="125"/>
      <c r="MB72" s="125"/>
      <c r="MC72" s="125"/>
      <c r="MD72" s="125"/>
      <c r="ME72" s="125"/>
      <c r="MF72" s="125"/>
      <c r="MG72" s="125"/>
      <c r="MH72" s="125"/>
      <c r="MI72" s="125"/>
      <c r="MJ72" s="125"/>
      <c r="MK72" s="125"/>
      <c r="ML72" s="125"/>
      <c r="MM72" s="125"/>
      <c r="MN72" s="125"/>
      <c r="MO72" s="125"/>
      <c r="MP72" s="125"/>
      <c r="MQ72" s="125"/>
      <c r="MR72" s="125"/>
      <c r="MS72" s="125"/>
      <c r="MT72" s="125"/>
      <c r="MU72" s="125"/>
      <c r="MV72" s="125"/>
      <c r="MW72" s="125"/>
      <c r="MX72" s="125"/>
      <c r="MY72" s="125"/>
      <c r="MZ72" s="125"/>
      <c r="NA72" s="125"/>
      <c r="NB72" s="125"/>
      <c r="NC72" s="125"/>
      <c r="ND72" s="125"/>
      <c r="NE72" s="125"/>
      <c r="NF72" s="125"/>
      <c r="NG72" s="125"/>
      <c r="NH72" s="125"/>
      <c r="NI72" s="125"/>
      <c r="NJ72" s="125"/>
      <c r="NK72" s="125"/>
      <c r="NL72" s="125"/>
      <c r="NM72" s="125"/>
      <c r="NN72" s="125"/>
      <c r="NO72" s="125"/>
      <c r="NP72" s="125"/>
      <c r="NQ72" s="125"/>
      <c r="NR72" s="125"/>
      <c r="NS72" s="125"/>
      <c r="NT72" s="125"/>
      <c r="NU72" s="125"/>
      <c r="NV72" s="125"/>
      <c r="NW72" s="125"/>
      <c r="NX72" s="125"/>
      <c r="NY72" s="125"/>
      <c r="NZ72" s="125"/>
      <c r="OA72" s="125"/>
      <c r="OB72" s="125"/>
      <c r="OC72" s="125"/>
      <c r="OD72" s="125"/>
      <c r="OE72" s="125"/>
      <c r="OF72" s="125"/>
      <c r="OG72" s="125"/>
      <c r="OH72" s="125"/>
      <c r="OI72" s="125"/>
      <c r="OJ72" s="125"/>
      <c r="OK72" s="125"/>
      <c r="OL72" s="125"/>
      <c r="OM72" s="125"/>
      <c r="ON72" s="125"/>
      <c r="OO72" s="125"/>
      <c r="OP72" s="125"/>
      <c r="OQ72" s="125"/>
      <c r="OR72" s="125"/>
      <c r="OS72" s="125"/>
      <c r="OT72" s="125"/>
      <c r="OU72" s="125"/>
      <c r="OV72" s="125"/>
      <c r="OW72" s="125"/>
      <c r="OX72" s="125"/>
      <c r="OY72" s="125"/>
      <c r="OZ72" s="125"/>
      <c r="PA72" s="125"/>
      <c r="PB72" s="125"/>
      <c r="PC72" s="125"/>
      <c r="PD72" s="125"/>
      <c r="PE72" s="125"/>
      <c r="PF72" s="125"/>
      <c r="PG72" s="125"/>
      <c r="PH72" s="125"/>
      <c r="PI72" s="125"/>
      <c r="PJ72" s="125"/>
      <c r="PK72" s="125"/>
      <c r="PL72" s="125"/>
      <c r="PM72" s="125"/>
      <c r="PN72" s="125"/>
      <c r="PO72" s="125"/>
      <c r="PP72" s="125"/>
      <c r="PQ72" s="125"/>
      <c r="PR72" s="125"/>
      <c r="PS72" s="125"/>
      <c r="PT72" s="125"/>
      <c r="PU72" s="125"/>
      <c r="PV72" s="125"/>
      <c r="PW72" s="125"/>
      <c r="PX72" s="125"/>
      <c r="PY72" s="125"/>
      <c r="PZ72" s="125"/>
      <c r="QA72" s="125"/>
      <c r="QB72" s="125"/>
      <c r="QC72" s="125"/>
      <c r="QD72" s="125"/>
      <c r="QE72" s="125"/>
      <c r="QF72" s="125"/>
      <c r="QG72" s="125"/>
      <c r="QH72" s="125"/>
      <c r="QI72" s="125"/>
      <c r="QJ72" s="125"/>
      <c r="QK72" s="125"/>
      <c r="QL72" s="125"/>
      <c r="QM72" s="125"/>
      <c r="QN72" s="125"/>
      <c r="QO72" s="125"/>
      <c r="QP72" s="125"/>
      <c r="QQ72" s="125"/>
      <c r="QR72" s="125"/>
      <c r="QS72" s="125"/>
      <c r="QT72" s="125"/>
      <c r="QU72" s="125"/>
      <c r="QV72" s="125"/>
      <c r="QW72" s="125"/>
      <c r="QX72" s="125"/>
      <c r="QY72" s="125"/>
      <c r="QZ72" s="125"/>
      <c r="RA72" s="125"/>
      <c r="RB72" s="125"/>
      <c r="RC72" s="125"/>
      <c r="RD72" s="125"/>
      <c r="RE72" s="125"/>
      <c r="RF72" s="125"/>
      <c r="RG72" s="24">
        <f t="shared" si="7"/>
        <v>10</v>
      </c>
      <c r="RH72" s="60" t="s">
        <v>69</v>
      </c>
      <c r="RI72" s="121">
        <v>631.20000000000005</v>
      </c>
      <c r="RJ72" s="77">
        <f>RM72+RN72</f>
        <v>631.20000000000005</v>
      </c>
      <c r="RK72" s="77">
        <v>351.8</v>
      </c>
      <c r="RL72" s="121">
        <f t="shared" si="8"/>
        <v>0</v>
      </c>
      <c r="RM72" s="145"/>
      <c r="RN72" s="145">
        <v>631.20000000000005</v>
      </c>
      <c r="RO72" s="145"/>
      <c r="RP72" s="104">
        <f t="shared" si="9"/>
        <v>1.7942012507106311</v>
      </c>
      <c r="RQ72" s="172"/>
    </row>
    <row r="73" spans="1:485" s="5" customFormat="1" ht="12.75" customHeight="1" x14ac:dyDescent="0.25">
      <c r="A73" s="61">
        <v>44984</v>
      </c>
      <c r="B73" s="112" t="s">
        <v>283</v>
      </c>
      <c r="C73" s="123"/>
      <c r="D73" s="123"/>
      <c r="E73" s="124"/>
      <c r="F73" s="124"/>
      <c r="G73" s="124"/>
      <c r="H73" s="124"/>
      <c r="I73" s="124"/>
      <c r="J73" s="124"/>
      <c r="K73" s="124"/>
      <c r="L73" s="124"/>
      <c r="M73" s="124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  <c r="CY73" s="125"/>
      <c r="CZ73" s="125"/>
      <c r="DA73" s="125"/>
      <c r="DB73" s="125"/>
      <c r="DC73" s="125"/>
      <c r="DD73" s="125"/>
      <c r="DE73" s="125"/>
      <c r="DF73" s="125"/>
      <c r="DG73" s="125"/>
      <c r="DH73" s="125"/>
      <c r="DI73" s="125"/>
      <c r="DJ73" s="125"/>
      <c r="DK73" s="125"/>
      <c r="DL73" s="125"/>
      <c r="DM73" s="125"/>
      <c r="DN73" s="125"/>
      <c r="DO73" s="125"/>
      <c r="DP73" s="125"/>
      <c r="DQ73" s="125"/>
      <c r="DR73" s="125"/>
      <c r="DS73" s="125"/>
      <c r="DT73" s="125"/>
      <c r="DU73" s="125"/>
      <c r="DV73" s="125"/>
      <c r="DW73" s="125"/>
      <c r="DX73" s="125"/>
      <c r="DY73" s="125"/>
      <c r="DZ73" s="125"/>
      <c r="EA73" s="125">
        <v>20</v>
      </c>
      <c r="EB73" s="125"/>
      <c r="EC73" s="125"/>
      <c r="ED73" s="125"/>
      <c r="EE73" s="125"/>
      <c r="EF73" s="125"/>
      <c r="EG73" s="125"/>
      <c r="EH73" s="125"/>
      <c r="EI73" s="125"/>
      <c r="EJ73" s="125"/>
      <c r="EK73" s="125"/>
      <c r="EL73" s="125"/>
      <c r="EM73" s="125"/>
      <c r="EN73" s="125"/>
      <c r="EO73" s="125"/>
      <c r="EP73" s="125"/>
      <c r="EQ73" s="125"/>
      <c r="ER73" s="125"/>
      <c r="ES73" s="125"/>
      <c r="ET73" s="125"/>
      <c r="EU73" s="125"/>
      <c r="EV73" s="125"/>
      <c r="EW73" s="125"/>
      <c r="EX73" s="125"/>
      <c r="EY73" s="125"/>
      <c r="EZ73" s="125"/>
      <c r="FA73" s="125"/>
      <c r="FB73" s="125"/>
      <c r="FC73" s="125"/>
      <c r="FD73" s="125"/>
      <c r="FE73" s="125"/>
      <c r="FF73" s="125"/>
      <c r="FG73" s="125"/>
      <c r="FH73" s="125"/>
      <c r="FI73" s="125"/>
      <c r="FJ73" s="125"/>
      <c r="FK73" s="125"/>
      <c r="FL73" s="125"/>
      <c r="FM73" s="125"/>
      <c r="FN73" s="125"/>
      <c r="FO73" s="125"/>
      <c r="FP73" s="125"/>
      <c r="FQ73" s="125"/>
      <c r="FR73" s="125"/>
      <c r="FS73" s="125"/>
      <c r="FT73" s="125"/>
      <c r="FU73" s="125"/>
      <c r="FV73" s="125"/>
      <c r="FW73" s="125"/>
      <c r="FX73" s="125"/>
      <c r="FY73" s="125"/>
      <c r="FZ73" s="125"/>
      <c r="GA73" s="125"/>
      <c r="GB73" s="125"/>
      <c r="GC73" s="125"/>
      <c r="GD73" s="125"/>
      <c r="GE73" s="125"/>
      <c r="GF73" s="125"/>
      <c r="GG73" s="125"/>
      <c r="GH73" s="125"/>
      <c r="GI73" s="125"/>
      <c r="GJ73" s="125"/>
      <c r="GK73" s="125"/>
      <c r="GL73" s="125"/>
      <c r="GM73" s="125"/>
      <c r="GN73" s="125"/>
      <c r="GO73" s="125"/>
      <c r="GP73" s="125"/>
      <c r="GQ73" s="125"/>
      <c r="GR73" s="125"/>
      <c r="GS73" s="125"/>
      <c r="GT73" s="125"/>
      <c r="GU73" s="125"/>
      <c r="GV73" s="125"/>
      <c r="GW73" s="125"/>
      <c r="GX73" s="125"/>
      <c r="GY73" s="125"/>
      <c r="GZ73" s="125"/>
      <c r="HA73" s="125"/>
      <c r="HB73" s="125"/>
      <c r="HC73" s="125"/>
      <c r="HD73" s="125"/>
      <c r="HE73" s="125"/>
      <c r="HF73" s="125"/>
      <c r="HG73" s="125"/>
      <c r="HH73" s="125"/>
      <c r="HI73" s="125"/>
      <c r="HJ73" s="125"/>
      <c r="HK73" s="125"/>
      <c r="HL73" s="125"/>
      <c r="HM73" s="125"/>
      <c r="HN73" s="125"/>
      <c r="HO73" s="125"/>
      <c r="HP73" s="125"/>
      <c r="HQ73" s="125"/>
      <c r="HR73" s="125"/>
      <c r="HS73" s="125"/>
      <c r="HT73" s="125"/>
      <c r="HU73" s="125"/>
      <c r="HV73" s="125"/>
      <c r="HW73" s="125"/>
      <c r="HX73" s="125"/>
      <c r="HY73" s="125"/>
      <c r="HZ73" s="125"/>
      <c r="IA73" s="125"/>
      <c r="IB73" s="125"/>
      <c r="IC73" s="125"/>
      <c r="ID73" s="125"/>
      <c r="IE73" s="125"/>
      <c r="IF73" s="125"/>
      <c r="IG73" s="125"/>
      <c r="IH73" s="125"/>
      <c r="II73" s="125"/>
      <c r="IJ73" s="125"/>
      <c r="IK73" s="125"/>
      <c r="IL73" s="125"/>
      <c r="IM73" s="125"/>
      <c r="IN73" s="125"/>
      <c r="IO73" s="125"/>
      <c r="IP73" s="125"/>
      <c r="IQ73" s="125"/>
      <c r="IR73" s="125"/>
      <c r="IS73" s="125"/>
      <c r="IT73" s="125"/>
      <c r="IU73" s="125"/>
      <c r="IV73" s="125"/>
      <c r="IW73" s="125"/>
      <c r="IX73" s="125"/>
      <c r="IY73" s="125"/>
      <c r="IZ73" s="125"/>
      <c r="JA73" s="125"/>
      <c r="JB73" s="125"/>
      <c r="JC73" s="125"/>
      <c r="JD73" s="125"/>
      <c r="JE73" s="125"/>
      <c r="JF73" s="125"/>
      <c r="JG73" s="125"/>
      <c r="JH73" s="125"/>
      <c r="JI73" s="125"/>
      <c r="JJ73" s="125"/>
      <c r="JK73" s="125"/>
      <c r="JL73" s="125"/>
      <c r="JM73" s="125"/>
      <c r="JN73" s="125"/>
      <c r="JO73" s="125"/>
      <c r="JP73" s="125"/>
      <c r="JQ73" s="125"/>
      <c r="JR73" s="125"/>
      <c r="JS73" s="125"/>
      <c r="JT73" s="125"/>
      <c r="JU73" s="125"/>
      <c r="JV73" s="125"/>
      <c r="JW73" s="125"/>
      <c r="JX73" s="125"/>
      <c r="JY73" s="125"/>
      <c r="JZ73" s="125"/>
      <c r="KA73" s="125"/>
      <c r="KB73" s="125"/>
      <c r="KC73" s="125"/>
      <c r="KD73" s="125"/>
      <c r="KE73" s="125"/>
      <c r="KF73" s="125"/>
      <c r="KG73" s="125"/>
      <c r="KH73" s="125"/>
      <c r="KI73" s="125"/>
      <c r="KJ73" s="125"/>
      <c r="KK73" s="125"/>
      <c r="KL73" s="125"/>
      <c r="KM73" s="125"/>
      <c r="KN73" s="125"/>
      <c r="KO73" s="125">
        <v>10</v>
      </c>
      <c r="KP73" s="125"/>
      <c r="KQ73" s="125"/>
      <c r="KR73" s="125"/>
      <c r="KS73" s="125"/>
      <c r="KT73" s="125"/>
      <c r="KU73" s="125"/>
      <c r="KV73" s="125"/>
      <c r="KW73" s="125"/>
      <c r="KX73" s="125"/>
      <c r="KY73" s="125"/>
      <c r="KZ73" s="125"/>
      <c r="LA73" s="125"/>
      <c r="LB73" s="125"/>
      <c r="LC73" s="125"/>
      <c r="LD73" s="125"/>
      <c r="LE73" s="125"/>
      <c r="LF73" s="125"/>
      <c r="LG73" s="125"/>
      <c r="LH73" s="125"/>
      <c r="LI73" s="125"/>
      <c r="LJ73" s="125"/>
      <c r="LK73" s="125"/>
      <c r="LL73" s="125"/>
      <c r="LM73" s="125"/>
      <c r="LN73" s="125"/>
      <c r="LO73" s="125"/>
      <c r="LP73" s="125"/>
      <c r="LQ73" s="125"/>
      <c r="LR73" s="125"/>
      <c r="LS73" s="125"/>
      <c r="LT73" s="125"/>
      <c r="LU73" s="125"/>
      <c r="LV73" s="125"/>
      <c r="LW73" s="125"/>
      <c r="LX73" s="125"/>
      <c r="LY73" s="125"/>
      <c r="LZ73" s="125"/>
      <c r="MA73" s="125"/>
      <c r="MB73" s="125"/>
      <c r="MC73" s="125"/>
      <c r="MD73" s="125"/>
      <c r="ME73" s="125"/>
      <c r="MF73" s="125"/>
      <c r="MG73" s="125"/>
      <c r="MH73" s="125"/>
      <c r="MI73" s="125"/>
      <c r="MJ73" s="125"/>
      <c r="MK73" s="125"/>
      <c r="ML73" s="125"/>
      <c r="MM73" s="125"/>
      <c r="MN73" s="125"/>
      <c r="MO73" s="125"/>
      <c r="MP73" s="125"/>
      <c r="MQ73" s="125"/>
      <c r="MR73" s="125"/>
      <c r="MS73" s="125"/>
      <c r="MT73" s="125"/>
      <c r="MU73" s="125"/>
      <c r="MV73" s="125"/>
      <c r="MW73" s="125"/>
      <c r="MX73" s="125"/>
      <c r="MY73" s="125"/>
      <c r="MZ73" s="125"/>
      <c r="NA73" s="125"/>
      <c r="NB73" s="125"/>
      <c r="NC73" s="125"/>
      <c r="ND73" s="125"/>
      <c r="NE73" s="125"/>
      <c r="NF73" s="125"/>
      <c r="NG73" s="125"/>
      <c r="NH73" s="125"/>
      <c r="NI73" s="125"/>
      <c r="NJ73" s="125"/>
      <c r="NK73" s="125"/>
      <c r="NL73" s="125"/>
      <c r="NM73" s="125"/>
      <c r="NN73" s="125"/>
      <c r="NO73" s="125"/>
      <c r="NP73" s="125"/>
      <c r="NQ73" s="125"/>
      <c r="NR73" s="125"/>
      <c r="NS73" s="125"/>
      <c r="NT73" s="125"/>
      <c r="NU73" s="125"/>
      <c r="NV73" s="125"/>
      <c r="NW73" s="125"/>
      <c r="NX73" s="125"/>
      <c r="NY73" s="125"/>
      <c r="NZ73" s="125"/>
      <c r="OA73" s="125"/>
      <c r="OB73" s="125"/>
      <c r="OC73" s="125"/>
      <c r="OD73" s="125"/>
      <c r="OE73" s="125"/>
      <c r="OF73" s="125"/>
      <c r="OG73" s="125"/>
      <c r="OH73" s="125"/>
      <c r="OI73" s="125"/>
      <c r="OJ73" s="125"/>
      <c r="OK73" s="125"/>
      <c r="OL73" s="125"/>
      <c r="OM73" s="125"/>
      <c r="ON73" s="125"/>
      <c r="OO73" s="125"/>
      <c r="OP73" s="125"/>
      <c r="OQ73" s="125"/>
      <c r="OR73" s="125"/>
      <c r="OS73" s="125"/>
      <c r="OT73" s="125"/>
      <c r="OU73" s="125"/>
      <c r="OV73" s="125"/>
      <c r="OW73" s="125"/>
      <c r="OX73" s="125"/>
      <c r="OY73" s="125"/>
      <c r="OZ73" s="125"/>
      <c r="PA73" s="125"/>
      <c r="PB73" s="125"/>
      <c r="PC73" s="125"/>
      <c r="PD73" s="125"/>
      <c r="PE73" s="125"/>
      <c r="PF73" s="125"/>
      <c r="PG73" s="125"/>
      <c r="PH73" s="125"/>
      <c r="PI73" s="125"/>
      <c r="PJ73" s="125"/>
      <c r="PK73" s="125"/>
      <c r="PL73" s="125"/>
      <c r="PM73" s="125"/>
      <c r="PN73" s="125"/>
      <c r="PO73" s="125"/>
      <c r="PP73" s="125"/>
      <c r="PQ73" s="125"/>
      <c r="PR73" s="125"/>
      <c r="PS73" s="125"/>
      <c r="PT73" s="125"/>
      <c r="PU73" s="125"/>
      <c r="PV73" s="125"/>
      <c r="PW73" s="125"/>
      <c r="PX73" s="125"/>
      <c r="PY73" s="125"/>
      <c r="PZ73" s="125"/>
      <c r="QA73" s="125"/>
      <c r="QB73" s="125"/>
      <c r="QC73" s="125"/>
      <c r="QD73" s="125"/>
      <c r="QE73" s="125"/>
      <c r="QF73" s="125"/>
      <c r="QG73" s="125"/>
      <c r="QH73" s="125"/>
      <c r="QI73" s="125"/>
      <c r="QJ73" s="125"/>
      <c r="QK73" s="125"/>
      <c r="QL73" s="125"/>
      <c r="QM73" s="125"/>
      <c r="QN73" s="125"/>
      <c r="QO73" s="125"/>
      <c r="QP73" s="125"/>
      <c r="QQ73" s="125"/>
      <c r="QR73" s="125"/>
      <c r="QS73" s="125"/>
      <c r="QT73" s="125"/>
      <c r="QU73" s="125"/>
      <c r="QV73" s="125"/>
      <c r="QW73" s="125"/>
      <c r="QX73" s="125"/>
      <c r="QY73" s="125"/>
      <c r="QZ73" s="125"/>
      <c r="RA73" s="125"/>
      <c r="RB73" s="125"/>
      <c r="RC73" s="125"/>
      <c r="RD73" s="125"/>
      <c r="RE73" s="125"/>
      <c r="RF73" s="125"/>
      <c r="RG73" s="24">
        <f t="shared" si="7"/>
        <v>30</v>
      </c>
      <c r="RH73" s="60" t="s">
        <v>36</v>
      </c>
      <c r="RI73" s="121">
        <v>2413.2399999999998</v>
      </c>
      <c r="RJ73" s="77">
        <f>RM73+RN73+RO73</f>
        <v>0</v>
      </c>
      <c r="RK73" s="77">
        <f>1926.7/1.2</f>
        <v>1605.5833333333335</v>
      </c>
      <c r="RL73" s="121">
        <f t="shared" si="8"/>
        <v>2413.2399999999998</v>
      </c>
      <c r="RM73" s="145"/>
      <c r="RN73" s="145"/>
      <c r="RO73" s="145"/>
      <c r="RP73" s="104">
        <f t="shared" si="9"/>
        <v>1.5030300513831938</v>
      </c>
      <c r="RQ73" s="172" t="s">
        <v>611</v>
      </c>
    </row>
    <row r="74" spans="1:485" s="5" customFormat="1" ht="12.75" customHeight="1" x14ac:dyDescent="0.25">
      <c r="A74" s="61">
        <v>44985</v>
      </c>
      <c r="B74" s="112" t="s">
        <v>75</v>
      </c>
      <c r="C74" s="123"/>
      <c r="D74" s="123"/>
      <c r="E74" s="124"/>
      <c r="F74" s="124"/>
      <c r="G74" s="124"/>
      <c r="H74" s="124"/>
      <c r="I74" s="124"/>
      <c r="J74" s="124"/>
      <c r="K74" s="124"/>
      <c r="L74" s="124"/>
      <c r="M74" s="124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>
        <v>10</v>
      </c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>
        <v>16</v>
      </c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>
        <v>10</v>
      </c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25"/>
      <c r="MF74" s="125"/>
      <c r="MG74" s="125"/>
      <c r="MH74" s="125"/>
      <c r="MI74" s="125"/>
      <c r="MJ74" s="125"/>
      <c r="MK74" s="125"/>
      <c r="ML74" s="125"/>
      <c r="MM74" s="125">
        <v>10</v>
      </c>
      <c r="MN74" s="125"/>
      <c r="MO74" s="125"/>
      <c r="MP74" s="125"/>
      <c r="MQ74" s="125"/>
      <c r="MR74" s="125"/>
      <c r="MS74" s="125"/>
      <c r="MT74" s="125"/>
      <c r="MU74" s="125"/>
      <c r="MV74" s="125"/>
      <c r="MW74" s="125"/>
      <c r="MX74" s="125"/>
      <c r="MY74" s="125"/>
      <c r="MZ74" s="125"/>
      <c r="NA74" s="125"/>
      <c r="NB74" s="125"/>
      <c r="NC74" s="125"/>
      <c r="ND74" s="125"/>
      <c r="NE74" s="125"/>
      <c r="NF74" s="125"/>
      <c r="NG74" s="125"/>
      <c r="NH74" s="125"/>
      <c r="NI74" s="125"/>
      <c r="NJ74" s="125"/>
      <c r="NK74" s="125"/>
      <c r="NL74" s="125"/>
      <c r="NM74" s="125"/>
      <c r="NN74" s="125"/>
      <c r="NO74" s="125"/>
      <c r="NP74" s="125"/>
      <c r="NQ74" s="125"/>
      <c r="NR74" s="125"/>
      <c r="NS74" s="125"/>
      <c r="NT74" s="125"/>
      <c r="NU74" s="125"/>
      <c r="NV74" s="125"/>
      <c r="NW74" s="125"/>
      <c r="NX74" s="125"/>
      <c r="NY74" s="125"/>
      <c r="NZ74" s="125"/>
      <c r="OA74" s="125"/>
      <c r="OB74" s="125"/>
      <c r="OC74" s="125"/>
      <c r="OD74" s="125"/>
      <c r="OE74" s="125"/>
      <c r="OF74" s="125"/>
      <c r="OG74" s="125"/>
      <c r="OH74" s="125"/>
      <c r="OI74" s="125"/>
      <c r="OJ74" s="125"/>
      <c r="OK74" s="125"/>
      <c r="OL74" s="125"/>
      <c r="OM74" s="125"/>
      <c r="ON74" s="125"/>
      <c r="OO74" s="125"/>
      <c r="OP74" s="125"/>
      <c r="OQ74" s="125"/>
      <c r="OR74" s="125"/>
      <c r="OS74" s="125"/>
      <c r="OT74" s="125"/>
      <c r="OU74" s="125"/>
      <c r="OV74" s="125"/>
      <c r="OW74" s="125"/>
      <c r="OX74" s="125"/>
      <c r="OY74" s="125"/>
      <c r="OZ74" s="125"/>
      <c r="PA74" s="125"/>
      <c r="PB74" s="125"/>
      <c r="PC74" s="125"/>
      <c r="PD74" s="125"/>
      <c r="PE74" s="125"/>
      <c r="PF74" s="125"/>
      <c r="PG74" s="125"/>
      <c r="PH74" s="125"/>
      <c r="PI74" s="125"/>
      <c r="PJ74" s="125"/>
      <c r="PK74" s="125"/>
      <c r="PL74" s="125"/>
      <c r="PM74" s="125"/>
      <c r="PN74" s="125"/>
      <c r="PO74" s="125"/>
      <c r="PP74" s="125"/>
      <c r="PQ74" s="125"/>
      <c r="PR74" s="125"/>
      <c r="PS74" s="125"/>
      <c r="PT74" s="125"/>
      <c r="PU74" s="125"/>
      <c r="PV74" s="125"/>
      <c r="PW74" s="125"/>
      <c r="PX74" s="125"/>
      <c r="PY74" s="125"/>
      <c r="PZ74" s="125"/>
      <c r="QA74" s="125"/>
      <c r="QB74" s="125"/>
      <c r="QC74" s="125"/>
      <c r="QD74" s="125"/>
      <c r="QE74" s="125"/>
      <c r="QF74" s="125"/>
      <c r="QG74" s="125"/>
      <c r="QH74" s="125"/>
      <c r="QI74" s="125"/>
      <c r="QJ74" s="125"/>
      <c r="QK74" s="125"/>
      <c r="QL74" s="125"/>
      <c r="QM74" s="125"/>
      <c r="QN74" s="125"/>
      <c r="QO74" s="125"/>
      <c r="QP74" s="125"/>
      <c r="QQ74" s="125"/>
      <c r="QR74" s="125"/>
      <c r="QS74" s="125"/>
      <c r="QT74" s="125"/>
      <c r="QU74" s="125"/>
      <c r="QV74" s="125"/>
      <c r="QW74" s="125"/>
      <c r="QX74" s="125"/>
      <c r="QY74" s="125"/>
      <c r="QZ74" s="125"/>
      <c r="RA74" s="125"/>
      <c r="RB74" s="125">
        <v>10</v>
      </c>
      <c r="RC74" s="125"/>
      <c r="RD74" s="125"/>
      <c r="RE74" s="125"/>
      <c r="RF74" s="125"/>
      <c r="RG74" s="24">
        <f t="shared" si="7"/>
        <v>56</v>
      </c>
      <c r="RH74" s="60" t="s">
        <v>36</v>
      </c>
      <c r="RI74" s="121">
        <v>4147.99</v>
      </c>
      <c r="RJ74" s="77">
        <f>RM74+RN74+RO74</f>
        <v>0</v>
      </c>
      <c r="RK74" s="77">
        <v>2516.56</v>
      </c>
      <c r="RL74" s="121">
        <f t="shared" si="8"/>
        <v>4147.99</v>
      </c>
      <c r="RM74" s="145"/>
      <c r="RN74" s="145"/>
      <c r="RO74" s="145"/>
      <c r="RP74" s="104">
        <f t="shared" si="9"/>
        <v>1.6482778078011253</v>
      </c>
      <c r="RQ74" s="172" t="s">
        <v>618</v>
      </c>
    </row>
    <row r="75" spans="1:485" s="5" customFormat="1" ht="12.75" customHeight="1" x14ac:dyDescent="0.25">
      <c r="A75" s="61">
        <v>44985</v>
      </c>
      <c r="B75" s="112" t="s">
        <v>348</v>
      </c>
      <c r="C75" s="123"/>
      <c r="D75" s="123"/>
      <c r="E75" s="124"/>
      <c r="F75" s="124"/>
      <c r="G75" s="124"/>
      <c r="H75" s="124"/>
      <c r="I75" s="124"/>
      <c r="J75" s="124"/>
      <c r="K75" s="124"/>
      <c r="L75" s="124"/>
      <c r="M75" s="124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  <c r="CY75" s="125"/>
      <c r="CZ75" s="125"/>
      <c r="DA75" s="125"/>
      <c r="DB75" s="125"/>
      <c r="DC75" s="125"/>
      <c r="DD75" s="125"/>
      <c r="DE75" s="125"/>
      <c r="DF75" s="125"/>
      <c r="DG75" s="125"/>
      <c r="DH75" s="125"/>
      <c r="DI75" s="125"/>
      <c r="DJ75" s="125"/>
      <c r="DK75" s="125"/>
      <c r="DL75" s="125"/>
      <c r="DM75" s="125"/>
      <c r="DN75" s="125"/>
      <c r="DO75" s="125"/>
      <c r="DP75" s="125"/>
      <c r="DQ75" s="125"/>
      <c r="DR75" s="125"/>
      <c r="DS75" s="125"/>
      <c r="DT75" s="125"/>
      <c r="DU75" s="125"/>
      <c r="DV75" s="125"/>
      <c r="DW75" s="125"/>
      <c r="DX75" s="125"/>
      <c r="DY75" s="125"/>
      <c r="DZ75" s="125"/>
      <c r="EA75" s="125"/>
      <c r="EB75" s="125"/>
      <c r="EC75" s="125"/>
      <c r="ED75" s="125"/>
      <c r="EE75" s="125"/>
      <c r="EF75" s="125"/>
      <c r="EG75" s="125"/>
      <c r="EH75" s="125"/>
      <c r="EI75" s="125"/>
      <c r="EJ75" s="125"/>
      <c r="EK75" s="125"/>
      <c r="EL75" s="125"/>
      <c r="EM75" s="125"/>
      <c r="EN75" s="125"/>
      <c r="EO75" s="125"/>
      <c r="EP75" s="125"/>
      <c r="EQ75" s="125"/>
      <c r="ER75" s="125"/>
      <c r="ES75" s="125"/>
      <c r="ET75" s="125"/>
      <c r="EU75" s="125"/>
      <c r="EV75" s="125"/>
      <c r="EW75" s="125"/>
      <c r="EX75" s="125"/>
      <c r="EY75" s="125"/>
      <c r="EZ75" s="125"/>
      <c r="FA75" s="125"/>
      <c r="FB75" s="125"/>
      <c r="FC75" s="125"/>
      <c r="FD75" s="125"/>
      <c r="FE75" s="125"/>
      <c r="FF75" s="125"/>
      <c r="FG75" s="125"/>
      <c r="FH75" s="125"/>
      <c r="FI75" s="125"/>
      <c r="FJ75" s="125"/>
      <c r="FK75" s="125"/>
      <c r="FL75" s="125"/>
      <c r="FM75" s="125"/>
      <c r="FN75" s="125"/>
      <c r="FO75" s="125"/>
      <c r="FP75" s="125"/>
      <c r="FQ75" s="125"/>
      <c r="FR75" s="125"/>
      <c r="FS75" s="125"/>
      <c r="FT75" s="125"/>
      <c r="FU75" s="125"/>
      <c r="FV75" s="125"/>
      <c r="FW75" s="125"/>
      <c r="FX75" s="125"/>
      <c r="FY75" s="125"/>
      <c r="FZ75" s="125"/>
      <c r="GA75" s="125"/>
      <c r="GB75" s="125"/>
      <c r="GC75" s="125"/>
      <c r="GD75" s="125"/>
      <c r="GE75" s="125"/>
      <c r="GF75" s="125"/>
      <c r="GG75" s="125"/>
      <c r="GH75" s="125"/>
      <c r="GI75" s="125"/>
      <c r="GJ75" s="125"/>
      <c r="GK75" s="125"/>
      <c r="GL75" s="125"/>
      <c r="GM75" s="125"/>
      <c r="GN75" s="125"/>
      <c r="GO75" s="125"/>
      <c r="GP75" s="125"/>
      <c r="GQ75" s="125">
        <v>3</v>
      </c>
      <c r="GR75" s="125"/>
      <c r="GS75" s="125"/>
      <c r="GT75" s="125"/>
      <c r="GU75" s="125"/>
      <c r="GV75" s="125"/>
      <c r="GW75" s="125"/>
      <c r="GX75" s="125"/>
      <c r="GY75" s="125"/>
      <c r="GZ75" s="125"/>
      <c r="HA75" s="125"/>
      <c r="HB75" s="125"/>
      <c r="HC75" s="125"/>
      <c r="HD75" s="125"/>
      <c r="HE75" s="125"/>
      <c r="HF75" s="125"/>
      <c r="HG75" s="125"/>
      <c r="HH75" s="125"/>
      <c r="HI75" s="125"/>
      <c r="HJ75" s="125"/>
      <c r="HK75" s="125"/>
      <c r="HL75" s="125"/>
      <c r="HM75" s="125"/>
      <c r="HN75" s="125"/>
      <c r="HO75" s="125"/>
      <c r="HP75" s="125"/>
      <c r="HQ75" s="125"/>
      <c r="HR75" s="125"/>
      <c r="HS75" s="125"/>
      <c r="HT75" s="125"/>
      <c r="HU75" s="125"/>
      <c r="HV75" s="125"/>
      <c r="HW75" s="125"/>
      <c r="HX75" s="125"/>
      <c r="HY75" s="125"/>
      <c r="HZ75" s="125"/>
      <c r="IA75" s="125"/>
      <c r="IB75" s="125"/>
      <c r="IC75" s="125"/>
      <c r="ID75" s="125"/>
      <c r="IE75" s="125"/>
      <c r="IF75" s="125"/>
      <c r="IG75" s="125"/>
      <c r="IH75" s="125"/>
      <c r="II75" s="125"/>
      <c r="IJ75" s="125"/>
      <c r="IK75" s="125"/>
      <c r="IL75" s="125"/>
      <c r="IM75" s="125"/>
      <c r="IN75" s="125"/>
      <c r="IO75" s="125"/>
      <c r="IP75" s="125"/>
      <c r="IQ75" s="125"/>
      <c r="IR75" s="125"/>
      <c r="IS75" s="125"/>
      <c r="IT75" s="125"/>
      <c r="IU75" s="125"/>
      <c r="IV75" s="125"/>
      <c r="IW75" s="125"/>
      <c r="IX75" s="125"/>
      <c r="IY75" s="125"/>
      <c r="IZ75" s="125"/>
      <c r="JA75" s="125"/>
      <c r="JB75" s="125"/>
      <c r="JC75" s="125"/>
      <c r="JD75" s="125"/>
      <c r="JE75" s="125"/>
      <c r="JF75" s="125"/>
      <c r="JG75" s="125"/>
      <c r="JH75" s="125"/>
      <c r="JI75" s="125"/>
      <c r="JJ75" s="125"/>
      <c r="JK75" s="125"/>
      <c r="JL75" s="125"/>
      <c r="JM75" s="125"/>
      <c r="JN75" s="125"/>
      <c r="JO75" s="125"/>
      <c r="JP75" s="125"/>
      <c r="JQ75" s="125"/>
      <c r="JR75" s="125"/>
      <c r="JS75" s="125"/>
      <c r="JT75" s="125"/>
      <c r="JU75" s="125"/>
      <c r="JV75" s="125"/>
      <c r="JW75" s="125"/>
      <c r="JX75" s="125"/>
      <c r="JY75" s="125"/>
      <c r="JZ75" s="125"/>
      <c r="KA75" s="125"/>
      <c r="KB75" s="125"/>
      <c r="KC75" s="125"/>
      <c r="KD75" s="125"/>
      <c r="KE75" s="125"/>
      <c r="KF75" s="125"/>
      <c r="KG75" s="125"/>
      <c r="KH75" s="125"/>
      <c r="KI75" s="125"/>
      <c r="KJ75" s="125"/>
      <c r="KK75" s="125"/>
      <c r="KL75" s="125"/>
      <c r="KM75" s="125"/>
      <c r="KN75" s="125"/>
      <c r="KO75" s="125"/>
      <c r="KP75" s="125"/>
      <c r="KQ75" s="125"/>
      <c r="KR75" s="125"/>
      <c r="KS75" s="125"/>
      <c r="KT75" s="125"/>
      <c r="KU75" s="125"/>
      <c r="KV75" s="125"/>
      <c r="KW75" s="125"/>
      <c r="KX75" s="125"/>
      <c r="KY75" s="125"/>
      <c r="KZ75" s="125"/>
      <c r="LA75" s="125"/>
      <c r="LB75" s="125"/>
      <c r="LC75" s="125"/>
      <c r="LD75" s="125"/>
      <c r="LE75" s="125"/>
      <c r="LF75" s="125"/>
      <c r="LG75" s="125"/>
      <c r="LH75" s="125"/>
      <c r="LI75" s="125"/>
      <c r="LJ75" s="125"/>
      <c r="LK75" s="125"/>
      <c r="LL75" s="125"/>
      <c r="LM75" s="125"/>
      <c r="LN75" s="125"/>
      <c r="LO75" s="125"/>
      <c r="LP75" s="125"/>
      <c r="LQ75" s="125"/>
      <c r="LR75" s="125"/>
      <c r="LS75" s="125"/>
      <c r="LT75" s="125"/>
      <c r="LU75" s="125"/>
      <c r="LV75" s="125"/>
      <c r="LW75" s="125"/>
      <c r="LX75" s="125"/>
      <c r="LY75" s="125"/>
      <c r="LZ75" s="125"/>
      <c r="MA75" s="125"/>
      <c r="MB75" s="125"/>
      <c r="MC75" s="125"/>
      <c r="MD75" s="125"/>
      <c r="ME75" s="125"/>
      <c r="MF75" s="125"/>
      <c r="MG75" s="125"/>
      <c r="MH75" s="125"/>
      <c r="MI75" s="125"/>
      <c r="MJ75" s="125"/>
      <c r="MK75" s="125"/>
      <c r="ML75" s="125"/>
      <c r="MM75" s="125"/>
      <c r="MN75" s="125"/>
      <c r="MO75" s="125"/>
      <c r="MP75" s="125"/>
      <c r="MQ75" s="125"/>
      <c r="MR75" s="125"/>
      <c r="MS75" s="125"/>
      <c r="MT75" s="125"/>
      <c r="MU75" s="125"/>
      <c r="MV75" s="125"/>
      <c r="MW75" s="125"/>
      <c r="MX75" s="125"/>
      <c r="MY75" s="125"/>
      <c r="MZ75" s="125"/>
      <c r="NA75" s="125"/>
      <c r="NB75" s="125"/>
      <c r="NC75" s="125"/>
      <c r="ND75" s="125"/>
      <c r="NE75" s="125"/>
      <c r="NF75" s="125"/>
      <c r="NG75" s="125"/>
      <c r="NH75" s="125"/>
      <c r="NI75" s="125"/>
      <c r="NJ75" s="125"/>
      <c r="NK75" s="125"/>
      <c r="NL75" s="125"/>
      <c r="NM75" s="125"/>
      <c r="NN75" s="125"/>
      <c r="NO75" s="125"/>
      <c r="NP75" s="125"/>
      <c r="NQ75" s="125"/>
      <c r="NR75" s="125"/>
      <c r="NS75" s="125"/>
      <c r="NT75" s="125"/>
      <c r="NU75" s="125"/>
      <c r="NV75" s="125"/>
      <c r="NW75" s="125"/>
      <c r="NX75" s="125"/>
      <c r="NY75" s="125"/>
      <c r="NZ75" s="125"/>
      <c r="OA75" s="125"/>
      <c r="OB75" s="125"/>
      <c r="OC75" s="125"/>
      <c r="OD75" s="125"/>
      <c r="OE75" s="125"/>
      <c r="OF75" s="125"/>
      <c r="OG75" s="125"/>
      <c r="OH75" s="125"/>
      <c r="OI75" s="125"/>
      <c r="OJ75" s="125"/>
      <c r="OK75" s="125"/>
      <c r="OL75" s="125"/>
      <c r="OM75" s="125"/>
      <c r="ON75" s="125"/>
      <c r="OO75" s="125"/>
      <c r="OP75" s="125"/>
      <c r="OQ75" s="125"/>
      <c r="OR75" s="125"/>
      <c r="OS75" s="125"/>
      <c r="OT75" s="125"/>
      <c r="OU75" s="125"/>
      <c r="OV75" s="125"/>
      <c r="OW75" s="125"/>
      <c r="OX75" s="125"/>
      <c r="OY75" s="125"/>
      <c r="OZ75" s="125"/>
      <c r="PA75" s="125"/>
      <c r="PB75" s="125"/>
      <c r="PC75" s="125"/>
      <c r="PD75" s="125"/>
      <c r="PE75" s="125"/>
      <c r="PF75" s="125"/>
      <c r="PG75" s="125"/>
      <c r="PH75" s="125"/>
      <c r="PI75" s="125"/>
      <c r="PJ75" s="125"/>
      <c r="PK75" s="125"/>
      <c r="PL75" s="125"/>
      <c r="PM75" s="125"/>
      <c r="PN75" s="125"/>
      <c r="PO75" s="125"/>
      <c r="PP75" s="125"/>
      <c r="PQ75" s="125"/>
      <c r="PR75" s="125"/>
      <c r="PS75" s="125"/>
      <c r="PT75" s="125"/>
      <c r="PU75" s="125"/>
      <c r="PV75" s="125"/>
      <c r="PW75" s="125"/>
      <c r="PX75" s="125"/>
      <c r="PY75" s="125"/>
      <c r="PZ75" s="125"/>
      <c r="QA75" s="125"/>
      <c r="QB75" s="125"/>
      <c r="QC75" s="125"/>
      <c r="QD75" s="125"/>
      <c r="QE75" s="125"/>
      <c r="QF75" s="125"/>
      <c r="QG75" s="125"/>
      <c r="QH75" s="125"/>
      <c r="QI75" s="125"/>
      <c r="QJ75" s="125"/>
      <c r="QK75" s="125"/>
      <c r="QL75" s="125"/>
      <c r="QM75" s="125"/>
      <c r="QN75" s="125"/>
      <c r="QO75" s="125"/>
      <c r="QP75" s="125"/>
      <c r="QQ75" s="125"/>
      <c r="QR75" s="125"/>
      <c r="QS75" s="125"/>
      <c r="QT75" s="125"/>
      <c r="QU75" s="125"/>
      <c r="QV75" s="125"/>
      <c r="QW75" s="125"/>
      <c r="QX75" s="125"/>
      <c r="QY75" s="125"/>
      <c r="QZ75" s="125"/>
      <c r="RA75" s="125"/>
      <c r="RB75" s="125"/>
      <c r="RC75" s="125"/>
      <c r="RD75" s="125"/>
      <c r="RE75" s="125"/>
      <c r="RF75" s="125"/>
      <c r="RG75" s="24">
        <f t="shared" si="7"/>
        <v>3</v>
      </c>
      <c r="RH75" s="60" t="s">
        <v>36</v>
      </c>
      <c r="RI75" s="121">
        <v>193.32</v>
      </c>
      <c r="RJ75" s="77">
        <f>RM75+RN75+RO75</f>
        <v>193.32</v>
      </c>
      <c r="RK75" s="77">
        <v>111.81</v>
      </c>
      <c r="RL75" s="121">
        <f t="shared" si="8"/>
        <v>0</v>
      </c>
      <c r="RM75" s="145"/>
      <c r="RN75" s="145"/>
      <c r="RO75" s="145">
        <v>193.32</v>
      </c>
      <c r="RP75" s="104">
        <f t="shared" si="9"/>
        <v>1.7290045613093641</v>
      </c>
      <c r="RQ75" s="172" t="s">
        <v>593</v>
      </c>
    </row>
    <row r="76" spans="1:485" s="31" customFormat="1" ht="12" customHeight="1" x14ac:dyDescent="0.25">
      <c r="A76" s="49" t="s">
        <v>134</v>
      </c>
      <c r="B76" s="28"/>
      <c r="C76" s="126" t="e">
        <f>SUBTOTAL(9,#REF!)</f>
        <v>#REF!</v>
      </c>
      <c r="D76" s="126" t="e">
        <f>SUBTOTAL(9,#REF!)</f>
        <v>#REF!</v>
      </c>
      <c r="E76" s="126" t="e">
        <f>SUBTOTAL(9,#REF!)</f>
        <v>#REF!</v>
      </c>
      <c r="F76" s="126" t="e">
        <f>SUBTOTAL(9,#REF!)</f>
        <v>#REF!</v>
      </c>
      <c r="G76" s="126" t="e">
        <f>SUBTOTAL(9,#REF!)</f>
        <v>#REF!</v>
      </c>
      <c r="H76" s="126" t="e">
        <f>SUBTOTAL(9,#REF!)</f>
        <v>#REF!</v>
      </c>
      <c r="I76" s="126" t="e">
        <f>SUBTOTAL(9,#REF!)</f>
        <v>#REF!</v>
      </c>
      <c r="J76" s="126" t="e">
        <f>SUBTOTAL(9,#REF!)</f>
        <v>#REF!</v>
      </c>
      <c r="K76" s="126" t="e">
        <f>SUBTOTAL(9,#REF!)</f>
        <v>#REF!</v>
      </c>
      <c r="L76" s="126" t="e">
        <f>SUBTOTAL(9,#REF!)</f>
        <v>#REF!</v>
      </c>
      <c r="M76" s="126" t="e">
        <f>SUBTOTAL(9,#REF!)</f>
        <v>#REF!</v>
      </c>
      <c r="N76" s="126" t="e">
        <f>SUBTOTAL(9,#REF!)</f>
        <v>#REF!</v>
      </c>
      <c r="O76" s="126" t="e">
        <f>SUBTOTAL(9,#REF!)</f>
        <v>#REF!</v>
      </c>
      <c r="P76" s="126" t="e">
        <f>SUBTOTAL(9,#REF!)</f>
        <v>#REF!</v>
      </c>
      <c r="Q76" s="126" t="e">
        <f>SUBTOTAL(9,#REF!)</f>
        <v>#REF!</v>
      </c>
      <c r="R76" s="126" t="e">
        <f>SUBTOTAL(9,#REF!)</f>
        <v>#REF!</v>
      </c>
      <c r="S76" s="126" t="e">
        <f>SUBTOTAL(9,#REF!)</f>
        <v>#REF!</v>
      </c>
      <c r="T76" s="126" t="e">
        <f>SUBTOTAL(9,#REF!)</f>
        <v>#REF!</v>
      </c>
      <c r="U76" s="126" t="e">
        <f>SUBTOTAL(9,#REF!)</f>
        <v>#REF!</v>
      </c>
      <c r="V76" s="126" t="e">
        <f>SUBTOTAL(9,#REF!)</f>
        <v>#REF!</v>
      </c>
      <c r="W76" s="126" t="e">
        <f>SUBTOTAL(9,#REF!)</f>
        <v>#REF!</v>
      </c>
      <c r="X76" s="126" t="e">
        <f>SUBTOTAL(9,#REF!)</f>
        <v>#REF!</v>
      </c>
      <c r="Y76" s="126" t="e">
        <f>SUBTOTAL(9,#REF!)</f>
        <v>#REF!</v>
      </c>
      <c r="Z76" s="126" t="e">
        <f>SUBTOTAL(9,#REF!)</f>
        <v>#REF!</v>
      </c>
      <c r="AA76" s="126" t="e">
        <f>SUBTOTAL(9,#REF!)</f>
        <v>#REF!</v>
      </c>
      <c r="AB76" s="126" t="e">
        <f>SUBTOTAL(9,#REF!)</f>
        <v>#REF!</v>
      </c>
      <c r="AC76" s="126" t="e">
        <f>SUBTOTAL(9,#REF!)</f>
        <v>#REF!</v>
      </c>
      <c r="AD76" s="126" t="e">
        <f>SUBTOTAL(9,#REF!)</f>
        <v>#REF!</v>
      </c>
      <c r="AE76" s="126" t="e">
        <f>SUBTOTAL(9,#REF!)</f>
        <v>#REF!</v>
      </c>
      <c r="AF76" s="126" t="e">
        <f>SUBTOTAL(9,#REF!)</f>
        <v>#REF!</v>
      </c>
      <c r="AG76" s="126" t="e">
        <f>SUBTOTAL(9,#REF!)</f>
        <v>#REF!</v>
      </c>
      <c r="AH76" s="126" t="e">
        <f>SUBTOTAL(9,#REF!)</f>
        <v>#REF!</v>
      </c>
      <c r="AI76" s="126" t="e">
        <f>SUBTOTAL(9,#REF!)</f>
        <v>#REF!</v>
      </c>
      <c r="AJ76" s="126" t="e">
        <f>SUBTOTAL(9,#REF!)</f>
        <v>#REF!</v>
      </c>
      <c r="AK76" s="126" t="e">
        <f>SUBTOTAL(9,#REF!)</f>
        <v>#REF!</v>
      </c>
      <c r="AL76" s="126" t="e">
        <f>SUBTOTAL(9,#REF!)</f>
        <v>#REF!</v>
      </c>
      <c r="AM76" s="126" t="e">
        <f>SUBTOTAL(9,#REF!)</f>
        <v>#REF!</v>
      </c>
      <c r="AN76" s="126" t="e">
        <f>SUBTOTAL(9,#REF!)</f>
        <v>#REF!</v>
      </c>
      <c r="AO76" s="126" t="e">
        <f>SUBTOTAL(9,#REF!)</f>
        <v>#REF!</v>
      </c>
      <c r="AP76" s="126" t="e">
        <f>SUBTOTAL(9,#REF!)</f>
        <v>#REF!</v>
      </c>
      <c r="AQ76" s="126" t="e">
        <f>SUBTOTAL(9,#REF!)</f>
        <v>#REF!</v>
      </c>
      <c r="AR76" s="126" t="e">
        <f>SUBTOTAL(9,#REF!)</f>
        <v>#REF!</v>
      </c>
      <c r="AS76" s="126" t="e">
        <f>SUBTOTAL(9,#REF!)</f>
        <v>#REF!</v>
      </c>
      <c r="AT76" s="126" t="e">
        <f>SUBTOTAL(9,#REF!)</f>
        <v>#REF!</v>
      </c>
      <c r="AU76" s="126" t="e">
        <f>SUBTOTAL(9,#REF!)</f>
        <v>#REF!</v>
      </c>
      <c r="AV76" s="126" t="e">
        <f>SUBTOTAL(9,#REF!)</f>
        <v>#REF!</v>
      </c>
      <c r="AW76" s="126" t="e">
        <f>SUBTOTAL(9,#REF!)</f>
        <v>#REF!</v>
      </c>
      <c r="AX76" s="126" t="e">
        <f>SUBTOTAL(9,#REF!)</f>
        <v>#REF!</v>
      </c>
      <c r="AY76" s="126" t="e">
        <f>SUBTOTAL(9,#REF!)</f>
        <v>#REF!</v>
      </c>
      <c r="AZ76" s="126" t="e">
        <f>SUBTOTAL(9,#REF!)</f>
        <v>#REF!</v>
      </c>
      <c r="BA76" s="126" t="e">
        <f>SUBTOTAL(9,#REF!)</f>
        <v>#REF!</v>
      </c>
      <c r="BB76" s="126" t="e">
        <f>SUBTOTAL(9,#REF!)</f>
        <v>#REF!</v>
      </c>
      <c r="BC76" s="126" t="e">
        <f>SUBTOTAL(9,#REF!)</f>
        <v>#REF!</v>
      </c>
      <c r="BD76" s="126" t="e">
        <f>SUBTOTAL(9,#REF!)</f>
        <v>#REF!</v>
      </c>
      <c r="BE76" s="126" t="e">
        <f>SUBTOTAL(9,#REF!)</f>
        <v>#REF!</v>
      </c>
      <c r="BF76" s="126" t="e">
        <f>SUBTOTAL(9,#REF!)</f>
        <v>#REF!</v>
      </c>
      <c r="BG76" s="126" t="e">
        <f>SUBTOTAL(9,#REF!)</f>
        <v>#REF!</v>
      </c>
      <c r="BH76" s="126" t="e">
        <f>SUBTOTAL(9,#REF!)</f>
        <v>#REF!</v>
      </c>
      <c r="BI76" s="126" t="e">
        <f>SUBTOTAL(9,#REF!)</f>
        <v>#REF!</v>
      </c>
      <c r="BJ76" s="126" t="e">
        <f>SUBTOTAL(9,#REF!)</f>
        <v>#REF!</v>
      </c>
      <c r="BK76" s="126" t="e">
        <f>SUBTOTAL(9,#REF!)</f>
        <v>#REF!</v>
      </c>
      <c r="BL76" s="126" t="e">
        <f>SUBTOTAL(9,#REF!)</f>
        <v>#REF!</v>
      </c>
      <c r="BM76" s="126" t="e">
        <f>SUBTOTAL(9,#REF!)</f>
        <v>#REF!</v>
      </c>
      <c r="BN76" s="126" t="e">
        <f>SUBTOTAL(9,#REF!)</f>
        <v>#REF!</v>
      </c>
      <c r="BO76" s="126" t="e">
        <f>SUBTOTAL(9,#REF!)</f>
        <v>#REF!</v>
      </c>
      <c r="BP76" s="126" t="e">
        <f>SUBTOTAL(9,#REF!)</f>
        <v>#REF!</v>
      </c>
      <c r="BQ76" s="126" t="e">
        <f>SUBTOTAL(9,#REF!)</f>
        <v>#REF!</v>
      </c>
      <c r="BR76" s="126" t="e">
        <f>SUBTOTAL(9,#REF!)</f>
        <v>#REF!</v>
      </c>
      <c r="BS76" s="126" t="e">
        <f>SUBTOTAL(9,#REF!)</f>
        <v>#REF!</v>
      </c>
      <c r="BT76" s="126" t="e">
        <f>SUBTOTAL(9,#REF!)</f>
        <v>#REF!</v>
      </c>
      <c r="BU76" s="126" t="e">
        <f>SUBTOTAL(9,#REF!)</f>
        <v>#REF!</v>
      </c>
      <c r="BV76" s="126" t="e">
        <f>SUBTOTAL(9,#REF!)</f>
        <v>#REF!</v>
      </c>
      <c r="BW76" s="126" t="e">
        <f>SUBTOTAL(9,#REF!)</f>
        <v>#REF!</v>
      </c>
      <c r="BX76" s="126" t="e">
        <f>SUBTOTAL(9,#REF!)</f>
        <v>#REF!</v>
      </c>
      <c r="BY76" s="126" t="e">
        <f>SUBTOTAL(9,#REF!)</f>
        <v>#REF!</v>
      </c>
      <c r="BZ76" s="126" t="e">
        <f>SUBTOTAL(9,#REF!)</f>
        <v>#REF!</v>
      </c>
      <c r="CA76" s="126" t="e">
        <f>SUBTOTAL(9,#REF!)</f>
        <v>#REF!</v>
      </c>
      <c r="CB76" s="126" t="e">
        <f>SUBTOTAL(9,#REF!)</f>
        <v>#REF!</v>
      </c>
      <c r="CC76" s="126" t="e">
        <f>SUBTOTAL(9,#REF!)</f>
        <v>#REF!</v>
      </c>
      <c r="CD76" s="126" t="e">
        <f>SUBTOTAL(9,#REF!)</f>
        <v>#REF!</v>
      </c>
      <c r="CE76" s="126" t="e">
        <f>SUBTOTAL(9,#REF!)</f>
        <v>#REF!</v>
      </c>
      <c r="CF76" s="126" t="e">
        <f>SUBTOTAL(9,#REF!)</f>
        <v>#REF!</v>
      </c>
      <c r="CG76" s="126" t="e">
        <f>SUBTOTAL(9,#REF!)</f>
        <v>#REF!</v>
      </c>
      <c r="CH76" s="126" t="e">
        <f>SUBTOTAL(9,#REF!)</f>
        <v>#REF!</v>
      </c>
      <c r="CI76" s="126" t="e">
        <f>SUBTOTAL(9,#REF!)</f>
        <v>#REF!</v>
      </c>
      <c r="CJ76" s="126" t="e">
        <f>SUBTOTAL(9,#REF!)</f>
        <v>#REF!</v>
      </c>
      <c r="CK76" s="126" t="e">
        <f>SUBTOTAL(9,#REF!)</f>
        <v>#REF!</v>
      </c>
      <c r="CL76" s="126" t="e">
        <f>SUBTOTAL(9,#REF!)</f>
        <v>#REF!</v>
      </c>
      <c r="CM76" s="126" t="e">
        <f>SUBTOTAL(9,#REF!)</f>
        <v>#REF!</v>
      </c>
      <c r="CN76" s="126" t="e">
        <f>SUBTOTAL(9,#REF!)</f>
        <v>#REF!</v>
      </c>
      <c r="CO76" s="126" t="e">
        <f>SUBTOTAL(9,#REF!)</f>
        <v>#REF!</v>
      </c>
      <c r="CP76" s="126" t="e">
        <f>SUBTOTAL(9,#REF!)</f>
        <v>#REF!</v>
      </c>
      <c r="CQ76" s="126" t="e">
        <f>SUBTOTAL(9,#REF!)</f>
        <v>#REF!</v>
      </c>
      <c r="CR76" s="126" t="e">
        <f>SUBTOTAL(9,#REF!)</f>
        <v>#REF!</v>
      </c>
      <c r="CS76" s="126" t="e">
        <f>SUBTOTAL(9,#REF!)</f>
        <v>#REF!</v>
      </c>
      <c r="CT76" s="126" t="e">
        <f>SUBTOTAL(9,#REF!)</f>
        <v>#REF!</v>
      </c>
      <c r="CU76" s="126" t="e">
        <f>SUBTOTAL(9,#REF!)</f>
        <v>#REF!</v>
      </c>
      <c r="CV76" s="126" t="e">
        <f>SUBTOTAL(9,#REF!)</f>
        <v>#REF!</v>
      </c>
      <c r="CW76" s="126" t="e">
        <f>SUBTOTAL(9,#REF!)</f>
        <v>#REF!</v>
      </c>
      <c r="CX76" s="126" t="e">
        <f>SUBTOTAL(9,#REF!)</f>
        <v>#REF!</v>
      </c>
      <c r="CY76" s="126" t="e">
        <f>SUBTOTAL(9,#REF!)</f>
        <v>#REF!</v>
      </c>
      <c r="CZ76" s="126" t="e">
        <f>SUBTOTAL(9,#REF!)</f>
        <v>#REF!</v>
      </c>
      <c r="DA76" s="126" t="e">
        <f>SUBTOTAL(9,#REF!)</f>
        <v>#REF!</v>
      </c>
      <c r="DB76" s="126" t="e">
        <f>SUBTOTAL(9,#REF!)</f>
        <v>#REF!</v>
      </c>
      <c r="DC76" s="126" t="e">
        <f>SUBTOTAL(9,#REF!)</f>
        <v>#REF!</v>
      </c>
      <c r="DD76" s="126" t="e">
        <f>SUBTOTAL(9,#REF!)</f>
        <v>#REF!</v>
      </c>
      <c r="DE76" s="126" t="e">
        <f>SUBTOTAL(9,#REF!)</f>
        <v>#REF!</v>
      </c>
      <c r="DF76" s="126" t="e">
        <f>SUBTOTAL(9,#REF!)</f>
        <v>#REF!</v>
      </c>
      <c r="DG76" s="126" t="e">
        <f>SUBTOTAL(9,#REF!)</f>
        <v>#REF!</v>
      </c>
      <c r="DH76" s="126" t="e">
        <f>SUBTOTAL(9,#REF!)</f>
        <v>#REF!</v>
      </c>
      <c r="DI76" s="126" t="e">
        <f>SUBTOTAL(9,#REF!)</f>
        <v>#REF!</v>
      </c>
      <c r="DJ76" s="126" t="e">
        <f>SUBTOTAL(9,#REF!)</f>
        <v>#REF!</v>
      </c>
      <c r="DK76" s="126" t="e">
        <f>SUBTOTAL(9,#REF!)</f>
        <v>#REF!</v>
      </c>
      <c r="DL76" s="126" t="e">
        <f>SUBTOTAL(9,#REF!)</f>
        <v>#REF!</v>
      </c>
      <c r="DM76" s="126" t="e">
        <f>SUBTOTAL(9,#REF!)</f>
        <v>#REF!</v>
      </c>
      <c r="DN76" s="126" t="e">
        <f>SUBTOTAL(9,#REF!)</f>
        <v>#REF!</v>
      </c>
      <c r="DO76" s="126" t="e">
        <f>SUBTOTAL(9,#REF!)</f>
        <v>#REF!</v>
      </c>
      <c r="DP76" s="126" t="e">
        <f>SUBTOTAL(9,#REF!)</f>
        <v>#REF!</v>
      </c>
      <c r="DQ76" s="126" t="e">
        <f>SUBTOTAL(9,#REF!)</f>
        <v>#REF!</v>
      </c>
      <c r="DR76" s="126" t="e">
        <f>SUBTOTAL(9,#REF!)</f>
        <v>#REF!</v>
      </c>
      <c r="DS76" s="126" t="e">
        <f>SUBTOTAL(9,#REF!)</f>
        <v>#REF!</v>
      </c>
      <c r="DT76" s="126" t="e">
        <f>SUBTOTAL(9,#REF!)</f>
        <v>#REF!</v>
      </c>
      <c r="DU76" s="126" t="e">
        <f>SUBTOTAL(9,#REF!)</f>
        <v>#REF!</v>
      </c>
      <c r="DV76" s="126" t="e">
        <f>SUBTOTAL(9,#REF!)</f>
        <v>#REF!</v>
      </c>
      <c r="DW76" s="126" t="e">
        <f>SUBTOTAL(9,#REF!)</f>
        <v>#REF!</v>
      </c>
      <c r="DX76" s="126" t="e">
        <f>SUBTOTAL(9,#REF!)</f>
        <v>#REF!</v>
      </c>
      <c r="DY76" s="126" t="e">
        <f>SUBTOTAL(9,#REF!)</f>
        <v>#REF!</v>
      </c>
      <c r="DZ76" s="126" t="e">
        <f>SUBTOTAL(9,#REF!)</f>
        <v>#REF!</v>
      </c>
      <c r="EA76" s="126" t="e">
        <f>SUBTOTAL(9,#REF!)</f>
        <v>#REF!</v>
      </c>
      <c r="EB76" s="126" t="e">
        <f>SUBTOTAL(9,#REF!)</f>
        <v>#REF!</v>
      </c>
      <c r="EC76" s="126" t="e">
        <f>SUBTOTAL(9,#REF!)</f>
        <v>#REF!</v>
      </c>
      <c r="ED76" s="126" t="e">
        <f>SUBTOTAL(9,#REF!)</f>
        <v>#REF!</v>
      </c>
      <c r="EE76" s="126" t="e">
        <f>SUBTOTAL(9,#REF!)</f>
        <v>#REF!</v>
      </c>
      <c r="EF76" s="126" t="e">
        <f>SUBTOTAL(9,#REF!)</f>
        <v>#REF!</v>
      </c>
      <c r="EG76" s="126" t="e">
        <f>SUBTOTAL(9,#REF!)</f>
        <v>#REF!</v>
      </c>
      <c r="EH76" s="126" t="e">
        <f>SUBTOTAL(9,#REF!)</f>
        <v>#REF!</v>
      </c>
      <c r="EI76" s="126" t="e">
        <f>SUBTOTAL(9,#REF!)</f>
        <v>#REF!</v>
      </c>
      <c r="EJ76" s="126" t="e">
        <f>SUBTOTAL(9,#REF!)</f>
        <v>#REF!</v>
      </c>
      <c r="EK76" s="126" t="e">
        <f>SUBTOTAL(9,#REF!)</f>
        <v>#REF!</v>
      </c>
      <c r="EL76" s="126" t="e">
        <f>SUBTOTAL(9,#REF!)</f>
        <v>#REF!</v>
      </c>
      <c r="EM76" s="126" t="e">
        <f>SUBTOTAL(9,#REF!)</f>
        <v>#REF!</v>
      </c>
      <c r="EN76" s="126" t="e">
        <f>SUBTOTAL(9,#REF!)</f>
        <v>#REF!</v>
      </c>
      <c r="EO76" s="126" t="e">
        <f>SUBTOTAL(9,#REF!)</f>
        <v>#REF!</v>
      </c>
      <c r="EP76" s="126" t="e">
        <f>SUBTOTAL(9,#REF!)</f>
        <v>#REF!</v>
      </c>
      <c r="EQ76" s="126" t="e">
        <f>SUBTOTAL(9,#REF!)</f>
        <v>#REF!</v>
      </c>
      <c r="ER76" s="126" t="e">
        <f>SUBTOTAL(9,#REF!)</f>
        <v>#REF!</v>
      </c>
      <c r="ES76" s="126" t="e">
        <f>SUBTOTAL(9,#REF!)</f>
        <v>#REF!</v>
      </c>
      <c r="ET76" s="126" t="e">
        <f>SUBTOTAL(9,#REF!)</f>
        <v>#REF!</v>
      </c>
      <c r="EU76" s="126" t="e">
        <f>SUBTOTAL(9,#REF!)</f>
        <v>#REF!</v>
      </c>
      <c r="EV76" s="126" t="e">
        <f>SUBTOTAL(9,#REF!)</f>
        <v>#REF!</v>
      </c>
      <c r="EW76" s="126" t="e">
        <f>SUBTOTAL(9,#REF!)</f>
        <v>#REF!</v>
      </c>
      <c r="EX76" s="126" t="e">
        <f>SUBTOTAL(9,#REF!)</f>
        <v>#REF!</v>
      </c>
      <c r="EY76" s="126" t="e">
        <f>SUBTOTAL(9,#REF!)</f>
        <v>#REF!</v>
      </c>
      <c r="EZ76" s="126" t="e">
        <f>SUBTOTAL(9,#REF!)</f>
        <v>#REF!</v>
      </c>
      <c r="FA76" s="126" t="e">
        <f>SUBTOTAL(9,#REF!)</f>
        <v>#REF!</v>
      </c>
      <c r="FB76" s="126" t="e">
        <f>SUBTOTAL(9,#REF!)</f>
        <v>#REF!</v>
      </c>
      <c r="FC76" s="126" t="e">
        <f>SUBTOTAL(9,#REF!)</f>
        <v>#REF!</v>
      </c>
      <c r="FD76" s="126" t="e">
        <f>SUBTOTAL(9,#REF!)</f>
        <v>#REF!</v>
      </c>
      <c r="FE76" s="126" t="e">
        <f>SUBTOTAL(9,#REF!)</f>
        <v>#REF!</v>
      </c>
      <c r="FF76" s="126" t="e">
        <f>SUBTOTAL(9,#REF!)</f>
        <v>#REF!</v>
      </c>
      <c r="FG76" s="126" t="e">
        <f>SUBTOTAL(9,#REF!)</f>
        <v>#REF!</v>
      </c>
      <c r="FH76" s="126" t="e">
        <f>SUBTOTAL(9,#REF!)</f>
        <v>#REF!</v>
      </c>
      <c r="FI76" s="126" t="e">
        <f>SUBTOTAL(9,#REF!)</f>
        <v>#REF!</v>
      </c>
      <c r="FJ76" s="126" t="e">
        <f>SUBTOTAL(9,#REF!)</f>
        <v>#REF!</v>
      </c>
      <c r="FK76" s="126" t="e">
        <f>SUBTOTAL(9,#REF!)</f>
        <v>#REF!</v>
      </c>
      <c r="FL76" s="126" t="e">
        <f>SUBTOTAL(9,#REF!)</f>
        <v>#REF!</v>
      </c>
      <c r="FM76" s="126" t="e">
        <f>SUBTOTAL(9,#REF!)</f>
        <v>#REF!</v>
      </c>
      <c r="FN76" s="126" t="e">
        <f>SUBTOTAL(9,#REF!)</f>
        <v>#REF!</v>
      </c>
      <c r="FO76" s="126" t="e">
        <f>SUBTOTAL(9,#REF!)</f>
        <v>#REF!</v>
      </c>
      <c r="FP76" s="126" t="e">
        <f>SUBTOTAL(9,#REF!)</f>
        <v>#REF!</v>
      </c>
      <c r="FQ76" s="126" t="e">
        <f>SUBTOTAL(9,#REF!)</f>
        <v>#REF!</v>
      </c>
      <c r="FR76" s="126" t="e">
        <f>SUBTOTAL(9,#REF!)</f>
        <v>#REF!</v>
      </c>
      <c r="FS76" s="126" t="e">
        <f>SUBTOTAL(9,#REF!)</f>
        <v>#REF!</v>
      </c>
      <c r="FT76" s="126" t="e">
        <f>SUBTOTAL(9,#REF!)</f>
        <v>#REF!</v>
      </c>
      <c r="FU76" s="126" t="e">
        <f>SUBTOTAL(9,#REF!)</f>
        <v>#REF!</v>
      </c>
      <c r="FV76" s="126" t="e">
        <f>SUBTOTAL(9,#REF!)</f>
        <v>#REF!</v>
      </c>
      <c r="FW76" s="126" t="e">
        <f>SUBTOTAL(9,#REF!)</f>
        <v>#REF!</v>
      </c>
      <c r="FX76" s="126" t="e">
        <f>SUBTOTAL(9,#REF!)</f>
        <v>#REF!</v>
      </c>
      <c r="FY76" s="126" t="e">
        <f>SUBTOTAL(9,#REF!)</f>
        <v>#REF!</v>
      </c>
      <c r="FZ76" s="126" t="e">
        <f>SUBTOTAL(9,#REF!)</f>
        <v>#REF!</v>
      </c>
      <c r="GA76" s="126" t="e">
        <f>SUBTOTAL(9,#REF!)</f>
        <v>#REF!</v>
      </c>
      <c r="GB76" s="126" t="e">
        <f>SUBTOTAL(9,#REF!)</f>
        <v>#REF!</v>
      </c>
      <c r="GC76" s="126" t="e">
        <f>SUBTOTAL(9,#REF!)</f>
        <v>#REF!</v>
      </c>
      <c r="GD76" s="126" t="e">
        <f>SUBTOTAL(9,#REF!)</f>
        <v>#REF!</v>
      </c>
      <c r="GE76" s="126" t="e">
        <f>SUBTOTAL(9,#REF!)</f>
        <v>#REF!</v>
      </c>
      <c r="GF76" s="126" t="e">
        <f>SUBTOTAL(9,#REF!)</f>
        <v>#REF!</v>
      </c>
      <c r="GG76" s="126" t="e">
        <f>SUBTOTAL(9,#REF!)</f>
        <v>#REF!</v>
      </c>
      <c r="GH76" s="126" t="e">
        <f>SUBTOTAL(9,#REF!)</f>
        <v>#REF!</v>
      </c>
      <c r="GI76" s="126" t="e">
        <f>SUBTOTAL(9,#REF!)</f>
        <v>#REF!</v>
      </c>
      <c r="GJ76" s="126" t="e">
        <f>SUBTOTAL(9,#REF!)</f>
        <v>#REF!</v>
      </c>
      <c r="GK76" s="126" t="e">
        <f>SUBTOTAL(9,#REF!)</f>
        <v>#REF!</v>
      </c>
      <c r="GL76" s="126" t="e">
        <f>SUBTOTAL(9,#REF!)</f>
        <v>#REF!</v>
      </c>
      <c r="GM76" s="126" t="e">
        <f>SUBTOTAL(9,#REF!)</f>
        <v>#REF!</v>
      </c>
      <c r="GN76" s="126" t="e">
        <f>SUBTOTAL(9,#REF!)</f>
        <v>#REF!</v>
      </c>
      <c r="GO76" s="126" t="e">
        <f>SUBTOTAL(9,#REF!)</f>
        <v>#REF!</v>
      </c>
      <c r="GP76" s="126" t="e">
        <f>SUBTOTAL(9,#REF!)</f>
        <v>#REF!</v>
      </c>
      <c r="GQ76" s="126" t="e">
        <f>SUBTOTAL(9,#REF!)</f>
        <v>#REF!</v>
      </c>
      <c r="GR76" s="126" t="e">
        <f>SUBTOTAL(9,#REF!)</f>
        <v>#REF!</v>
      </c>
      <c r="GS76" s="126" t="e">
        <f>SUBTOTAL(9,#REF!)</f>
        <v>#REF!</v>
      </c>
      <c r="GT76" s="126" t="e">
        <f>SUBTOTAL(9,#REF!)</f>
        <v>#REF!</v>
      </c>
      <c r="GU76" s="126" t="e">
        <f>SUBTOTAL(9,#REF!)</f>
        <v>#REF!</v>
      </c>
      <c r="GV76" s="126" t="e">
        <f>SUBTOTAL(9,#REF!)</f>
        <v>#REF!</v>
      </c>
      <c r="GW76" s="126" t="e">
        <f>SUBTOTAL(9,#REF!)</f>
        <v>#REF!</v>
      </c>
      <c r="GX76" s="126" t="e">
        <f>SUBTOTAL(9,#REF!)</f>
        <v>#REF!</v>
      </c>
      <c r="GY76" s="126" t="e">
        <f>SUBTOTAL(9,#REF!)</f>
        <v>#REF!</v>
      </c>
      <c r="GZ76" s="126" t="e">
        <f>SUBTOTAL(9,#REF!)</f>
        <v>#REF!</v>
      </c>
      <c r="HA76" s="126" t="e">
        <f>SUBTOTAL(9,#REF!)</f>
        <v>#REF!</v>
      </c>
      <c r="HB76" s="126" t="e">
        <f>SUBTOTAL(9,#REF!)</f>
        <v>#REF!</v>
      </c>
      <c r="HC76" s="126" t="e">
        <f>SUBTOTAL(9,#REF!)</f>
        <v>#REF!</v>
      </c>
      <c r="HD76" s="126" t="e">
        <f>SUBTOTAL(9,#REF!)</f>
        <v>#REF!</v>
      </c>
      <c r="HE76" s="126" t="e">
        <f>SUBTOTAL(9,#REF!)</f>
        <v>#REF!</v>
      </c>
      <c r="HF76" s="126" t="e">
        <f>SUBTOTAL(9,#REF!)</f>
        <v>#REF!</v>
      </c>
      <c r="HG76" s="126" t="e">
        <f>SUBTOTAL(9,#REF!)</f>
        <v>#REF!</v>
      </c>
      <c r="HH76" s="126" t="e">
        <f>SUBTOTAL(9,#REF!)</f>
        <v>#REF!</v>
      </c>
      <c r="HI76" s="126" t="e">
        <f>SUBTOTAL(9,#REF!)</f>
        <v>#REF!</v>
      </c>
      <c r="HJ76" s="126" t="e">
        <f>SUBTOTAL(9,#REF!)</f>
        <v>#REF!</v>
      </c>
      <c r="HK76" s="126" t="e">
        <f>SUBTOTAL(9,#REF!)</f>
        <v>#REF!</v>
      </c>
      <c r="HL76" s="126" t="e">
        <f>SUBTOTAL(9,#REF!)</f>
        <v>#REF!</v>
      </c>
      <c r="HM76" s="126" t="e">
        <f>SUBTOTAL(9,#REF!)</f>
        <v>#REF!</v>
      </c>
      <c r="HN76" s="126" t="e">
        <f>SUBTOTAL(9,#REF!)</f>
        <v>#REF!</v>
      </c>
      <c r="HO76" s="126" t="e">
        <f>SUBTOTAL(9,#REF!)</f>
        <v>#REF!</v>
      </c>
      <c r="HP76" s="126" t="e">
        <f>SUBTOTAL(9,#REF!)</f>
        <v>#REF!</v>
      </c>
      <c r="HQ76" s="126" t="e">
        <f>SUBTOTAL(9,#REF!)</f>
        <v>#REF!</v>
      </c>
      <c r="HR76" s="126" t="e">
        <f>SUBTOTAL(9,#REF!)</f>
        <v>#REF!</v>
      </c>
      <c r="HS76" s="126" t="e">
        <f>SUBTOTAL(9,#REF!)</f>
        <v>#REF!</v>
      </c>
      <c r="HT76" s="126" t="e">
        <f>SUBTOTAL(9,#REF!)</f>
        <v>#REF!</v>
      </c>
      <c r="HU76" s="126" t="e">
        <f>SUBTOTAL(9,#REF!)</f>
        <v>#REF!</v>
      </c>
      <c r="HV76" s="126" t="e">
        <f>SUBTOTAL(9,#REF!)</f>
        <v>#REF!</v>
      </c>
      <c r="HW76" s="126" t="e">
        <f>SUBTOTAL(9,#REF!)</f>
        <v>#REF!</v>
      </c>
      <c r="HX76" s="126" t="e">
        <f>SUBTOTAL(9,#REF!)</f>
        <v>#REF!</v>
      </c>
      <c r="HY76" s="126" t="e">
        <f>SUBTOTAL(9,#REF!)</f>
        <v>#REF!</v>
      </c>
      <c r="HZ76" s="126" t="e">
        <f>SUBTOTAL(9,#REF!)</f>
        <v>#REF!</v>
      </c>
      <c r="IA76" s="126" t="e">
        <f>SUBTOTAL(9,#REF!)</f>
        <v>#REF!</v>
      </c>
      <c r="IB76" s="126" t="e">
        <f>SUBTOTAL(9,#REF!)</f>
        <v>#REF!</v>
      </c>
      <c r="IC76" s="126" t="e">
        <f>SUBTOTAL(9,#REF!)</f>
        <v>#REF!</v>
      </c>
      <c r="ID76" s="126" t="e">
        <f>SUBTOTAL(9,#REF!)</f>
        <v>#REF!</v>
      </c>
      <c r="IE76" s="126" t="e">
        <f>SUBTOTAL(9,#REF!)</f>
        <v>#REF!</v>
      </c>
      <c r="IF76" s="126" t="e">
        <f>SUBTOTAL(9,#REF!)</f>
        <v>#REF!</v>
      </c>
      <c r="IG76" s="126" t="e">
        <f>SUBTOTAL(9,#REF!)</f>
        <v>#REF!</v>
      </c>
      <c r="IH76" s="126" t="e">
        <f>SUBTOTAL(9,#REF!)</f>
        <v>#REF!</v>
      </c>
      <c r="II76" s="126" t="e">
        <f>SUBTOTAL(9,#REF!)</f>
        <v>#REF!</v>
      </c>
      <c r="IJ76" s="126" t="e">
        <f>SUBTOTAL(9,#REF!)</f>
        <v>#REF!</v>
      </c>
      <c r="IK76" s="126" t="e">
        <f>SUBTOTAL(9,#REF!)</f>
        <v>#REF!</v>
      </c>
      <c r="IL76" s="126" t="e">
        <f>SUBTOTAL(9,#REF!)</f>
        <v>#REF!</v>
      </c>
      <c r="IM76" s="126" t="e">
        <f>SUBTOTAL(9,#REF!)</f>
        <v>#REF!</v>
      </c>
      <c r="IN76" s="126" t="e">
        <f>SUBTOTAL(9,#REF!)</f>
        <v>#REF!</v>
      </c>
      <c r="IO76" s="126" t="e">
        <f>SUBTOTAL(9,#REF!)</f>
        <v>#REF!</v>
      </c>
      <c r="IP76" s="126" t="e">
        <f>SUBTOTAL(9,#REF!)</f>
        <v>#REF!</v>
      </c>
      <c r="IQ76" s="126" t="e">
        <f>SUBTOTAL(9,#REF!)</f>
        <v>#REF!</v>
      </c>
      <c r="IR76" s="126" t="e">
        <f>SUBTOTAL(9,#REF!)</f>
        <v>#REF!</v>
      </c>
      <c r="IS76" s="126" t="e">
        <f>SUBTOTAL(9,#REF!)</f>
        <v>#REF!</v>
      </c>
      <c r="IT76" s="126" t="e">
        <f>SUBTOTAL(9,#REF!)</f>
        <v>#REF!</v>
      </c>
      <c r="IU76" s="126" t="e">
        <f>SUBTOTAL(9,#REF!)</f>
        <v>#REF!</v>
      </c>
      <c r="IV76" s="126" t="e">
        <f>SUBTOTAL(9,#REF!)</f>
        <v>#REF!</v>
      </c>
      <c r="IW76" s="126" t="e">
        <f>SUBTOTAL(9,#REF!)</f>
        <v>#REF!</v>
      </c>
      <c r="IX76" s="126" t="e">
        <f>SUBTOTAL(9,#REF!)</f>
        <v>#REF!</v>
      </c>
      <c r="IY76" s="126" t="e">
        <f>SUBTOTAL(9,#REF!)</f>
        <v>#REF!</v>
      </c>
      <c r="IZ76" s="126" t="e">
        <f>SUBTOTAL(9,#REF!)</f>
        <v>#REF!</v>
      </c>
      <c r="JA76" s="126" t="e">
        <f>SUBTOTAL(9,#REF!)</f>
        <v>#REF!</v>
      </c>
      <c r="JB76" s="126" t="e">
        <f>SUBTOTAL(9,#REF!)</f>
        <v>#REF!</v>
      </c>
      <c r="JC76" s="126" t="e">
        <f>SUBTOTAL(9,#REF!)</f>
        <v>#REF!</v>
      </c>
      <c r="JD76" s="126" t="e">
        <f>SUBTOTAL(9,#REF!)</f>
        <v>#REF!</v>
      </c>
      <c r="JE76" s="126" t="e">
        <f>SUBTOTAL(9,#REF!)</f>
        <v>#REF!</v>
      </c>
      <c r="JF76" s="126" t="e">
        <f>SUBTOTAL(9,#REF!)</f>
        <v>#REF!</v>
      </c>
      <c r="JG76" s="126" t="e">
        <f>SUBTOTAL(9,#REF!)</f>
        <v>#REF!</v>
      </c>
      <c r="JH76" s="126" t="e">
        <f>SUBTOTAL(9,#REF!)</f>
        <v>#REF!</v>
      </c>
      <c r="JI76" s="126" t="e">
        <f>SUBTOTAL(9,#REF!)</f>
        <v>#REF!</v>
      </c>
      <c r="JJ76" s="126" t="e">
        <f>SUBTOTAL(9,#REF!)</f>
        <v>#REF!</v>
      </c>
      <c r="JK76" s="126" t="e">
        <f>SUBTOTAL(9,#REF!)</f>
        <v>#REF!</v>
      </c>
      <c r="JL76" s="126" t="e">
        <f>SUBTOTAL(9,#REF!)</f>
        <v>#REF!</v>
      </c>
      <c r="JM76" s="126" t="e">
        <f>SUBTOTAL(9,#REF!)</f>
        <v>#REF!</v>
      </c>
      <c r="JN76" s="126" t="e">
        <f>SUBTOTAL(9,#REF!)</f>
        <v>#REF!</v>
      </c>
      <c r="JO76" s="126" t="e">
        <f>SUBTOTAL(9,#REF!)</f>
        <v>#REF!</v>
      </c>
      <c r="JP76" s="126" t="e">
        <f>SUBTOTAL(9,#REF!)</f>
        <v>#REF!</v>
      </c>
      <c r="JQ76" s="126" t="e">
        <f>SUBTOTAL(9,#REF!)</f>
        <v>#REF!</v>
      </c>
      <c r="JR76" s="126" t="e">
        <f>SUBTOTAL(9,#REF!)</f>
        <v>#REF!</v>
      </c>
      <c r="JS76" s="126" t="e">
        <f>SUBTOTAL(9,#REF!)</f>
        <v>#REF!</v>
      </c>
      <c r="JT76" s="126" t="e">
        <f>SUBTOTAL(9,#REF!)</f>
        <v>#REF!</v>
      </c>
      <c r="JU76" s="126" t="e">
        <f>SUBTOTAL(9,#REF!)</f>
        <v>#REF!</v>
      </c>
      <c r="JV76" s="126" t="e">
        <f>SUBTOTAL(9,#REF!)</f>
        <v>#REF!</v>
      </c>
      <c r="JW76" s="126" t="e">
        <f>SUBTOTAL(9,#REF!)</f>
        <v>#REF!</v>
      </c>
      <c r="JX76" s="126" t="e">
        <f>SUBTOTAL(9,#REF!)</f>
        <v>#REF!</v>
      </c>
      <c r="JY76" s="126" t="e">
        <f>SUBTOTAL(9,#REF!)</f>
        <v>#REF!</v>
      </c>
      <c r="JZ76" s="126" t="e">
        <f>SUBTOTAL(9,#REF!)</f>
        <v>#REF!</v>
      </c>
      <c r="KA76" s="126" t="e">
        <f>SUBTOTAL(9,#REF!)</f>
        <v>#REF!</v>
      </c>
      <c r="KB76" s="126" t="e">
        <f>SUBTOTAL(9,#REF!)</f>
        <v>#REF!</v>
      </c>
      <c r="KC76" s="126" t="e">
        <f>SUBTOTAL(9,#REF!)</f>
        <v>#REF!</v>
      </c>
      <c r="KD76" s="126" t="e">
        <f>SUBTOTAL(9,#REF!)</f>
        <v>#REF!</v>
      </c>
      <c r="KE76" s="126" t="e">
        <f>SUBTOTAL(9,#REF!)</f>
        <v>#REF!</v>
      </c>
      <c r="KF76" s="126" t="e">
        <f>SUBTOTAL(9,#REF!)</f>
        <v>#REF!</v>
      </c>
      <c r="KG76" s="126" t="e">
        <f>SUBTOTAL(9,#REF!)</f>
        <v>#REF!</v>
      </c>
      <c r="KH76" s="126" t="e">
        <f>SUBTOTAL(9,#REF!)</f>
        <v>#REF!</v>
      </c>
      <c r="KI76" s="126" t="e">
        <f>SUBTOTAL(9,#REF!)</f>
        <v>#REF!</v>
      </c>
      <c r="KJ76" s="126" t="e">
        <f>SUBTOTAL(9,#REF!)</f>
        <v>#REF!</v>
      </c>
      <c r="KK76" s="126" t="e">
        <f>SUBTOTAL(9,#REF!)</f>
        <v>#REF!</v>
      </c>
      <c r="KL76" s="126" t="e">
        <f>SUBTOTAL(9,#REF!)</f>
        <v>#REF!</v>
      </c>
      <c r="KM76" s="126" t="e">
        <f>SUBTOTAL(9,#REF!)</f>
        <v>#REF!</v>
      </c>
      <c r="KN76" s="126" t="e">
        <f>SUBTOTAL(9,#REF!)</f>
        <v>#REF!</v>
      </c>
      <c r="KO76" s="126" t="e">
        <f>SUBTOTAL(9,#REF!)</f>
        <v>#REF!</v>
      </c>
      <c r="KP76" s="126" t="e">
        <f>SUBTOTAL(9,#REF!)</f>
        <v>#REF!</v>
      </c>
      <c r="KQ76" s="126" t="e">
        <f>SUBTOTAL(9,#REF!)</f>
        <v>#REF!</v>
      </c>
      <c r="KR76" s="126" t="e">
        <f>SUBTOTAL(9,#REF!)</f>
        <v>#REF!</v>
      </c>
      <c r="KS76" s="126" t="e">
        <f>SUBTOTAL(9,#REF!)</f>
        <v>#REF!</v>
      </c>
      <c r="KT76" s="126" t="e">
        <f>SUBTOTAL(9,#REF!)</f>
        <v>#REF!</v>
      </c>
      <c r="KU76" s="126" t="e">
        <f>SUBTOTAL(9,#REF!)</f>
        <v>#REF!</v>
      </c>
      <c r="KV76" s="126" t="e">
        <f>SUBTOTAL(9,#REF!)</f>
        <v>#REF!</v>
      </c>
      <c r="KW76" s="126" t="e">
        <f>SUBTOTAL(9,#REF!)</f>
        <v>#REF!</v>
      </c>
      <c r="KX76" s="126" t="e">
        <f>SUBTOTAL(9,#REF!)</f>
        <v>#REF!</v>
      </c>
      <c r="KY76" s="126" t="e">
        <f>SUBTOTAL(9,#REF!)</f>
        <v>#REF!</v>
      </c>
      <c r="KZ76" s="126" t="e">
        <f>SUBTOTAL(9,#REF!)</f>
        <v>#REF!</v>
      </c>
      <c r="LA76" s="126" t="e">
        <f>SUBTOTAL(9,#REF!)</f>
        <v>#REF!</v>
      </c>
      <c r="LB76" s="126" t="e">
        <f>SUBTOTAL(9,#REF!)</f>
        <v>#REF!</v>
      </c>
      <c r="LC76" s="126" t="e">
        <f>SUBTOTAL(9,#REF!)</f>
        <v>#REF!</v>
      </c>
      <c r="LD76" s="126" t="e">
        <f>SUBTOTAL(9,#REF!)</f>
        <v>#REF!</v>
      </c>
      <c r="LE76" s="126" t="e">
        <f>SUBTOTAL(9,#REF!)</f>
        <v>#REF!</v>
      </c>
      <c r="LF76" s="126" t="e">
        <f>SUBTOTAL(9,#REF!)</f>
        <v>#REF!</v>
      </c>
      <c r="LG76" s="126" t="e">
        <f>SUBTOTAL(9,#REF!)</f>
        <v>#REF!</v>
      </c>
      <c r="LH76" s="126" t="e">
        <f>SUBTOTAL(9,#REF!)</f>
        <v>#REF!</v>
      </c>
      <c r="LI76" s="126" t="e">
        <f>SUBTOTAL(9,#REF!)</f>
        <v>#REF!</v>
      </c>
      <c r="LJ76" s="126" t="e">
        <f>SUBTOTAL(9,#REF!)</f>
        <v>#REF!</v>
      </c>
      <c r="LK76" s="126" t="e">
        <f>SUBTOTAL(9,#REF!)</f>
        <v>#REF!</v>
      </c>
      <c r="LL76" s="126" t="e">
        <f>SUBTOTAL(9,#REF!)</f>
        <v>#REF!</v>
      </c>
      <c r="LM76" s="126" t="e">
        <f>SUBTOTAL(9,#REF!)</f>
        <v>#REF!</v>
      </c>
      <c r="LN76" s="126" t="e">
        <f>SUBTOTAL(9,#REF!)</f>
        <v>#REF!</v>
      </c>
      <c r="LO76" s="126" t="e">
        <f>SUBTOTAL(9,#REF!)</f>
        <v>#REF!</v>
      </c>
      <c r="LP76" s="126" t="e">
        <f>SUBTOTAL(9,#REF!)</f>
        <v>#REF!</v>
      </c>
      <c r="LQ76" s="126" t="e">
        <f>SUBTOTAL(9,#REF!)</f>
        <v>#REF!</v>
      </c>
      <c r="LR76" s="126" t="e">
        <f>SUBTOTAL(9,#REF!)</f>
        <v>#REF!</v>
      </c>
      <c r="LS76" s="126" t="e">
        <f>SUBTOTAL(9,#REF!)</f>
        <v>#REF!</v>
      </c>
      <c r="LT76" s="126" t="e">
        <f>SUBTOTAL(9,#REF!)</f>
        <v>#REF!</v>
      </c>
      <c r="LU76" s="126" t="e">
        <f>SUBTOTAL(9,#REF!)</f>
        <v>#REF!</v>
      </c>
      <c r="LV76" s="126" t="e">
        <f>SUBTOTAL(9,#REF!)</f>
        <v>#REF!</v>
      </c>
      <c r="LW76" s="126" t="e">
        <f>SUBTOTAL(9,#REF!)</f>
        <v>#REF!</v>
      </c>
      <c r="LX76" s="126" t="e">
        <f>SUBTOTAL(9,#REF!)</f>
        <v>#REF!</v>
      </c>
      <c r="LY76" s="126" t="e">
        <f>SUBTOTAL(9,#REF!)</f>
        <v>#REF!</v>
      </c>
      <c r="LZ76" s="126" t="e">
        <f>SUBTOTAL(9,#REF!)</f>
        <v>#REF!</v>
      </c>
      <c r="MA76" s="126" t="e">
        <f>SUBTOTAL(9,#REF!)</f>
        <v>#REF!</v>
      </c>
      <c r="MB76" s="126" t="e">
        <f>SUBTOTAL(9,#REF!)</f>
        <v>#REF!</v>
      </c>
      <c r="MC76" s="126" t="e">
        <f>SUBTOTAL(9,#REF!)</f>
        <v>#REF!</v>
      </c>
      <c r="MD76" s="126" t="e">
        <f>SUBTOTAL(9,#REF!)</f>
        <v>#REF!</v>
      </c>
      <c r="ME76" s="126" t="e">
        <f>SUBTOTAL(9,#REF!)</f>
        <v>#REF!</v>
      </c>
      <c r="MF76" s="126" t="e">
        <f>SUBTOTAL(9,#REF!)</f>
        <v>#REF!</v>
      </c>
      <c r="MG76" s="126" t="e">
        <f>SUBTOTAL(9,#REF!)</f>
        <v>#REF!</v>
      </c>
      <c r="MH76" s="126" t="e">
        <f>SUBTOTAL(9,#REF!)</f>
        <v>#REF!</v>
      </c>
      <c r="MI76" s="126" t="e">
        <f>SUBTOTAL(9,#REF!)</f>
        <v>#REF!</v>
      </c>
      <c r="MJ76" s="126" t="e">
        <f>SUBTOTAL(9,#REF!)</f>
        <v>#REF!</v>
      </c>
      <c r="MK76" s="126" t="e">
        <f>SUBTOTAL(9,#REF!)</f>
        <v>#REF!</v>
      </c>
      <c r="ML76" s="126" t="e">
        <f>SUBTOTAL(9,#REF!)</f>
        <v>#REF!</v>
      </c>
      <c r="MM76" s="126" t="e">
        <f>SUBTOTAL(9,#REF!)</f>
        <v>#REF!</v>
      </c>
      <c r="MN76" s="126" t="e">
        <f>SUBTOTAL(9,#REF!)</f>
        <v>#REF!</v>
      </c>
      <c r="MO76" s="126" t="e">
        <f>SUBTOTAL(9,#REF!)</f>
        <v>#REF!</v>
      </c>
      <c r="MP76" s="126" t="e">
        <f>SUBTOTAL(9,#REF!)</f>
        <v>#REF!</v>
      </c>
      <c r="MQ76" s="126" t="e">
        <f>SUBTOTAL(9,#REF!)</f>
        <v>#REF!</v>
      </c>
      <c r="MR76" s="126" t="e">
        <f>SUBTOTAL(9,#REF!)</f>
        <v>#REF!</v>
      </c>
      <c r="MS76" s="126" t="e">
        <f>SUBTOTAL(9,#REF!)</f>
        <v>#REF!</v>
      </c>
      <c r="MT76" s="126" t="e">
        <f>SUBTOTAL(9,#REF!)</f>
        <v>#REF!</v>
      </c>
      <c r="MU76" s="126" t="e">
        <f>SUBTOTAL(9,#REF!)</f>
        <v>#REF!</v>
      </c>
      <c r="MV76" s="126" t="e">
        <f>SUBTOTAL(9,#REF!)</f>
        <v>#REF!</v>
      </c>
      <c r="MW76" s="126" t="e">
        <f>SUBTOTAL(9,#REF!)</f>
        <v>#REF!</v>
      </c>
      <c r="MX76" s="126" t="e">
        <f>SUBTOTAL(9,#REF!)</f>
        <v>#REF!</v>
      </c>
      <c r="MY76" s="126" t="e">
        <f>SUBTOTAL(9,#REF!)</f>
        <v>#REF!</v>
      </c>
      <c r="MZ76" s="126" t="e">
        <f>SUBTOTAL(9,#REF!)</f>
        <v>#REF!</v>
      </c>
      <c r="NA76" s="126" t="e">
        <f>SUBTOTAL(9,#REF!)</f>
        <v>#REF!</v>
      </c>
      <c r="NB76" s="126" t="e">
        <f>SUBTOTAL(9,#REF!)</f>
        <v>#REF!</v>
      </c>
      <c r="NC76" s="126" t="e">
        <f>SUBTOTAL(9,#REF!)</f>
        <v>#REF!</v>
      </c>
      <c r="ND76" s="126" t="e">
        <f>SUBTOTAL(9,#REF!)</f>
        <v>#REF!</v>
      </c>
      <c r="NE76" s="126" t="e">
        <f>SUBTOTAL(9,#REF!)</f>
        <v>#REF!</v>
      </c>
      <c r="NF76" s="126" t="e">
        <f>SUBTOTAL(9,#REF!)</f>
        <v>#REF!</v>
      </c>
      <c r="NG76" s="126" t="e">
        <f>SUBTOTAL(9,#REF!)</f>
        <v>#REF!</v>
      </c>
      <c r="NH76" s="126" t="e">
        <f>SUBTOTAL(9,#REF!)</f>
        <v>#REF!</v>
      </c>
      <c r="NI76" s="126" t="e">
        <f>SUBTOTAL(9,#REF!)</f>
        <v>#REF!</v>
      </c>
      <c r="NJ76" s="126" t="e">
        <f>SUBTOTAL(9,#REF!)</f>
        <v>#REF!</v>
      </c>
      <c r="NK76" s="126" t="e">
        <f>SUBTOTAL(9,#REF!)</f>
        <v>#REF!</v>
      </c>
      <c r="NL76" s="126" t="e">
        <f>SUBTOTAL(9,#REF!)</f>
        <v>#REF!</v>
      </c>
      <c r="NM76" s="126" t="e">
        <f>SUBTOTAL(9,#REF!)</f>
        <v>#REF!</v>
      </c>
      <c r="NN76" s="126" t="e">
        <f>SUBTOTAL(9,#REF!)</f>
        <v>#REF!</v>
      </c>
      <c r="NO76" s="126" t="e">
        <f>SUBTOTAL(9,#REF!)</f>
        <v>#REF!</v>
      </c>
      <c r="NP76" s="126" t="e">
        <f>SUBTOTAL(9,#REF!)</f>
        <v>#REF!</v>
      </c>
      <c r="NQ76" s="126" t="e">
        <f>SUBTOTAL(9,#REF!)</f>
        <v>#REF!</v>
      </c>
      <c r="NR76" s="126" t="e">
        <f>SUBTOTAL(9,#REF!)</f>
        <v>#REF!</v>
      </c>
      <c r="NS76" s="126" t="e">
        <f>SUBTOTAL(9,#REF!)</f>
        <v>#REF!</v>
      </c>
      <c r="NT76" s="126" t="e">
        <f>SUBTOTAL(9,#REF!)</f>
        <v>#REF!</v>
      </c>
      <c r="NU76" s="126" t="e">
        <f>SUBTOTAL(9,#REF!)</f>
        <v>#REF!</v>
      </c>
      <c r="NV76" s="126" t="e">
        <f>SUBTOTAL(9,#REF!)</f>
        <v>#REF!</v>
      </c>
      <c r="NW76" s="126" t="e">
        <f>SUBTOTAL(9,#REF!)</f>
        <v>#REF!</v>
      </c>
      <c r="NX76" s="126" t="e">
        <f>SUBTOTAL(9,#REF!)</f>
        <v>#REF!</v>
      </c>
      <c r="NY76" s="126" t="e">
        <f>SUBTOTAL(9,#REF!)</f>
        <v>#REF!</v>
      </c>
      <c r="NZ76" s="126" t="e">
        <f>SUBTOTAL(9,#REF!)</f>
        <v>#REF!</v>
      </c>
      <c r="OA76" s="126" t="e">
        <f>SUBTOTAL(9,#REF!)</f>
        <v>#REF!</v>
      </c>
      <c r="OB76" s="126" t="e">
        <f>SUBTOTAL(9,#REF!)</f>
        <v>#REF!</v>
      </c>
      <c r="OC76" s="126" t="e">
        <f>SUBTOTAL(9,#REF!)</f>
        <v>#REF!</v>
      </c>
      <c r="OD76" s="126" t="e">
        <f>SUBTOTAL(9,#REF!)</f>
        <v>#REF!</v>
      </c>
      <c r="OE76" s="126" t="e">
        <f>SUBTOTAL(9,#REF!)</f>
        <v>#REF!</v>
      </c>
      <c r="OF76" s="126" t="e">
        <f>SUBTOTAL(9,#REF!)</f>
        <v>#REF!</v>
      </c>
      <c r="OG76" s="126" t="e">
        <f>SUBTOTAL(9,#REF!)</f>
        <v>#REF!</v>
      </c>
      <c r="OH76" s="126" t="e">
        <f>SUBTOTAL(9,#REF!)</f>
        <v>#REF!</v>
      </c>
      <c r="OI76" s="126" t="e">
        <f>SUBTOTAL(9,#REF!)</f>
        <v>#REF!</v>
      </c>
      <c r="OJ76" s="126" t="e">
        <f>SUBTOTAL(9,#REF!)</f>
        <v>#REF!</v>
      </c>
      <c r="OK76" s="126" t="e">
        <f>SUBTOTAL(9,#REF!)</f>
        <v>#REF!</v>
      </c>
      <c r="OL76" s="126" t="e">
        <f>SUBTOTAL(9,#REF!)</f>
        <v>#REF!</v>
      </c>
      <c r="OM76" s="126" t="e">
        <f>SUBTOTAL(9,#REF!)</f>
        <v>#REF!</v>
      </c>
      <c r="ON76" s="126" t="e">
        <f>SUBTOTAL(9,#REF!)</f>
        <v>#REF!</v>
      </c>
      <c r="OO76" s="126" t="e">
        <f>SUBTOTAL(9,#REF!)</f>
        <v>#REF!</v>
      </c>
      <c r="OP76" s="126" t="e">
        <f>SUBTOTAL(9,#REF!)</f>
        <v>#REF!</v>
      </c>
      <c r="OQ76" s="126" t="e">
        <f>SUBTOTAL(9,#REF!)</f>
        <v>#REF!</v>
      </c>
      <c r="OR76" s="126" t="e">
        <f>SUBTOTAL(9,#REF!)</f>
        <v>#REF!</v>
      </c>
      <c r="OS76" s="126" t="e">
        <f>SUBTOTAL(9,#REF!)</f>
        <v>#REF!</v>
      </c>
      <c r="OT76" s="126" t="e">
        <f>SUBTOTAL(9,#REF!)</f>
        <v>#REF!</v>
      </c>
      <c r="OU76" s="126" t="e">
        <f>SUBTOTAL(9,#REF!)</f>
        <v>#REF!</v>
      </c>
      <c r="OV76" s="126" t="e">
        <f>SUBTOTAL(9,#REF!)</f>
        <v>#REF!</v>
      </c>
      <c r="OW76" s="126" t="e">
        <f>SUBTOTAL(9,#REF!)</f>
        <v>#REF!</v>
      </c>
      <c r="OX76" s="126" t="e">
        <f>SUBTOTAL(9,#REF!)</f>
        <v>#REF!</v>
      </c>
      <c r="OY76" s="126" t="e">
        <f>SUBTOTAL(9,#REF!)</f>
        <v>#REF!</v>
      </c>
      <c r="OZ76" s="126" t="e">
        <f>SUBTOTAL(9,#REF!)</f>
        <v>#REF!</v>
      </c>
      <c r="PA76" s="126" t="e">
        <f>SUBTOTAL(9,#REF!)</f>
        <v>#REF!</v>
      </c>
      <c r="PB76" s="126" t="e">
        <f>SUBTOTAL(9,#REF!)</f>
        <v>#REF!</v>
      </c>
      <c r="PC76" s="126" t="e">
        <f>SUBTOTAL(9,#REF!)</f>
        <v>#REF!</v>
      </c>
      <c r="PD76" s="126" t="e">
        <f>SUBTOTAL(9,#REF!)</f>
        <v>#REF!</v>
      </c>
      <c r="PE76" s="126" t="e">
        <f>SUBTOTAL(9,#REF!)</f>
        <v>#REF!</v>
      </c>
      <c r="PF76" s="126" t="e">
        <f>SUBTOTAL(9,#REF!)</f>
        <v>#REF!</v>
      </c>
      <c r="PG76" s="126" t="e">
        <f>SUBTOTAL(9,#REF!)</f>
        <v>#REF!</v>
      </c>
      <c r="PH76" s="126" t="e">
        <f>SUBTOTAL(9,#REF!)</f>
        <v>#REF!</v>
      </c>
      <c r="PI76" s="126" t="e">
        <f>SUBTOTAL(9,#REF!)</f>
        <v>#REF!</v>
      </c>
      <c r="PJ76" s="126" t="e">
        <f>SUBTOTAL(9,#REF!)</f>
        <v>#REF!</v>
      </c>
      <c r="PK76" s="126" t="e">
        <f>SUBTOTAL(9,#REF!)</f>
        <v>#REF!</v>
      </c>
      <c r="PL76" s="126" t="e">
        <f>SUBTOTAL(9,#REF!)</f>
        <v>#REF!</v>
      </c>
      <c r="PM76" s="126" t="e">
        <f>SUBTOTAL(9,#REF!)</f>
        <v>#REF!</v>
      </c>
      <c r="PN76" s="126" t="e">
        <f>SUBTOTAL(9,#REF!)</f>
        <v>#REF!</v>
      </c>
      <c r="PO76" s="126" t="e">
        <f>SUBTOTAL(9,#REF!)</f>
        <v>#REF!</v>
      </c>
      <c r="PP76" s="126" t="e">
        <f>SUBTOTAL(9,#REF!)</f>
        <v>#REF!</v>
      </c>
      <c r="PQ76" s="126" t="e">
        <f>SUBTOTAL(9,#REF!)</f>
        <v>#REF!</v>
      </c>
      <c r="PR76" s="126" t="e">
        <f>SUBTOTAL(9,#REF!)</f>
        <v>#REF!</v>
      </c>
      <c r="PS76" s="126" t="e">
        <f>SUBTOTAL(9,#REF!)</f>
        <v>#REF!</v>
      </c>
      <c r="PT76" s="126" t="e">
        <f>SUBTOTAL(9,#REF!)</f>
        <v>#REF!</v>
      </c>
      <c r="PU76" s="126" t="e">
        <f>SUBTOTAL(9,#REF!)</f>
        <v>#REF!</v>
      </c>
      <c r="PV76" s="126" t="e">
        <f>SUBTOTAL(9,#REF!)</f>
        <v>#REF!</v>
      </c>
      <c r="PW76" s="126" t="e">
        <f>SUBTOTAL(9,#REF!)</f>
        <v>#REF!</v>
      </c>
      <c r="PX76" s="126" t="e">
        <f>SUBTOTAL(9,#REF!)</f>
        <v>#REF!</v>
      </c>
      <c r="PY76" s="126" t="e">
        <f>SUBTOTAL(9,#REF!)</f>
        <v>#REF!</v>
      </c>
      <c r="PZ76" s="126" t="e">
        <f>SUBTOTAL(9,#REF!)</f>
        <v>#REF!</v>
      </c>
      <c r="QA76" s="126" t="e">
        <f>SUBTOTAL(9,#REF!)</f>
        <v>#REF!</v>
      </c>
      <c r="QB76" s="126" t="e">
        <f>SUBTOTAL(9,#REF!)</f>
        <v>#REF!</v>
      </c>
      <c r="QC76" s="126" t="e">
        <f>SUBTOTAL(9,#REF!)</f>
        <v>#REF!</v>
      </c>
      <c r="QD76" s="126" t="e">
        <f>SUBTOTAL(9,#REF!)</f>
        <v>#REF!</v>
      </c>
      <c r="QE76" s="126" t="e">
        <f>SUBTOTAL(9,#REF!)</f>
        <v>#REF!</v>
      </c>
      <c r="QF76" s="126" t="e">
        <f>SUBTOTAL(9,#REF!)</f>
        <v>#REF!</v>
      </c>
      <c r="QG76" s="126" t="e">
        <f>SUBTOTAL(9,#REF!)</f>
        <v>#REF!</v>
      </c>
      <c r="QH76" s="126" t="e">
        <f>SUBTOTAL(9,#REF!)</f>
        <v>#REF!</v>
      </c>
      <c r="QI76" s="126" t="e">
        <f>SUBTOTAL(9,#REF!)</f>
        <v>#REF!</v>
      </c>
      <c r="QJ76" s="126" t="e">
        <f>SUBTOTAL(9,#REF!)</f>
        <v>#REF!</v>
      </c>
      <c r="QK76" s="126" t="e">
        <f>SUBTOTAL(9,#REF!)</f>
        <v>#REF!</v>
      </c>
      <c r="QL76" s="126" t="e">
        <f>SUBTOTAL(9,#REF!)</f>
        <v>#REF!</v>
      </c>
      <c r="QM76" s="126" t="e">
        <f>SUBTOTAL(9,#REF!)</f>
        <v>#REF!</v>
      </c>
      <c r="QN76" s="126" t="e">
        <f>SUBTOTAL(9,#REF!)</f>
        <v>#REF!</v>
      </c>
      <c r="QO76" s="126" t="e">
        <f>SUBTOTAL(9,#REF!)</f>
        <v>#REF!</v>
      </c>
      <c r="QP76" s="126" t="e">
        <f>SUBTOTAL(9,#REF!)</f>
        <v>#REF!</v>
      </c>
      <c r="QQ76" s="126" t="e">
        <f>SUBTOTAL(9,#REF!)</f>
        <v>#REF!</v>
      </c>
      <c r="QR76" s="126" t="e">
        <f>SUBTOTAL(9,#REF!)</f>
        <v>#REF!</v>
      </c>
      <c r="QS76" s="126" t="e">
        <f>SUBTOTAL(9,#REF!)</f>
        <v>#REF!</v>
      </c>
      <c r="QT76" s="126" t="e">
        <f>SUBTOTAL(9,#REF!)</f>
        <v>#REF!</v>
      </c>
      <c r="QU76" s="126" t="e">
        <f>SUBTOTAL(9,#REF!)</f>
        <v>#REF!</v>
      </c>
      <c r="QV76" s="126" t="e">
        <f>SUBTOTAL(9,#REF!)</f>
        <v>#REF!</v>
      </c>
      <c r="QW76" s="126" t="e">
        <f>SUBTOTAL(9,#REF!)</f>
        <v>#REF!</v>
      </c>
      <c r="QX76" s="126" t="e">
        <f>SUBTOTAL(9,#REF!)</f>
        <v>#REF!</v>
      </c>
      <c r="QY76" s="126" t="e">
        <f>SUBTOTAL(9,#REF!)</f>
        <v>#REF!</v>
      </c>
      <c r="QZ76" s="126" t="e">
        <f>SUBTOTAL(9,#REF!)</f>
        <v>#REF!</v>
      </c>
      <c r="RA76" s="126" t="e">
        <f>SUBTOTAL(9,#REF!)</f>
        <v>#REF!</v>
      </c>
      <c r="RB76" s="126" t="e">
        <f>SUBTOTAL(9,#REF!)</f>
        <v>#REF!</v>
      </c>
      <c r="RC76" s="126" t="e">
        <f>SUBTOTAL(9,#REF!)</f>
        <v>#REF!</v>
      </c>
      <c r="RD76" s="126" t="e">
        <f>SUBTOTAL(9,#REF!)</f>
        <v>#REF!</v>
      </c>
      <c r="RE76" s="126" t="e">
        <f>SUBTOTAL(9,#REF!)</f>
        <v>#REF!</v>
      </c>
      <c r="RF76" s="126" t="e">
        <f>SUBTOTAL(9,#REF!)</f>
        <v>#REF!</v>
      </c>
      <c r="RG76" s="24"/>
      <c r="RH76" s="50"/>
      <c r="RI76" s="152">
        <f>SUBTOTAL(9,RI2:RI75)</f>
        <v>225898.57999999993</v>
      </c>
      <c r="RJ76" s="152"/>
      <c r="RK76" s="152"/>
      <c r="RL76" s="158">
        <f>SUBTOTAL(9,RL2:RL75)</f>
        <v>108075.45000000001</v>
      </c>
      <c r="RM76" s="103">
        <f>SUM(RM2:RM75)</f>
        <v>8004.0000000000009</v>
      </c>
      <c r="RN76" s="103">
        <f>SUM(RN2:RN75)</f>
        <v>108171.41</v>
      </c>
      <c r="RO76" s="103">
        <f>SUM(RO2:RO75)</f>
        <v>1647.72</v>
      </c>
      <c r="RP76" s="40"/>
      <c r="RQ76" s="5"/>
    </row>
    <row r="77" spans="1:485" s="31" customFormat="1" ht="12" customHeight="1" x14ac:dyDescent="0.25">
      <c r="A77" s="134"/>
      <c r="B77" s="135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  <c r="AY77" s="136"/>
      <c r="AZ77" s="136"/>
      <c r="BA77" s="136"/>
      <c r="BB77" s="136"/>
      <c r="BC77" s="136"/>
      <c r="BD77" s="136"/>
      <c r="BE77" s="136"/>
      <c r="BF77" s="136"/>
      <c r="BG77" s="136"/>
      <c r="BH77" s="136"/>
      <c r="BI77" s="136"/>
      <c r="BJ77" s="136"/>
      <c r="BK77" s="136"/>
      <c r="BL77" s="136"/>
      <c r="BM77" s="136"/>
      <c r="BN77" s="136"/>
      <c r="BO77" s="136"/>
      <c r="BP77" s="136"/>
      <c r="BQ77" s="136"/>
      <c r="BR77" s="136"/>
      <c r="BS77" s="136"/>
      <c r="BT77" s="136"/>
      <c r="BU77" s="136"/>
      <c r="BV77" s="136"/>
      <c r="BW77" s="136"/>
      <c r="BX77" s="136"/>
      <c r="BY77" s="136"/>
      <c r="BZ77" s="136"/>
      <c r="CA77" s="136"/>
      <c r="CB77" s="136"/>
      <c r="CC77" s="136"/>
      <c r="CD77" s="136"/>
      <c r="CE77" s="136"/>
      <c r="CF77" s="136"/>
      <c r="CG77" s="136"/>
      <c r="CH77" s="136"/>
      <c r="CI77" s="136"/>
      <c r="CJ77" s="136"/>
      <c r="CK77" s="136"/>
      <c r="CL77" s="136"/>
      <c r="CM77" s="136"/>
      <c r="CN77" s="136"/>
      <c r="CO77" s="136"/>
      <c r="CP77" s="136"/>
      <c r="CQ77" s="136"/>
      <c r="CR77" s="136"/>
      <c r="CS77" s="136"/>
      <c r="CT77" s="136"/>
      <c r="CU77" s="136"/>
      <c r="CV77" s="136"/>
      <c r="CW77" s="136"/>
      <c r="CX77" s="136"/>
      <c r="CY77" s="136"/>
      <c r="CZ77" s="136"/>
      <c r="DA77" s="136"/>
      <c r="DB77" s="136"/>
      <c r="DC77" s="136"/>
      <c r="DD77" s="136"/>
      <c r="DE77" s="136"/>
      <c r="DF77" s="136"/>
      <c r="DG77" s="136"/>
      <c r="DH77" s="136"/>
      <c r="DI77" s="136"/>
      <c r="DJ77" s="136"/>
      <c r="DK77" s="136"/>
      <c r="DL77" s="137"/>
      <c r="DM77" s="136"/>
      <c r="DN77" s="136"/>
      <c r="DO77" s="136"/>
      <c r="DP77" s="136"/>
      <c r="DQ77" s="136"/>
      <c r="DR77" s="136"/>
      <c r="DS77" s="136"/>
      <c r="DT77" s="136"/>
      <c r="DU77" s="136"/>
      <c r="DV77" s="136"/>
      <c r="DW77" s="136"/>
      <c r="DX77" s="136"/>
      <c r="DY77" s="136"/>
      <c r="DZ77" s="136"/>
      <c r="EA77" s="136"/>
      <c r="EB77" s="136"/>
      <c r="EC77" s="136"/>
      <c r="ED77" s="136"/>
      <c r="EE77" s="136"/>
      <c r="EF77" s="136"/>
      <c r="EG77" s="136"/>
      <c r="EH77" s="136"/>
      <c r="EI77" s="136"/>
      <c r="EJ77" s="136"/>
      <c r="EK77" s="136"/>
      <c r="EL77" s="136"/>
      <c r="EM77" s="136"/>
      <c r="EN77" s="136"/>
      <c r="EO77" s="136"/>
      <c r="EP77" s="136"/>
      <c r="EQ77" s="136"/>
      <c r="ER77" s="136"/>
      <c r="ES77" s="136"/>
      <c r="ET77" s="136"/>
      <c r="EU77" s="136"/>
      <c r="EV77" s="136"/>
      <c r="EW77" s="136"/>
      <c r="EX77" s="136"/>
      <c r="EY77" s="136"/>
      <c r="EZ77" s="136"/>
      <c r="FA77" s="136"/>
      <c r="FB77" s="136"/>
      <c r="FC77" s="136"/>
      <c r="FD77" s="136"/>
      <c r="FE77" s="136"/>
      <c r="FF77" s="136"/>
      <c r="FG77" s="136"/>
      <c r="FH77" s="136"/>
      <c r="FI77" s="136"/>
      <c r="FJ77" s="136"/>
      <c r="FK77" s="136"/>
      <c r="FL77" s="137"/>
      <c r="FM77" s="137"/>
      <c r="FN77" s="137"/>
      <c r="FO77" s="136"/>
      <c r="FP77" s="136"/>
      <c r="FQ77" s="136"/>
      <c r="FR77" s="136"/>
      <c r="FS77" s="136"/>
      <c r="FT77" s="136"/>
      <c r="FU77" s="136"/>
      <c r="FV77" s="136"/>
      <c r="FW77" s="136"/>
      <c r="FX77" s="136"/>
      <c r="FY77" s="136"/>
      <c r="FZ77" s="136"/>
      <c r="GA77" s="136"/>
      <c r="GB77" s="136"/>
      <c r="GC77" s="136"/>
      <c r="GD77" s="137"/>
      <c r="GE77" s="136"/>
      <c r="GF77" s="136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7"/>
      <c r="GX77" s="136"/>
      <c r="GY77" s="136"/>
      <c r="GZ77" s="136"/>
      <c r="HA77" s="136"/>
      <c r="HB77" s="136"/>
      <c r="HC77" s="136"/>
      <c r="HD77" s="136"/>
      <c r="HE77" s="137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7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7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  <c r="NM77" s="136"/>
      <c r="NN77" s="136"/>
      <c r="NO77" s="136"/>
      <c r="NP77" s="136"/>
      <c r="NQ77" s="136"/>
      <c r="NR77" s="136"/>
      <c r="NS77" s="136"/>
      <c r="NT77" s="136"/>
      <c r="NU77" s="136"/>
      <c r="NV77" s="136"/>
      <c r="NW77" s="136"/>
      <c r="NX77" s="136"/>
      <c r="NY77" s="136"/>
      <c r="NZ77" s="136"/>
      <c r="OA77" s="136"/>
      <c r="OB77" s="136"/>
      <c r="OC77" s="136"/>
      <c r="OD77" s="136"/>
      <c r="OE77" s="136"/>
      <c r="OF77" s="136"/>
      <c r="OG77" s="136"/>
      <c r="OH77" s="136"/>
      <c r="OI77" s="136"/>
      <c r="OJ77" s="136"/>
      <c r="OK77" s="136"/>
      <c r="OL77" s="136"/>
      <c r="OM77" s="136"/>
      <c r="ON77" s="136"/>
      <c r="OO77" s="136"/>
      <c r="OP77" s="136"/>
      <c r="OQ77" s="136"/>
      <c r="OR77" s="136"/>
      <c r="OS77" s="136"/>
      <c r="OT77" s="136"/>
      <c r="OU77" s="136"/>
      <c r="OV77" s="136"/>
      <c r="OW77" s="136"/>
      <c r="OX77" s="136"/>
      <c r="OY77" s="136"/>
      <c r="OZ77" s="136"/>
      <c r="PA77" s="136"/>
      <c r="PB77" s="136"/>
      <c r="PC77" s="136"/>
      <c r="PD77" s="136"/>
      <c r="PE77" s="136"/>
      <c r="PF77" s="136"/>
      <c r="PG77" s="136"/>
      <c r="PH77" s="136"/>
      <c r="PI77" s="136"/>
      <c r="PJ77" s="136"/>
      <c r="PK77" s="136"/>
      <c r="PL77" s="136"/>
      <c r="PM77" s="136"/>
      <c r="PN77" s="136"/>
      <c r="PO77" s="136"/>
      <c r="PP77" s="136"/>
      <c r="PQ77" s="136"/>
      <c r="PR77" s="136"/>
      <c r="PS77" s="136"/>
      <c r="PT77" s="136"/>
      <c r="PU77" s="136"/>
      <c r="PV77" s="136"/>
      <c r="PW77" s="136"/>
      <c r="PX77" s="136"/>
      <c r="PY77" s="136"/>
      <c r="PZ77" s="136"/>
      <c r="QA77" s="136"/>
      <c r="QB77" s="136"/>
      <c r="QC77" s="136"/>
      <c r="QD77" s="136"/>
      <c r="QE77" s="136"/>
      <c r="QF77" s="136"/>
      <c r="QG77" s="136"/>
      <c r="QH77" s="136"/>
      <c r="QI77" s="136"/>
      <c r="QJ77" s="136"/>
      <c r="QK77" s="136"/>
      <c r="QL77" s="136"/>
      <c r="QM77" s="136"/>
      <c r="QN77" s="136"/>
      <c r="QO77" s="136"/>
      <c r="QP77" s="136"/>
      <c r="QQ77" s="136"/>
      <c r="QR77" s="136"/>
      <c r="QS77" s="136"/>
      <c r="QT77" s="136"/>
      <c r="QU77" s="136"/>
      <c r="QV77" s="136"/>
      <c r="QW77" s="136"/>
      <c r="QX77" s="136"/>
      <c r="QY77" s="136"/>
      <c r="QZ77" s="136"/>
      <c r="RA77" s="136"/>
      <c r="RB77" s="136"/>
      <c r="RC77" s="136"/>
      <c r="RD77" s="136"/>
      <c r="RE77" s="136"/>
      <c r="RF77" s="136"/>
      <c r="RG77" s="53"/>
      <c r="RH77" s="138"/>
      <c r="RI77" s="90"/>
      <c r="RJ77" s="53"/>
      <c r="RK77" s="53"/>
      <c r="RL77" s="99"/>
      <c r="RM77" s="122"/>
      <c r="RN77" s="122"/>
      <c r="RO77" s="122"/>
      <c r="RP77" s="139"/>
      <c r="RQ77" s="5"/>
    </row>
    <row r="78" spans="1:485" s="31" customFormat="1" ht="12" customHeight="1" x14ac:dyDescent="0.25">
      <c r="A78" s="134"/>
      <c r="B78" s="135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  <c r="AY78" s="136"/>
      <c r="AZ78" s="136"/>
      <c r="BA78" s="136"/>
      <c r="BB78" s="136"/>
      <c r="BC78" s="136"/>
      <c r="BD78" s="136"/>
      <c r="BE78" s="136"/>
      <c r="BF78" s="136"/>
      <c r="BG78" s="136"/>
      <c r="BH78" s="136"/>
      <c r="BI78" s="136"/>
      <c r="BJ78" s="136"/>
      <c r="BK78" s="136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  <c r="CG78" s="136"/>
      <c r="CH78" s="136"/>
      <c r="CI78" s="136"/>
      <c r="CJ78" s="136"/>
      <c r="CK78" s="136"/>
      <c r="CL78" s="136"/>
      <c r="CM78" s="136"/>
      <c r="CN78" s="136"/>
      <c r="CO78" s="136"/>
      <c r="CP78" s="136"/>
      <c r="CQ78" s="136"/>
      <c r="CR78" s="136"/>
      <c r="CS78" s="136"/>
      <c r="CT78" s="136"/>
      <c r="CU78" s="136"/>
      <c r="CV78" s="136"/>
      <c r="CW78" s="136"/>
      <c r="CX78" s="136"/>
      <c r="CY78" s="136"/>
      <c r="CZ78" s="136"/>
      <c r="DA78" s="136"/>
      <c r="DB78" s="136"/>
      <c r="DC78" s="136"/>
      <c r="DD78" s="136"/>
      <c r="DE78" s="136"/>
      <c r="DF78" s="136"/>
      <c r="DG78" s="136"/>
      <c r="DH78" s="136"/>
      <c r="DI78" s="136"/>
      <c r="DJ78" s="136"/>
      <c r="DK78" s="136"/>
      <c r="DL78" s="137"/>
      <c r="DM78" s="136"/>
      <c r="DN78" s="136"/>
      <c r="DO78" s="136"/>
      <c r="DP78" s="136"/>
      <c r="DQ78" s="136"/>
      <c r="DR78" s="136"/>
      <c r="DS78" s="136"/>
      <c r="DT78" s="136"/>
      <c r="DU78" s="136"/>
      <c r="DV78" s="136"/>
      <c r="DW78" s="136"/>
      <c r="DX78" s="136"/>
      <c r="DY78" s="136"/>
      <c r="DZ78" s="136"/>
      <c r="EA78" s="136"/>
      <c r="EB78" s="136"/>
      <c r="EC78" s="136"/>
      <c r="ED78" s="136"/>
      <c r="EE78" s="136"/>
      <c r="EF78" s="136"/>
      <c r="EG78" s="136"/>
      <c r="EH78" s="136"/>
      <c r="EI78" s="136"/>
      <c r="EJ78" s="136"/>
      <c r="EK78" s="136"/>
      <c r="EL78" s="136"/>
      <c r="EM78" s="136"/>
      <c r="EN78" s="136"/>
      <c r="EO78" s="136"/>
      <c r="EP78" s="136"/>
      <c r="EQ78" s="136"/>
      <c r="ER78" s="136"/>
      <c r="ES78" s="136"/>
      <c r="ET78" s="136"/>
      <c r="EU78" s="136"/>
      <c r="EV78" s="136"/>
      <c r="EW78" s="136"/>
      <c r="EX78" s="136"/>
      <c r="EY78" s="136"/>
      <c r="EZ78" s="136"/>
      <c r="FA78" s="136"/>
      <c r="FB78" s="136"/>
      <c r="FC78" s="136"/>
      <c r="FD78" s="136"/>
      <c r="FE78" s="136"/>
      <c r="FF78" s="136"/>
      <c r="FG78" s="136"/>
      <c r="FH78" s="136"/>
      <c r="FI78" s="136"/>
      <c r="FJ78" s="136"/>
      <c r="FK78" s="136"/>
      <c r="FL78" s="137"/>
      <c r="FM78" s="137"/>
      <c r="FN78" s="137"/>
      <c r="FO78" s="136"/>
      <c r="FP78" s="136"/>
      <c r="FQ78" s="136"/>
      <c r="FR78" s="136"/>
      <c r="FS78" s="136"/>
      <c r="FT78" s="136"/>
      <c r="FU78" s="136"/>
      <c r="FV78" s="136"/>
      <c r="FW78" s="136"/>
      <c r="FX78" s="136"/>
      <c r="FY78" s="136"/>
      <c r="FZ78" s="136"/>
      <c r="GA78" s="136"/>
      <c r="GB78" s="136"/>
      <c r="GC78" s="136"/>
      <c r="GD78" s="137"/>
      <c r="GE78" s="136"/>
      <c r="GF78" s="136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7"/>
      <c r="GX78" s="136"/>
      <c r="GY78" s="136"/>
      <c r="GZ78" s="136"/>
      <c r="HA78" s="136"/>
      <c r="HB78" s="136"/>
      <c r="HC78" s="136"/>
      <c r="HD78" s="136"/>
      <c r="HE78" s="137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7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7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  <c r="NM78" s="136"/>
      <c r="NN78" s="136"/>
      <c r="NO78" s="136"/>
      <c r="NP78" s="136"/>
      <c r="NQ78" s="136"/>
      <c r="NR78" s="136"/>
      <c r="NS78" s="136"/>
      <c r="NT78" s="136"/>
      <c r="NU78" s="136"/>
      <c r="NV78" s="136"/>
      <c r="NW78" s="136"/>
      <c r="NX78" s="136"/>
      <c r="NY78" s="136"/>
      <c r="NZ78" s="136"/>
      <c r="OA78" s="136"/>
      <c r="OB78" s="136"/>
      <c r="OC78" s="136"/>
      <c r="OD78" s="136"/>
      <c r="OE78" s="136"/>
      <c r="OF78" s="136"/>
      <c r="OG78" s="136"/>
      <c r="OH78" s="136"/>
      <c r="OI78" s="136"/>
      <c r="OJ78" s="136"/>
      <c r="OK78" s="136"/>
      <c r="OL78" s="136"/>
      <c r="OM78" s="136"/>
      <c r="ON78" s="136"/>
      <c r="OO78" s="136"/>
      <c r="OP78" s="136"/>
      <c r="OQ78" s="136"/>
      <c r="OR78" s="136"/>
      <c r="OS78" s="136"/>
      <c r="OT78" s="136"/>
      <c r="OU78" s="136"/>
      <c r="OV78" s="136"/>
      <c r="OW78" s="136"/>
      <c r="OX78" s="136"/>
      <c r="OY78" s="136"/>
      <c r="OZ78" s="136"/>
      <c r="PA78" s="136"/>
      <c r="PB78" s="136"/>
      <c r="PC78" s="136"/>
      <c r="PD78" s="136"/>
      <c r="PE78" s="136"/>
      <c r="PF78" s="136"/>
      <c r="PG78" s="136"/>
      <c r="PH78" s="136"/>
      <c r="PI78" s="136"/>
      <c r="PJ78" s="136"/>
      <c r="PK78" s="136"/>
      <c r="PL78" s="136"/>
      <c r="PM78" s="136"/>
      <c r="PN78" s="136"/>
      <c r="PO78" s="136"/>
      <c r="PP78" s="136"/>
      <c r="PQ78" s="136"/>
      <c r="PR78" s="136"/>
      <c r="PS78" s="136"/>
      <c r="PT78" s="136"/>
      <c r="PU78" s="136"/>
      <c r="PV78" s="136"/>
      <c r="PW78" s="136"/>
      <c r="PX78" s="136"/>
      <c r="PY78" s="136"/>
      <c r="PZ78" s="136"/>
      <c r="QA78" s="136"/>
      <c r="QB78" s="136"/>
      <c r="QC78" s="136"/>
      <c r="QD78" s="136"/>
      <c r="QE78" s="136"/>
      <c r="QF78" s="136"/>
      <c r="QG78" s="136"/>
      <c r="QH78" s="136"/>
      <c r="QI78" s="136"/>
      <c r="QJ78" s="136"/>
      <c r="QK78" s="136"/>
      <c r="QL78" s="136"/>
      <c r="QM78" s="136"/>
      <c r="QN78" s="136"/>
      <c r="QO78" s="136"/>
      <c r="QP78" s="136"/>
      <c r="QQ78" s="136"/>
      <c r="QR78" s="136"/>
      <c r="QS78" s="136"/>
      <c r="QT78" s="136"/>
      <c r="QU78" s="136"/>
      <c r="QV78" s="136"/>
      <c r="QW78" s="136"/>
      <c r="QX78" s="136"/>
      <c r="QY78" s="136"/>
      <c r="QZ78" s="136"/>
      <c r="RA78" s="136"/>
      <c r="RB78" s="136"/>
      <c r="RC78" s="136"/>
      <c r="RD78" s="136"/>
      <c r="RE78" s="136"/>
      <c r="RF78" s="136"/>
      <c r="RG78" s="53"/>
      <c r="RH78" s="138"/>
      <c r="RI78" s="90" t="s">
        <v>515</v>
      </c>
      <c r="RJ78" s="53"/>
      <c r="RK78" s="53"/>
      <c r="RL78" s="99"/>
      <c r="RM78" s="122"/>
      <c r="RN78" s="122"/>
      <c r="RO78" s="122"/>
      <c r="RP78" s="139"/>
      <c r="RQ78" s="5"/>
    </row>
    <row r="79" spans="1:485" s="31" customFormat="1" ht="12" customHeight="1" x14ac:dyDescent="0.25">
      <c r="A79" s="134"/>
      <c r="B79" s="135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  <c r="AY79" s="136"/>
      <c r="AZ79" s="136"/>
      <c r="BA79" s="136"/>
      <c r="BB79" s="136"/>
      <c r="BC79" s="136"/>
      <c r="BD79" s="136"/>
      <c r="BE79" s="136"/>
      <c r="BF79" s="136"/>
      <c r="BG79" s="136"/>
      <c r="BH79" s="136"/>
      <c r="BI79" s="136"/>
      <c r="BJ79" s="136"/>
      <c r="BK79" s="136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  <c r="CG79" s="136"/>
      <c r="CH79" s="136"/>
      <c r="CI79" s="136"/>
      <c r="CJ79" s="136"/>
      <c r="CK79" s="136"/>
      <c r="CL79" s="136"/>
      <c r="CM79" s="136"/>
      <c r="CN79" s="136"/>
      <c r="CO79" s="136"/>
      <c r="CP79" s="136"/>
      <c r="CQ79" s="136"/>
      <c r="CR79" s="136"/>
      <c r="CS79" s="136"/>
      <c r="CT79" s="136"/>
      <c r="CU79" s="136"/>
      <c r="CV79" s="136"/>
      <c r="CW79" s="136"/>
      <c r="CX79" s="136"/>
      <c r="CY79" s="136"/>
      <c r="CZ79" s="136"/>
      <c r="DA79" s="136"/>
      <c r="DB79" s="136"/>
      <c r="DC79" s="136"/>
      <c r="DD79" s="136"/>
      <c r="DE79" s="136"/>
      <c r="DF79" s="136"/>
      <c r="DG79" s="136"/>
      <c r="DH79" s="136"/>
      <c r="DI79" s="136"/>
      <c r="DJ79" s="136"/>
      <c r="DK79" s="136"/>
      <c r="DL79" s="137"/>
      <c r="DM79" s="136"/>
      <c r="DN79" s="136"/>
      <c r="DO79" s="136"/>
      <c r="DP79" s="136"/>
      <c r="DQ79" s="136"/>
      <c r="DR79" s="136"/>
      <c r="DS79" s="136"/>
      <c r="DT79" s="136"/>
      <c r="DU79" s="136"/>
      <c r="DV79" s="136"/>
      <c r="DW79" s="136"/>
      <c r="DX79" s="136"/>
      <c r="DY79" s="136"/>
      <c r="DZ79" s="136"/>
      <c r="EA79" s="136"/>
      <c r="EB79" s="136"/>
      <c r="EC79" s="136"/>
      <c r="ED79" s="136"/>
      <c r="EE79" s="136"/>
      <c r="EF79" s="136"/>
      <c r="EG79" s="136"/>
      <c r="EH79" s="136"/>
      <c r="EI79" s="136"/>
      <c r="EJ79" s="136"/>
      <c r="EK79" s="136"/>
      <c r="EL79" s="136"/>
      <c r="EM79" s="136"/>
      <c r="EN79" s="136"/>
      <c r="EO79" s="136"/>
      <c r="EP79" s="136"/>
      <c r="EQ79" s="136"/>
      <c r="ER79" s="136"/>
      <c r="ES79" s="136"/>
      <c r="ET79" s="136"/>
      <c r="EU79" s="136"/>
      <c r="EV79" s="136"/>
      <c r="EW79" s="136"/>
      <c r="EX79" s="136"/>
      <c r="EY79" s="136"/>
      <c r="EZ79" s="136"/>
      <c r="FA79" s="136"/>
      <c r="FB79" s="136"/>
      <c r="FC79" s="136"/>
      <c r="FD79" s="136"/>
      <c r="FE79" s="136"/>
      <c r="FF79" s="136"/>
      <c r="FG79" s="136"/>
      <c r="FH79" s="136"/>
      <c r="FI79" s="136"/>
      <c r="FJ79" s="136"/>
      <c r="FK79" s="136"/>
      <c r="FL79" s="137"/>
      <c r="FM79" s="137"/>
      <c r="FN79" s="137"/>
      <c r="FO79" s="136"/>
      <c r="FP79" s="136"/>
      <c r="FQ79" s="136"/>
      <c r="FR79" s="136"/>
      <c r="FS79" s="136"/>
      <c r="FT79" s="136"/>
      <c r="FU79" s="136"/>
      <c r="FV79" s="136"/>
      <c r="FW79" s="136"/>
      <c r="FX79" s="136"/>
      <c r="FY79" s="136"/>
      <c r="FZ79" s="136"/>
      <c r="GA79" s="136"/>
      <c r="GB79" s="136"/>
      <c r="GC79" s="136"/>
      <c r="GD79" s="137"/>
      <c r="GE79" s="136"/>
      <c r="GF79" s="136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7"/>
      <c r="GX79" s="136"/>
      <c r="GY79" s="136"/>
      <c r="GZ79" s="136"/>
      <c r="HA79" s="136"/>
      <c r="HB79" s="136"/>
      <c r="HC79" s="136"/>
      <c r="HD79" s="136"/>
      <c r="HE79" s="137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7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7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  <c r="NM79" s="136"/>
      <c r="NN79" s="136"/>
      <c r="NO79" s="136"/>
      <c r="NP79" s="136"/>
      <c r="NQ79" s="136"/>
      <c r="NR79" s="136"/>
      <c r="NS79" s="136"/>
      <c r="NT79" s="136"/>
      <c r="NU79" s="136"/>
      <c r="NV79" s="136"/>
      <c r="NW79" s="136"/>
      <c r="NX79" s="136"/>
      <c r="NY79" s="136"/>
      <c r="NZ79" s="136"/>
      <c r="OA79" s="136"/>
      <c r="OB79" s="136"/>
      <c r="OC79" s="136"/>
      <c r="OD79" s="136"/>
      <c r="OE79" s="136"/>
      <c r="OF79" s="136"/>
      <c r="OG79" s="136"/>
      <c r="OH79" s="136"/>
      <c r="OI79" s="136"/>
      <c r="OJ79" s="136"/>
      <c r="OK79" s="136"/>
      <c r="OL79" s="136"/>
      <c r="OM79" s="136"/>
      <c r="ON79" s="136"/>
      <c r="OO79" s="136"/>
      <c r="OP79" s="136"/>
      <c r="OQ79" s="136"/>
      <c r="OR79" s="136"/>
      <c r="OS79" s="136"/>
      <c r="OT79" s="136"/>
      <c r="OU79" s="136"/>
      <c r="OV79" s="136"/>
      <c r="OW79" s="136"/>
      <c r="OX79" s="136"/>
      <c r="OY79" s="136"/>
      <c r="OZ79" s="136"/>
      <c r="PA79" s="136"/>
      <c r="PB79" s="136"/>
      <c r="PC79" s="136"/>
      <c r="PD79" s="136"/>
      <c r="PE79" s="136"/>
      <c r="PF79" s="136"/>
      <c r="PG79" s="136"/>
      <c r="PH79" s="136"/>
      <c r="PI79" s="136"/>
      <c r="PJ79" s="136"/>
      <c r="PK79" s="136"/>
      <c r="PL79" s="136"/>
      <c r="PM79" s="136"/>
      <c r="PN79" s="136"/>
      <c r="PO79" s="136"/>
      <c r="PP79" s="136"/>
      <c r="PQ79" s="136"/>
      <c r="PR79" s="136"/>
      <c r="PS79" s="136"/>
      <c r="PT79" s="136"/>
      <c r="PU79" s="136"/>
      <c r="PV79" s="136"/>
      <c r="PW79" s="136"/>
      <c r="PX79" s="136"/>
      <c r="PY79" s="136"/>
      <c r="PZ79" s="136"/>
      <c r="QA79" s="136"/>
      <c r="QB79" s="136"/>
      <c r="QC79" s="136"/>
      <c r="QD79" s="136"/>
      <c r="QE79" s="136"/>
      <c r="QF79" s="136"/>
      <c r="QG79" s="136"/>
      <c r="QH79" s="136"/>
      <c r="QI79" s="136"/>
      <c r="QJ79" s="136"/>
      <c r="QK79" s="136"/>
      <c r="QL79" s="136"/>
      <c r="QM79" s="136"/>
      <c r="QN79" s="136"/>
      <c r="QO79" s="136"/>
      <c r="QP79" s="136"/>
      <c r="QQ79" s="136"/>
      <c r="QR79" s="136"/>
      <c r="QS79" s="136"/>
      <c r="QT79" s="136"/>
      <c r="QU79" s="136"/>
      <c r="QV79" s="136"/>
      <c r="QW79" s="136"/>
      <c r="QX79" s="136"/>
      <c r="QY79" s="136"/>
      <c r="QZ79" s="136"/>
      <c r="RA79" s="136"/>
      <c r="RB79" s="136"/>
      <c r="RC79" s="136"/>
      <c r="RD79" s="136"/>
      <c r="RE79" s="136"/>
      <c r="RF79" s="136"/>
      <c r="RG79" s="53"/>
      <c r="RH79" s="138"/>
      <c r="RI79" s="90"/>
      <c r="RJ79" s="53"/>
      <c r="RK79" s="53"/>
      <c r="RL79" s="147"/>
      <c r="RM79" s="122"/>
      <c r="RN79" s="122"/>
      <c r="RO79" s="122"/>
      <c r="RP79" s="139"/>
      <c r="RQ79" s="5"/>
    </row>
    <row r="80" spans="1:485" x14ac:dyDescent="0.25">
      <c r="A80" s="46"/>
      <c r="B80" s="47"/>
      <c r="C80" s="127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RG80" s="6"/>
      <c r="RH80" s="6"/>
      <c r="RI80" s="54" t="s">
        <v>365</v>
      </c>
      <c r="RJ80" s="53"/>
      <c r="RK80" s="53"/>
      <c r="RL80" s="147"/>
      <c r="RM80" s="122"/>
      <c r="RN80" s="122"/>
      <c r="RO80" s="122"/>
      <c r="RP80" s="122"/>
    </row>
    <row r="81" spans="1:485" s="5" customFormat="1" x14ac:dyDescent="0.25">
      <c r="A81" s="140"/>
      <c r="B81" s="11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8"/>
      <c r="O81" s="128"/>
      <c r="P81" s="128"/>
      <c r="Q81" s="128"/>
      <c r="R81" s="128"/>
      <c r="S81" s="128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30"/>
      <c r="AP81" s="130"/>
      <c r="AQ81" s="130"/>
      <c r="AR81" s="130"/>
      <c r="AS81" s="130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30"/>
      <c r="BM81" s="130"/>
      <c r="BN81" s="130"/>
      <c r="BO81" s="130"/>
      <c r="BP81" s="130"/>
      <c r="BQ81" s="130"/>
      <c r="BR81" s="130"/>
      <c r="BS81" s="130"/>
      <c r="BT81" s="130"/>
      <c r="BU81" s="130"/>
      <c r="BV81" s="130"/>
      <c r="BW81" s="130"/>
      <c r="BX81" s="128"/>
      <c r="BY81" s="128"/>
      <c r="BZ81" s="128"/>
      <c r="CA81" s="128"/>
      <c r="CB81" s="128"/>
      <c r="CC81" s="128"/>
      <c r="CD81" s="128"/>
      <c r="CE81" s="128"/>
      <c r="CF81" s="128"/>
      <c r="CG81" s="128"/>
      <c r="CH81" s="130"/>
      <c r="CI81" s="130"/>
      <c r="CJ81" s="130"/>
      <c r="CK81" s="130"/>
      <c r="CL81" s="130"/>
      <c r="CM81" s="130"/>
      <c r="CN81" s="130"/>
      <c r="CO81" s="130"/>
      <c r="CP81" s="130"/>
      <c r="CQ81" s="130"/>
      <c r="CR81" s="130"/>
      <c r="CS81" s="130"/>
      <c r="CT81" s="130"/>
      <c r="CU81" s="128"/>
      <c r="CV81" s="128"/>
      <c r="CW81" s="128"/>
      <c r="CX81" s="128"/>
      <c r="CY81" s="128"/>
      <c r="CZ81" s="128"/>
      <c r="DA81" s="128"/>
      <c r="DB81" s="128"/>
      <c r="DC81" s="128"/>
      <c r="DD81" s="128"/>
      <c r="DE81" s="128"/>
      <c r="DF81" s="128"/>
      <c r="DG81" s="128"/>
      <c r="DH81" s="128"/>
      <c r="DI81" s="128"/>
      <c r="DJ81" s="128"/>
      <c r="DK81" s="128"/>
      <c r="DL81" s="129"/>
      <c r="DM81" s="130"/>
      <c r="DN81" s="130"/>
      <c r="DO81" s="130"/>
      <c r="DP81" s="130"/>
      <c r="DQ81" s="130"/>
      <c r="DR81" s="130"/>
      <c r="DS81" s="130"/>
      <c r="DT81" s="130"/>
      <c r="DU81" s="130"/>
      <c r="DV81" s="130"/>
      <c r="DW81" s="130"/>
      <c r="DX81" s="130"/>
      <c r="DY81" s="130"/>
      <c r="DZ81" s="130"/>
      <c r="EA81" s="130"/>
      <c r="EB81" s="130"/>
      <c r="EC81" s="130"/>
      <c r="ED81" s="130"/>
      <c r="EE81" s="130"/>
      <c r="EF81" s="130"/>
      <c r="EG81" s="130"/>
      <c r="EH81" s="130"/>
      <c r="EI81" s="130"/>
      <c r="EJ81" s="130"/>
      <c r="EK81" s="130"/>
      <c r="EL81" s="130"/>
      <c r="EM81" s="130"/>
      <c r="EN81" s="130"/>
      <c r="EO81" s="130"/>
      <c r="EP81" s="130"/>
      <c r="EQ81" s="130"/>
      <c r="ER81" s="130"/>
      <c r="ES81" s="130"/>
      <c r="ET81" s="130"/>
      <c r="EU81" s="130"/>
      <c r="EV81" s="130"/>
      <c r="EW81" s="130"/>
      <c r="EX81" s="128"/>
      <c r="EY81" s="128"/>
      <c r="EZ81" s="128"/>
      <c r="FA81" s="128"/>
      <c r="FB81" s="128"/>
      <c r="FC81" s="128"/>
      <c r="FD81" s="128"/>
      <c r="FE81" s="128"/>
      <c r="FF81" s="128"/>
      <c r="FG81" s="128"/>
      <c r="FH81" s="128"/>
      <c r="FI81" s="128"/>
      <c r="FJ81" s="128"/>
      <c r="FK81" s="128"/>
      <c r="FL81" s="129"/>
      <c r="FM81" s="129"/>
      <c r="FN81" s="129"/>
      <c r="FO81" s="130"/>
      <c r="FP81" s="130"/>
      <c r="FQ81" s="128"/>
      <c r="FR81" s="128"/>
      <c r="FS81" s="128"/>
      <c r="FT81" s="128"/>
      <c r="FU81" s="128"/>
      <c r="FV81" s="128"/>
      <c r="FW81" s="128"/>
      <c r="FX81" s="128"/>
      <c r="FY81" s="128"/>
      <c r="FZ81" s="128"/>
      <c r="GA81" s="128"/>
      <c r="GB81" s="128"/>
      <c r="GC81" s="128"/>
      <c r="GD81" s="129"/>
      <c r="GE81" s="130"/>
      <c r="GF81" s="130"/>
      <c r="GG81" s="130"/>
      <c r="GH81" s="130"/>
      <c r="GI81" s="128"/>
      <c r="GJ81" s="128"/>
      <c r="GK81" s="128"/>
      <c r="GL81" s="128"/>
      <c r="GM81" s="128"/>
      <c r="GN81" s="128"/>
      <c r="GO81" s="128"/>
      <c r="GP81" s="128"/>
      <c r="GQ81" s="128"/>
      <c r="GR81" s="128"/>
      <c r="GS81" s="128"/>
      <c r="GT81" s="128"/>
      <c r="GU81" s="128"/>
      <c r="GV81" s="128"/>
      <c r="GW81" s="129"/>
      <c r="GX81" s="130"/>
      <c r="GY81" s="130"/>
      <c r="GZ81" s="130"/>
      <c r="HA81" s="128"/>
      <c r="HB81" s="128"/>
      <c r="HC81" s="128"/>
      <c r="HD81" s="128"/>
      <c r="HE81" s="129"/>
      <c r="HF81" s="130"/>
      <c r="HG81" s="130"/>
      <c r="HH81" s="130"/>
      <c r="HI81" s="130"/>
      <c r="HJ81" s="130"/>
      <c r="HK81" s="130"/>
      <c r="HL81" s="130"/>
      <c r="HM81" s="130"/>
      <c r="HN81" s="130"/>
      <c r="HO81" s="130"/>
      <c r="HP81" s="129"/>
      <c r="HQ81" s="130"/>
      <c r="HR81" s="130"/>
      <c r="HS81" s="130"/>
      <c r="HT81" s="130"/>
      <c r="HU81" s="130"/>
      <c r="HV81" s="130"/>
      <c r="HW81" s="130"/>
      <c r="HX81" s="130"/>
      <c r="HY81" s="130"/>
      <c r="HZ81" s="130"/>
      <c r="IA81" s="130"/>
      <c r="IB81" s="128"/>
      <c r="IC81" s="128"/>
      <c r="ID81" s="128"/>
      <c r="IE81" s="128"/>
      <c r="IF81" s="128"/>
      <c r="IG81" s="128"/>
      <c r="IH81" s="128"/>
      <c r="II81" s="128"/>
      <c r="IJ81" s="128"/>
      <c r="IK81" s="128"/>
      <c r="IL81" s="128"/>
      <c r="IM81" s="128"/>
      <c r="IN81" s="128"/>
      <c r="IO81" s="128"/>
      <c r="IP81" s="128"/>
      <c r="IQ81" s="128"/>
      <c r="IR81" s="128"/>
      <c r="IS81" s="128"/>
      <c r="IT81" s="128"/>
      <c r="IU81" s="128"/>
      <c r="IV81" s="128"/>
      <c r="IW81" s="128"/>
      <c r="IX81" s="128"/>
      <c r="IY81" s="128"/>
      <c r="IZ81" s="128"/>
      <c r="JA81" s="128"/>
      <c r="JB81" s="128"/>
      <c r="JC81" s="128"/>
      <c r="JD81" s="128"/>
      <c r="JE81" s="128"/>
      <c r="JF81" s="128"/>
      <c r="JG81" s="130"/>
      <c r="JH81" s="130"/>
      <c r="JI81" s="130"/>
      <c r="JJ81" s="130"/>
      <c r="JK81" s="130"/>
      <c r="JL81" s="130"/>
      <c r="JM81" s="130"/>
      <c r="JN81" s="130"/>
      <c r="JO81" s="130"/>
      <c r="JP81" s="130"/>
      <c r="JQ81" s="130"/>
      <c r="JR81" s="130"/>
      <c r="JS81" s="130"/>
      <c r="JT81" s="130"/>
      <c r="JU81" s="129"/>
      <c r="JV81" s="128"/>
      <c r="JW81" s="128"/>
      <c r="JX81" s="128"/>
      <c r="JY81" s="128"/>
      <c r="JZ81" s="128"/>
      <c r="KA81" s="128"/>
      <c r="KB81" s="128"/>
      <c r="KC81" s="128"/>
      <c r="KD81" s="128"/>
      <c r="KE81" s="128"/>
      <c r="KF81" s="128"/>
      <c r="KG81" s="128"/>
      <c r="KH81" s="128"/>
      <c r="KI81" s="128"/>
      <c r="KJ81" s="128"/>
      <c r="KK81" s="128"/>
      <c r="KL81" s="128"/>
      <c r="KM81" s="128"/>
      <c r="KN81" s="128"/>
      <c r="KO81" s="128"/>
      <c r="KP81" s="130"/>
      <c r="KQ81" s="130"/>
      <c r="KR81" s="130"/>
      <c r="KS81" s="128"/>
      <c r="KT81" s="128"/>
      <c r="KU81" s="128"/>
      <c r="KV81" s="128"/>
      <c r="KW81" s="128"/>
      <c r="KX81" s="128"/>
      <c r="KY81" s="128"/>
      <c r="KZ81" s="128"/>
      <c r="LA81" s="128"/>
      <c r="LB81" s="128"/>
      <c r="LC81" s="128"/>
      <c r="LD81" s="128"/>
      <c r="LE81" s="128"/>
      <c r="LF81" s="128"/>
      <c r="LG81" s="128"/>
      <c r="LH81" s="128"/>
      <c r="LI81" s="128"/>
      <c r="LJ81" s="128"/>
      <c r="LK81" s="128"/>
      <c r="LL81" s="128"/>
      <c r="LM81" s="128"/>
      <c r="LN81" s="128"/>
      <c r="LO81" s="128"/>
      <c r="LP81" s="128"/>
      <c r="LQ81" s="128"/>
      <c r="LR81" s="128"/>
      <c r="LS81" s="128"/>
      <c r="LT81" s="128"/>
      <c r="LU81" s="128"/>
      <c r="LV81" s="128"/>
      <c r="LW81" s="128"/>
      <c r="LX81" s="128"/>
      <c r="LY81" s="128"/>
      <c r="LZ81" s="128"/>
      <c r="MA81" s="128"/>
      <c r="MB81" s="128"/>
      <c r="MC81" s="128"/>
      <c r="MD81" s="128"/>
      <c r="ME81" s="128"/>
      <c r="MF81" s="128"/>
      <c r="MG81" s="128"/>
      <c r="MH81" s="128"/>
      <c r="MI81" s="128"/>
      <c r="MJ81" s="128"/>
      <c r="MK81" s="128"/>
      <c r="ML81" s="128"/>
      <c r="MM81" s="128"/>
      <c r="MN81" s="128"/>
      <c r="MO81" s="128"/>
      <c r="MP81" s="128"/>
      <c r="MQ81" s="128"/>
      <c r="MR81" s="128"/>
      <c r="MS81" s="128"/>
      <c r="MT81" s="128"/>
      <c r="MU81" s="128"/>
      <c r="MV81" s="128"/>
      <c r="MW81" s="128"/>
      <c r="MX81" s="128"/>
      <c r="MY81" s="128"/>
      <c r="MZ81" s="128"/>
      <c r="NA81" s="128"/>
      <c r="NB81" s="128"/>
      <c r="NC81" s="128"/>
      <c r="ND81" s="128"/>
      <c r="NE81" s="128"/>
      <c r="NF81" s="128"/>
      <c r="NG81" s="128"/>
      <c r="NH81" s="128"/>
      <c r="NI81" s="128"/>
      <c r="NJ81" s="128"/>
      <c r="NK81" s="128"/>
      <c r="NL81" s="128"/>
      <c r="NM81" s="128"/>
      <c r="NN81" s="128"/>
      <c r="NO81" s="128"/>
      <c r="NP81" s="128"/>
      <c r="NQ81" s="128"/>
      <c r="NR81" s="128"/>
      <c r="NS81" s="128"/>
      <c r="NT81" s="128"/>
      <c r="NU81" s="128"/>
      <c r="NV81" s="128"/>
      <c r="NW81" s="128"/>
      <c r="NX81" s="128"/>
      <c r="NY81" s="128"/>
      <c r="NZ81" s="128"/>
      <c r="OA81" s="128"/>
      <c r="OB81" s="128"/>
      <c r="OC81" s="128"/>
      <c r="OD81" s="128"/>
      <c r="OE81" s="128"/>
      <c r="OF81" s="128"/>
      <c r="OG81" s="128"/>
      <c r="OH81" s="128"/>
      <c r="OI81" s="128"/>
      <c r="OJ81" s="128"/>
      <c r="OK81" s="128"/>
      <c r="OL81" s="128"/>
      <c r="OM81" s="128"/>
      <c r="ON81" s="128"/>
      <c r="OO81" s="128"/>
      <c r="OP81" s="128"/>
      <c r="OQ81" s="128"/>
      <c r="OR81" s="128"/>
      <c r="OS81" s="128"/>
      <c r="OT81" s="128"/>
      <c r="OU81" s="128"/>
      <c r="OV81" s="128"/>
      <c r="OW81" s="128"/>
      <c r="OX81" s="128"/>
      <c r="OY81" s="128"/>
      <c r="OZ81" s="128"/>
      <c r="PA81" s="128"/>
      <c r="PB81" s="128"/>
      <c r="PC81" s="128"/>
      <c r="PD81" s="128"/>
      <c r="PE81" s="128"/>
      <c r="PF81" s="128"/>
      <c r="PG81" s="128"/>
      <c r="PH81" s="128"/>
      <c r="PI81" s="128"/>
      <c r="PJ81" s="128"/>
      <c r="PK81" s="128"/>
      <c r="PL81" s="128"/>
      <c r="PM81" s="128"/>
      <c r="PN81" s="128"/>
      <c r="PO81" s="128"/>
      <c r="PP81" s="128"/>
      <c r="PQ81" s="128"/>
      <c r="PR81" s="128"/>
      <c r="PS81" s="128"/>
      <c r="PT81" s="128"/>
      <c r="PU81" s="128"/>
      <c r="PV81" s="128"/>
      <c r="PW81" s="128"/>
      <c r="PX81" s="128"/>
      <c r="PY81" s="128"/>
      <c r="PZ81" s="128"/>
      <c r="QA81" s="128"/>
      <c r="QB81" s="128"/>
      <c r="QC81" s="128"/>
      <c r="QD81" s="128"/>
      <c r="QE81" s="128"/>
      <c r="QF81" s="128"/>
      <c r="QG81" s="128"/>
      <c r="QH81" s="128"/>
      <c r="QI81" s="128"/>
      <c r="QJ81" s="128"/>
      <c r="QK81" s="128"/>
      <c r="QL81" s="128"/>
      <c r="QM81" s="128"/>
      <c r="QN81" s="128"/>
      <c r="QO81" s="128"/>
      <c r="QP81" s="128"/>
      <c r="QQ81" s="128"/>
      <c r="QR81" s="128"/>
      <c r="QS81" s="128"/>
      <c r="QT81" s="128"/>
      <c r="QU81" s="128"/>
      <c r="QV81" s="128"/>
      <c r="QW81" s="128"/>
      <c r="QX81" s="128"/>
      <c r="QY81" s="128"/>
      <c r="QZ81" s="128"/>
      <c r="RA81" s="128"/>
      <c r="RB81" s="128"/>
      <c r="RC81" s="128"/>
      <c r="RD81" s="128"/>
      <c r="RE81" s="128"/>
      <c r="RF81" s="128"/>
      <c r="RG81" s="35"/>
      <c r="RH81" s="142"/>
      <c r="RI81" s="53"/>
      <c r="RJ81" s="53" t="s">
        <v>440</v>
      </c>
      <c r="RK81" s="141" t="s">
        <v>439</v>
      </c>
      <c r="RL81" s="147"/>
      <c r="RM81" s="146"/>
      <c r="RN81" s="146"/>
      <c r="RO81" s="146"/>
      <c r="RP81" s="146"/>
    </row>
    <row r="82" spans="1:485" ht="17.399999999999999" x14ac:dyDescent="0.3">
      <c r="A82" s="46"/>
      <c r="B82" s="117" t="s">
        <v>442</v>
      </c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RG82" s="6"/>
      <c r="RH82" s="6"/>
      <c r="RI82" s="179" t="s">
        <v>470</v>
      </c>
      <c r="RJ82" s="180"/>
      <c r="RK82" s="180"/>
      <c r="RL82" s="147"/>
      <c r="RM82" s="132"/>
      <c r="RN82" s="132"/>
      <c r="RO82" s="132"/>
      <c r="RP82" s="132"/>
    </row>
    <row r="83" spans="1:485" x14ac:dyDescent="0.25">
      <c r="A83" s="46"/>
      <c r="B83" s="118" t="s">
        <v>443</v>
      </c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RG83" s="6"/>
      <c r="RH83" s="6"/>
      <c r="RI83" s="150"/>
      <c r="RJ83" s="150"/>
      <c r="RK83" s="151"/>
      <c r="RL83" s="141"/>
      <c r="RM83" s="132"/>
      <c r="RN83" s="132"/>
      <c r="RO83" s="132"/>
      <c r="RP83" s="168" t="s">
        <v>33</v>
      </c>
      <c r="RQ83" s="149"/>
    </row>
    <row r="84" spans="1:485" x14ac:dyDescent="0.25">
      <c r="A84" s="46"/>
      <c r="B84" s="166" t="s">
        <v>496</v>
      </c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RG84" s="6"/>
      <c r="RH84" s="6"/>
      <c r="RI84" s="150"/>
      <c r="RJ84" s="150"/>
      <c r="RK84" s="151"/>
      <c r="RL84" s="144"/>
      <c r="RM84" s="132"/>
      <c r="RN84" s="132"/>
      <c r="RO84" s="132"/>
      <c r="RP84" s="6"/>
      <c r="RQ84" s="149"/>
    </row>
    <row r="85" spans="1:485" x14ac:dyDescent="0.25">
      <c r="A85" s="46"/>
      <c r="B85" s="4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RG85" s="6"/>
      <c r="RH85" s="6"/>
      <c r="RI85" s="150" t="s">
        <v>614</v>
      </c>
      <c r="RJ85" s="150">
        <v>55.8</v>
      </c>
      <c r="RK85" s="170">
        <v>44980</v>
      </c>
      <c r="RL85" s="45"/>
      <c r="RM85" s="4"/>
      <c r="RN85" s="4"/>
      <c r="RO85" s="4"/>
      <c r="RP85" s="6"/>
    </row>
    <row r="86" spans="1:485" x14ac:dyDescent="0.25">
      <c r="A86" s="46"/>
      <c r="B86" s="47"/>
      <c r="C86" s="127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RG86" s="6"/>
      <c r="RH86" s="6"/>
      <c r="RI86" s="150" t="s">
        <v>579</v>
      </c>
      <c r="RJ86" s="150">
        <v>114.77</v>
      </c>
      <c r="RK86" s="170">
        <v>44959</v>
      </c>
      <c r="RL86" s="45"/>
      <c r="RM86" s="4"/>
      <c r="RN86" s="4"/>
      <c r="RO86" s="4"/>
      <c r="RP86" s="6"/>
    </row>
    <row r="87" spans="1:485" x14ac:dyDescent="0.25">
      <c r="A87" s="46"/>
      <c r="B87" s="4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RG87" s="6"/>
      <c r="RH87" s="6"/>
      <c r="RI87" s="150" t="s">
        <v>591</v>
      </c>
      <c r="RJ87" s="150">
        <v>967.2</v>
      </c>
      <c r="RK87" s="170">
        <v>44970</v>
      </c>
      <c r="RL87" s="45"/>
      <c r="RM87" s="4"/>
      <c r="RN87" s="4"/>
      <c r="RO87" s="4"/>
      <c r="RP87" s="6"/>
    </row>
    <row r="88" spans="1:485" x14ac:dyDescent="0.25">
      <c r="A88" s="46"/>
      <c r="B88" s="47"/>
      <c r="C88" s="127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RG88" s="6"/>
      <c r="RH88" s="6"/>
      <c r="RI88" s="150" t="s">
        <v>624</v>
      </c>
      <c r="RJ88" s="150">
        <v>317.83</v>
      </c>
      <c r="RK88" s="151">
        <v>44987</v>
      </c>
      <c r="RL88" s="45"/>
      <c r="RM88" s="4"/>
      <c r="RN88" s="4"/>
      <c r="RO88" s="4"/>
      <c r="RP88" s="6"/>
    </row>
    <row r="89" spans="1:485" x14ac:dyDescent="0.25">
      <c r="A89" s="46"/>
      <c r="B89" s="47"/>
      <c r="C89" s="127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RG89" s="6"/>
      <c r="RH89" s="6"/>
      <c r="RI89" s="150" t="s">
        <v>623</v>
      </c>
      <c r="RJ89" s="171">
        <v>3782.64</v>
      </c>
      <c r="RK89" s="170">
        <v>44987</v>
      </c>
      <c r="RL89" s="45"/>
      <c r="RM89" s="4"/>
      <c r="RN89" s="4"/>
      <c r="RO89" s="4"/>
      <c r="RP89" s="6"/>
    </row>
    <row r="90" spans="1:485" x14ac:dyDescent="0.25">
      <c r="A90" s="46"/>
      <c r="B90" s="47"/>
      <c r="C90" s="127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RG90" s="6"/>
      <c r="RH90" s="6"/>
      <c r="RI90" s="150"/>
      <c r="RJ90" s="150"/>
      <c r="RK90" s="170"/>
      <c r="RL90" s="45"/>
      <c r="RM90" s="4"/>
      <c r="RN90" s="4"/>
      <c r="RO90" s="4"/>
      <c r="RP90" s="6"/>
    </row>
    <row r="91" spans="1:485" x14ac:dyDescent="0.25">
      <c r="A91" s="46"/>
      <c r="B91" s="47"/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RG91" s="6"/>
      <c r="RH91" s="6"/>
      <c r="RI91" s="150" t="s">
        <v>619</v>
      </c>
      <c r="RJ91" s="150">
        <v>4224</v>
      </c>
      <c r="RK91" s="151">
        <v>44986</v>
      </c>
      <c r="RL91" s="45"/>
      <c r="RM91" s="4"/>
      <c r="RN91" s="4"/>
      <c r="RO91" s="4"/>
      <c r="RP91" s="6"/>
    </row>
    <row r="92" spans="1:485" x14ac:dyDescent="0.25">
      <c r="A92" s="46"/>
      <c r="B92" s="47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RG92" s="6"/>
      <c r="RH92" s="6"/>
      <c r="RI92" s="150"/>
      <c r="RJ92" s="150"/>
      <c r="RK92" s="151"/>
      <c r="RL92" s="45"/>
      <c r="RM92" s="4"/>
      <c r="RN92" s="4"/>
      <c r="RO92" s="4"/>
      <c r="RP92" s="6"/>
    </row>
    <row r="93" spans="1:485" x14ac:dyDescent="0.25">
      <c r="A93" s="46"/>
      <c r="B93" s="4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RG93" s="6"/>
      <c r="RH93" s="6"/>
      <c r="RI93" s="159"/>
      <c r="RJ93" s="174"/>
      <c r="RK93" s="6"/>
      <c r="RL93" s="45"/>
      <c r="RM93" s="4"/>
      <c r="RN93" s="4"/>
      <c r="RO93" s="4"/>
      <c r="RP93" s="6"/>
    </row>
    <row r="94" spans="1:485" x14ac:dyDescent="0.25">
      <c r="A94" s="46"/>
      <c r="B94" s="47"/>
      <c r="C94" s="127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RG94" s="6"/>
      <c r="RH94" s="6"/>
      <c r="RI94" s="159"/>
      <c r="RJ94" s="6"/>
      <c r="RK94" s="6"/>
      <c r="RL94" s="45"/>
      <c r="RM94" s="4"/>
      <c r="RN94" s="4"/>
      <c r="RO94" s="4"/>
      <c r="RP94" s="6"/>
    </row>
    <row r="95" spans="1:485" x14ac:dyDescent="0.25">
      <c r="A95" s="46"/>
      <c r="B95" s="47"/>
      <c r="C95" s="127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RG95" s="6"/>
      <c r="RH95" s="6"/>
      <c r="RI95" s="6"/>
      <c r="RJ95" s="6"/>
      <c r="RK95" s="6"/>
      <c r="RL95" s="45"/>
      <c r="RM95" s="4"/>
      <c r="RN95" s="4"/>
      <c r="RO95" s="4"/>
      <c r="RP95" s="6"/>
    </row>
    <row r="96" spans="1:485" x14ac:dyDescent="0.25">
      <c r="A96" s="46"/>
      <c r="B96" s="47"/>
      <c r="C96" s="127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RG96" s="6"/>
      <c r="RH96" s="6"/>
      <c r="RI96" s="6"/>
      <c r="RJ96" s="6"/>
      <c r="RK96" s="6"/>
      <c r="RL96" s="45"/>
      <c r="RM96" s="4"/>
      <c r="RN96" s="4"/>
      <c r="RO96" s="4"/>
      <c r="RP96" s="6"/>
    </row>
    <row r="97" spans="1:484" x14ac:dyDescent="0.25">
      <c r="A97" s="46"/>
      <c r="B97" s="47"/>
      <c r="C97" s="127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RG97" s="6"/>
      <c r="RH97" s="6"/>
      <c r="RI97" s="6"/>
      <c r="RJ97" s="6"/>
      <c r="RK97" s="6"/>
      <c r="RL97" s="45"/>
      <c r="RM97" s="4"/>
      <c r="RN97" s="4"/>
      <c r="RO97" s="4"/>
      <c r="RP97" s="6"/>
    </row>
    <row r="98" spans="1:484" x14ac:dyDescent="0.25">
      <c r="A98" s="46"/>
      <c r="B98" s="47"/>
      <c r="C98" s="127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RG98" s="6"/>
      <c r="RH98" s="6"/>
      <c r="RI98" s="6"/>
      <c r="RJ98" s="6"/>
      <c r="RK98" s="6"/>
      <c r="RL98" s="45"/>
      <c r="RM98" s="4"/>
      <c r="RN98" s="4"/>
      <c r="RO98" s="4"/>
      <c r="RP98" s="6"/>
    </row>
    <row r="99" spans="1:484" x14ac:dyDescent="0.25">
      <c r="A99" s="46"/>
      <c r="B99" s="4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RG99" s="6"/>
      <c r="RH99" s="6"/>
      <c r="RI99" s="6"/>
      <c r="RJ99" s="175"/>
      <c r="RK99" s="6"/>
      <c r="RL99" s="45"/>
      <c r="RM99" s="4"/>
      <c r="RN99" s="4"/>
      <c r="RO99" s="4"/>
      <c r="RP99" s="6"/>
    </row>
    <row r="100" spans="1:484" x14ac:dyDescent="0.25">
      <c r="A100" s="46"/>
      <c r="B100" s="4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RG100" s="6"/>
      <c r="RH100" s="6"/>
      <c r="RI100" s="6"/>
      <c r="RJ100" s="6"/>
      <c r="RK100" s="6"/>
      <c r="RL100" s="45"/>
      <c r="RM100" s="4"/>
      <c r="RN100" s="4"/>
      <c r="RO100" s="4"/>
      <c r="RP100" s="6"/>
    </row>
    <row r="101" spans="1:484" x14ac:dyDescent="0.25">
      <c r="A101" s="46"/>
      <c r="B101" s="4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RG101" s="6"/>
      <c r="RH101" s="6"/>
      <c r="RI101" s="6"/>
      <c r="RJ101" s="6"/>
      <c r="RK101" s="6"/>
      <c r="RL101" s="45"/>
      <c r="RM101" s="4"/>
      <c r="RN101" s="4"/>
      <c r="RO101" s="4"/>
      <c r="RP101" s="6"/>
    </row>
    <row r="102" spans="1:484" x14ac:dyDescent="0.25">
      <c r="A102" s="46"/>
      <c r="B102" s="4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RG102" s="6"/>
      <c r="RH102" s="6"/>
      <c r="RI102" s="6"/>
      <c r="RJ102" s="6"/>
      <c r="RK102" s="6"/>
      <c r="RL102" s="45"/>
      <c r="RM102" s="4"/>
      <c r="RN102" s="4"/>
      <c r="RO102" s="4"/>
      <c r="RP102" s="6"/>
    </row>
    <row r="103" spans="1:484" x14ac:dyDescent="0.25">
      <c r="A103" s="46"/>
      <c r="B103" s="4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RG103" s="6"/>
      <c r="RH103" s="6"/>
      <c r="RI103" s="6"/>
      <c r="RJ103" s="6"/>
      <c r="RK103" s="6"/>
      <c r="RL103" s="45"/>
      <c r="RM103" s="4"/>
      <c r="RN103" s="4"/>
      <c r="RO103" s="4"/>
      <c r="RP103" s="6"/>
    </row>
    <row r="104" spans="1:484" x14ac:dyDescent="0.25">
      <c r="A104" s="46"/>
      <c r="B104" s="4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RG104" s="6"/>
      <c r="RH104" s="6"/>
      <c r="RI104" s="6"/>
      <c r="RJ104" s="6"/>
      <c r="RK104" s="6"/>
      <c r="RL104" s="45"/>
      <c r="RM104" s="4"/>
      <c r="RN104" s="4"/>
      <c r="RO104" s="4"/>
      <c r="RP104" s="6"/>
    </row>
    <row r="105" spans="1:484" x14ac:dyDescent="0.25">
      <c r="A105" s="46"/>
      <c r="B105" s="4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RG105" s="6"/>
      <c r="RH105" s="6"/>
      <c r="RI105" s="6"/>
      <c r="RJ105" s="6"/>
      <c r="RK105" s="6"/>
      <c r="RL105" s="45"/>
      <c r="RM105" s="4"/>
      <c r="RN105" s="4"/>
      <c r="RO105" s="4"/>
      <c r="RP105" s="6"/>
    </row>
    <row r="106" spans="1:484" x14ac:dyDescent="0.25">
      <c r="A106" s="46"/>
      <c r="B106" s="4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RG106" s="6"/>
      <c r="RH106" s="6"/>
      <c r="RI106" s="6"/>
      <c r="RJ106" s="6"/>
      <c r="RK106" s="6"/>
      <c r="RL106" s="45"/>
      <c r="RM106" s="4"/>
      <c r="RN106" s="4"/>
      <c r="RO106" s="4"/>
      <c r="RP106" s="6"/>
    </row>
    <row r="107" spans="1:484" x14ac:dyDescent="0.25">
      <c r="A107" s="46"/>
      <c r="B107" s="4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  <c r="M107" s="127"/>
      <c r="RG107" s="6"/>
      <c r="RH107" s="6"/>
      <c r="RI107" s="6"/>
      <c r="RJ107" s="6"/>
      <c r="RK107" s="6"/>
      <c r="RL107" s="45"/>
      <c r="RM107" s="4"/>
      <c r="RN107" s="4"/>
      <c r="RO107" s="4"/>
      <c r="RP107" s="6"/>
    </row>
    <row r="108" spans="1:484" x14ac:dyDescent="0.25">
      <c r="A108" s="46"/>
      <c r="B108" s="4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RG108" s="6"/>
      <c r="RH108" s="6"/>
      <c r="RI108" s="6"/>
      <c r="RJ108" s="6"/>
      <c r="RK108" s="6"/>
      <c r="RL108" s="45"/>
      <c r="RM108" s="4"/>
      <c r="RN108" s="4"/>
      <c r="RO108" s="4"/>
      <c r="RP108" s="6"/>
    </row>
    <row r="109" spans="1:484" x14ac:dyDescent="0.25">
      <c r="A109" s="46"/>
      <c r="B109" s="4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RG109" s="6"/>
      <c r="RH109" s="6"/>
      <c r="RI109" s="6"/>
      <c r="RJ109" s="6"/>
      <c r="RK109" s="6"/>
      <c r="RL109" s="45"/>
      <c r="RM109" s="4"/>
      <c r="RN109" s="4"/>
      <c r="RO109" s="4"/>
      <c r="RP109" s="6"/>
    </row>
    <row r="110" spans="1:484" x14ac:dyDescent="0.25">
      <c r="A110" s="46"/>
      <c r="B110" s="4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RG110" s="6"/>
      <c r="RH110" s="6"/>
      <c r="RI110" s="6"/>
      <c r="RJ110" s="6"/>
      <c r="RK110" s="6"/>
      <c r="RL110" s="45"/>
      <c r="RM110" s="4"/>
      <c r="RN110" s="4"/>
      <c r="RO110" s="4"/>
      <c r="RP110" s="6"/>
    </row>
    <row r="111" spans="1:484" x14ac:dyDescent="0.25">
      <c r="A111" s="46"/>
      <c r="B111" s="4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RG111" s="6"/>
      <c r="RH111" s="6"/>
      <c r="RI111" s="6"/>
      <c r="RJ111" s="6"/>
      <c r="RK111" s="6"/>
      <c r="RL111" s="45"/>
      <c r="RM111" s="4"/>
      <c r="RN111" s="4"/>
      <c r="RO111" s="4"/>
      <c r="RP111" s="6"/>
    </row>
    <row r="112" spans="1:484" x14ac:dyDescent="0.25">
      <c r="A112" s="46"/>
      <c r="B112" s="4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RG112" s="6"/>
      <c r="RH112" s="6"/>
      <c r="RI112" s="6"/>
      <c r="RJ112" s="6"/>
      <c r="RK112" s="6"/>
      <c r="RL112" s="45"/>
      <c r="RM112" s="4"/>
      <c r="RN112" s="4"/>
      <c r="RO112" s="4"/>
      <c r="RP112" s="6"/>
    </row>
    <row r="113" spans="1:484" x14ac:dyDescent="0.25">
      <c r="A113" s="46"/>
      <c r="B113" s="4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  <c r="M113" s="127"/>
      <c r="RG113" s="6"/>
      <c r="RH113" s="6"/>
      <c r="RI113" s="6"/>
      <c r="RJ113" s="6"/>
      <c r="RK113" s="6"/>
      <c r="RL113" s="45"/>
      <c r="RM113" s="4"/>
      <c r="RN113" s="4"/>
      <c r="RO113" s="4"/>
      <c r="RP113" s="6"/>
    </row>
    <row r="114" spans="1:484" x14ac:dyDescent="0.25">
      <c r="A114" s="46"/>
      <c r="B114" s="4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  <c r="M114" s="127"/>
      <c r="RG114" s="6"/>
      <c r="RH114" s="6"/>
      <c r="RI114" s="6"/>
      <c r="RJ114" s="6"/>
      <c r="RK114" s="6"/>
      <c r="RL114" s="45"/>
      <c r="RM114" s="4"/>
      <c r="RN114" s="4"/>
      <c r="RO114" s="4"/>
      <c r="RP114" s="6"/>
    </row>
    <row r="115" spans="1:484" x14ac:dyDescent="0.25">
      <c r="A115" s="46"/>
      <c r="B115" s="4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  <c r="M115" s="127"/>
      <c r="RG115" s="6"/>
      <c r="RH115" s="6"/>
      <c r="RI115" s="6"/>
      <c r="RJ115" s="6"/>
      <c r="RK115" s="6"/>
      <c r="RL115" s="45"/>
      <c r="RM115" s="4"/>
      <c r="RN115" s="4"/>
      <c r="RO115" s="4"/>
      <c r="RP115" s="6"/>
    </row>
    <row r="116" spans="1:484" x14ac:dyDescent="0.25">
      <c r="A116" s="46"/>
      <c r="B116" s="4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7"/>
      <c r="RG116" s="6"/>
      <c r="RH116" s="6"/>
      <c r="RI116" s="6"/>
      <c r="RJ116" s="6"/>
      <c r="RK116" s="6"/>
      <c r="RL116" s="45"/>
      <c r="RM116" s="4"/>
      <c r="RN116" s="4"/>
      <c r="RO116" s="4"/>
      <c r="RP116" s="6"/>
    </row>
    <row r="117" spans="1:484" x14ac:dyDescent="0.25">
      <c r="A117" s="46"/>
      <c r="B117" s="4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RG117" s="6"/>
      <c r="RH117" s="6"/>
      <c r="RI117" s="6"/>
      <c r="RJ117" s="6"/>
      <c r="RK117" s="6"/>
      <c r="RL117" s="45"/>
      <c r="RM117" s="4"/>
      <c r="RN117" s="4"/>
      <c r="RO117" s="4"/>
      <c r="RP117" s="6"/>
    </row>
    <row r="118" spans="1:484" x14ac:dyDescent="0.25">
      <c r="A118" s="46"/>
      <c r="B118" s="4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  <c r="M118" s="127"/>
      <c r="RG118" s="6"/>
      <c r="RH118" s="6"/>
      <c r="RI118" s="6"/>
      <c r="RJ118" s="6"/>
      <c r="RK118" s="6"/>
      <c r="RL118" s="45"/>
      <c r="RM118" s="4"/>
      <c r="RN118" s="4"/>
      <c r="RO118" s="4"/>
      <c r="RP118" s="6"/>
    </row>
    <row r="119" spans="1:484" x14ac:dyDescent="0.25">
      <c r="A119" s="46"/>
      <c r="B119" s="4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RG119" s="6"/>
      <c r="RH119" s="6"/>
      <c r="RI119" s="6"/>
      <c r="RJ119" s="6"/>
      <c r="RK119" s="6"/>
      <c r="RL119" s="45"/>
      <c r="RM119" s="4"/>
      <c r="RN119" s="4"/>
      <c r="RO119" s="4"/>
      <c r="RP119" s="6"/>
    </row>
    <row r="120" spans="1:484" x14ac:dyDescent="0.25">
      <c r="A120" s="46"/>
      <c r="B120" s="4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RG120" s="6"/>
      <c r="RH120" s="6"/>
      <c r="RI120" s="6"/>
      <c r="RJ120" s="6"/>
      <c r="RK120" s="6"/>
      <c r="RL120" s="45"/>
      <c r="RM120" s="4"/>
      <c r="RN120" s="4"/>
      <c r="RO120" s="4"/>
      <c r="RP120" s="6"/>
    </row>
    <row r="121" spans="1:484" x14ac:dyDescent="0.25">
      <c r="A121" s="46"/>
      <c r="B121" s="47"/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RG121" s="6"/>
      <c r="RH121" s="6"/>
      <c r="RI121" s="6"/>
      <c r="RJ121" s="6"/>
      <c r="RK121" s="6"/>
      <c r="RL121" s="45"/>
      <c r="RM121" s="4"/>
      <c r="RN121" s="4"/>
      <c r="RO121" s="4"/>
      <c r="RP121" s="6"/>
    </row>
    <row r="122" spans="1:484" x14ac:dyDescent="0.25">
      <c r="A122" s="46"/>
      <c r="B122" s="47"/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RG122" s="6"/>
      <c r="RH122" s="6"/>
      <c r="RI122" s="6"/>
      <c r="RJ122" s="6"/>
      <c r="RK122" s="6"/>
      <c r="RL122" s="45"/>
      <c r="RM122" s="4"/>
      <c r="RN122" s="4"/>
      <c r="RO122" s="4"/>
      <c r="RP122" s="6"/>
    </row>
    <row r="123" spans="1:484" x14ac:dyDescent="0.25">
      <c r="A123" s="46"/>
      <c r="B123" s="47"/>
      <c r="C123" s="127"/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RG123" s="6"/>
      <c r="RH123" s="6"/>
      <c r="RI123" s="6"/>
      <c r="RJ123" s="6"/>
      <c r="RK123" s="6"/>
      <c r="RL123" s="45"/>
      <c r="RM123" s="4"/>
      <c r="RN123" s="4"/>
      <c r="RO123" s="4"/>
      <c r="RP123" s="6"/>
    </row>
    <row r="124" spans="1:484" x14ac:dyDescent="0.25">
      <c r="A124" s="46"/>
      <c r="B124" s="47"/>
      <c r="C124" s="127"/>
      <c r="D124" s="127"/>
      <c r="E124" s="127"/>
      <c r="F124" s="127"/>
      <c r="G124" s="127"/>
      <c r="H124" s="127"/>
      <c r="I124" s="127"/>
      <c r="J124" s="127"/>
      <c r="K124" s="127"/>
      <c r="L124" s="127"/>
      <c r="M124" s="127"/>
      <c r="RG124" s="6"/>
      <c r="RH124" s="6"/>
      <c r="RI124" s="6"/>
      <c r="RJ124" s="6"/>
      <c r="RK124" s="6"/>
      <c r="RL124" s="45"/>
      <c r="RM124" s="4"/>
      <c r="RN124" s="4"/>
      <c r="RO124" s="4"/>
      <c r="RP124" s="6"/>
    </row>
    <row r="125" spans="1:484" x14ac:dyDescent="0.25">
      <c r="A125" s="46"/>
      <c r="B125" s="47"/>
      <c r="C125" s="127"/>
      <c r="D125" s="127"/>
      <c r="E125" s="127"/>
      <c r="F125" s="127"/>
      <c r="G125" s="127"/>
      <c r="H125" s="127"/>
      <c r="I125" s="127"/>
      <c r="J125" s="127"/>
      <c r="K125" s="127"/>
      <c r="L125" s="127"/>
      <c r="M125" s="127"/>
      <c r="RG125" s="6"/>
      <c r="RH125" s="6"/>
      <c r="RI125" s="6"/>
      <c r="RJ125" s="6"/>
      <c r="RK125" s="6"/>
      <c r="RL125" s="45"/>
      <c r="RM125" s="4"/>
      <c r="RN125" s="4"/>
      <c r="RO125" s="4"/>
      <c r="RP125" s="6"/>
    </row>
    <row r="126" spans="1:484" x14ac:dyDescent="0.25">
      <c r="A126" s="46"/>
      <c r="B126" s="47"/>
      <c r="C126" s="127"/>
      <c r="D126" s="127"/>
      <c r="E126" s="127"/>
      <c r="F126" s="127"/>
      <c r="G126" s="127"/>
      <c r="H126" s="127"/>
      <c r="I126" s="127"/>
      <c r="J126" s="127"/>
      <c r="K126" s="127"/>
      <c r="L126" s="127"/>
      <c r="M126" s="127"/>
      <c r="RG126" s="6"/>
      <c r="RH126" s="6"/>
      <c r="RI126" s="6"/>
      <c r="RJ126" s="6"/>
      <c r="RK126" s="6"/>
      <c r="RL126" s="45"/>
      <c r="RM126" s="4"/>
      <c r="RN126" s="4"/>
      <c r="RO126" s="4"/>
      <c r="RP126" s="6"/>
    </row>
    <row r="127" spans="1:484" x14ac:dyDescent="0.25">
      <c r="A127" s="46"/>
      <c r="B127" s="47"/>
      <c r="C127" s="127"/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RG127" s="6"/>
      <c r="RH127" s="6"/>
      <c r="RI127" s="6"/>
      <c r="RJ127" s="6"/>
      <c r="RK127" s="6"/>
      <c r="RL127" s="45"/>
      <c r="RM127" s="4"/>
      <c r="RN127" s="4"/>
      <c r="RO127" s="4"/>
      <c r="RP127" s="6"/>
    </row>
    <row r="128" spans="1:484" x14ac:dyDescent="0.25">
      <c r="A128" s="46"/>
      <c r="B128" s="47"/>
      <c r="C128" s="127"/>
      <c r="D128" s="127"/>
      <c r="E128" s="127"/>
      <c r="F128" s="127"/>
      <c r="G128" s="127"/>
      <c r="H128" s="127"/>
      <c r="I128" s="127"/>
      <c r="J128" s="127"/>
      <c r="K128" s="127"/>
      <c r="L128" s="127"/>
      <c r="M128" s="127"/>
      <c r="RG128" s="6"/>
      <c r="RH128" s="6"/>
      <c r="RI128" s="6"/>
      <c r="RJ128" s="6"/>
      <c r="RK128" s="6"/>
      <c r="RL128" s="45"/>
      <c r="RM128" s="4"/>
      <c r="RN128" s="4"/>
      <c r="RO128" s="4"/>
      <c r="RP128" s="6"/>
    </row>
    <row r="129" spans="1:484" x14ac:dyDescent="0.25">
      <c r="A129" s="46"/>
      <c r="B129" s="47"/>
      <c r="C129" s="127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RG129" s="6"/>
      <c r="RH129" s="6"/>
      <c r="RI129" s="6"/>
      <c r="RJ129" s="6"/>
      <c r="RK129" s="6"/>
      <c r="RL129" s="45"/>
      <c r="RM129" s="4"/>
      <c r="RN129" s="4"/>
      <c r="RO129" s="4"/>
      <c r="RP129" s="6"/>
    </row>
    <row r="130" spans="1:484" x14ac:dyDescent="0.25">
      <c r="A130" s="46"/>
      <c r="B130" s="47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RG130" s="6"/>
      <c r="RH130" s="6"/>
      <c r="RI130" s="6"/>
      <c r="RJ130" s="6"/>
      <c r="RK130" s="6"/>
      <c r="RL130" s="45"/>
      <c r="RM130" s="4"/>
      <c r="RN130" s="4"/>
      <c r="RO130" s="4"/>
      <c r="RP130" s="6"/>
    </row>
    <row r="131" spans="1:484" x14ac:dyDescent="0.25">
      <c r="A131" s="46"/>
      <c r="B131" s="47"/>
      <c r="C131" s="127"/>
      <c r="D131" s="127"/>
      <c r="E131" s="127"/>
      <c r="F131" s="127"/>
      <c r="G131" s="127"/>
      <c r="H131" s="127"/>
      <c r="I131" s="127"/>
      <c r="J131" s="127"/>
      <c r="K131" s="127"/>
      <c r="L131" s="127"/>
      <c r="M131" s="127"/>
      <c r="RG131" s="6"/>
      <c r="RH131" s="6"/>
      <c r="RI131" s="6"/>
      <c r="RJ131" s="6"/>
      <c r="RK131" s="6"/>
      <c r="RL131" s="45"/>
      <c r="RM131" s="4"/>
      <c r="RN131" s="4"/>
      <c r="RO131" s="4"/>
      <c r="RP131" s="6"/>
    </row>
    <row r="132" spans="1:484" x14ac:dyDescent="0.25">
      <c r="A132" s="46"/>
      <c r="B132" s="47"/>
      <c r="C132" s="127"/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RG132" s="6"/>
      <c r="RH132" s="6"/>
      <c r="RI132" s="6"/>
      <c r="RJ132" s="6"/>
      <c r="RK132" s="6"/>
      <c r="RL132" s="45"/>
      <c r="RM132" s="4"/>
      <c r="RN132" s="4"/>
      <c r="RO132" s="4"/>
      <c r="RP132" s="6"/>
    </row>
    <row r="133" spans="1:484" x14ac:dyDescent="0.25">
      <c r="A133" s="46"/>
      <c r="B133" s="47"/>
      <c r="C133" s="127"/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RG133" s="6"/>
      <c r="RH133" s="6"/>
      <c r="RI133" s="6"/>
      <c r="RJ133" s="6"/>
      <c r="RK133" s="6"/>
      <c r="RL133" s="45"/>
      <c r="RM133" s="4"/>
      <c r="RN133" s="4"/>
      <c r="RO133" s="4"/>
      <c r="RP133" s="6"/>
    </row>
    <row r="134" spans="1:484" x14ac:dyDescent="0.25">
      <c r="A134" s="46"/>
      <c r="B134" s="47"/>
      <c r="C134" s="127"/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RG134" s="6"/>
      <c r="RH134" s="6"/>
      <c r="RI134" s="6"/>
      <c r="RJ134" s="6"/>
      <c r="RK134" s="6"/>
      <c r="RL134" s="45"/>
      <c r="RM134" s="4"/>
      <c r="RN134" s="4"/>
      <c r="RO134" s="4"/>
      <c r="RP134" s="6"/>
    </row>
    <row r="135" spans="1:484" x14ac:dyDescent="0.25">
      <c r="A135" s="46"/>
      <c r="B135" s="47"/>
      <c r="C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RG135" s="6"/>
      <c r="RH135" s="6"/>
      <c r="RI135" s="6"/>
      <c r="RJ135" s="6"/>
      <c r="RK135" s="6"/>
      <c r="RL135" s="45"/>
      <c r="RM135" s="4"/>
      <c r="RN135" s="4"/>
      <c r="RO135" s="4"/>
      <c r="RP135" s="6"/>
    </row>
    <row r="136" spans="1:484" x14ac:dyDescent="0.25">
      <c r="A136" s="46"/>
      <c r="B136" s="47"/>
      <c r="C136" s="127"/>
      <c r="D136" s="127"/>
      <c r="E136" s="127"/>
      <c r="F136" s="127"/>
      <c r="G136" s="127"/>
      <c r="H136" s="127"/>
      <c r="I136" s="127"/>
      <c r="J136" s="127"/>
      <c r="K136" s="127"/>
      <c r="L136" s="127"/>
      <c r="M136" s="127"/>
      <c r="RG136" s="6"/>
      <c r="RH136" s="6"/>
      <c r="RI136" s="6"/>
      <c r="RJ136" s="6"/>
      <c r="RK136" s="6"/>
      <c r="RL136" s="45"/>
      <c r="RM136" s="4"/>
      <c r="RN136" s="4"/>
      <c r="RO136" s="4"/>
      <c r="RP136" s="6"/>
    </row>
    <row r="137" spans="1:484" x14ac:dyDescent="0.25">
      <c r="A137" s="46"/>
      <c r="B137" s="47"/>
      <c r="C137" s="127"/>
      <c r="D137" s="127"/>
      <c r="E137" s="127"/>
      <c r="F137" s="127"/>
      <c r="G137" s="127"/>
      <c r="H137" s="127"/>
      <c r="I137" s="127"/>
      <c r="J137" s="127"/>
      <c r="K137" s="127"/>
      <c r="L137" s="127"/>
      <c r="M137" s="127"/>
      <c r="RG137" s="6"/>
      <c r="RH137" s="6"/>
      <c r="RI137" s="6"/>
      <c r="RJ137" s="6"/>
      <c r="RK137" s="6"/>
      <c r="RL137" s="45"/>
      <c r="RM137" s="4"/>
      <c r="RN137" s="4"/>
      <c r="RO137" s="4"/>
      <c r="RP137" s="6"/>
    </row>
    <row r="138" spans="1:484" x14ac:dyDescent="0.25">
      <c r="A138" s="46"/>
      <c r="B138" s="47"/>
      <c r="C138" s="127"/>
      <c r="D138" s="127"/>
      <c r="E138" s="127"/>
      <c r="F138" s="127"/>
      <c r="G138" s="127"/>
      <c r="H138" s="127"/>
      <c r="I138" s="127"/>
      <c r="J138" s="127"/>
      <c r="K138" s="127"/>
      <c r="L138" s="127"/>
      <c r="M138" s="127"/>
      <c r="RG138" s="6"/>
      <c r="RH138" s="6"/>
      <c r="RI138" s="6"/>
      <c r="RJ138" s="6"/>
      <c r="RK138" s="6"/>
      <c r="RL138" s="45"/>
      <c r="RM138" s="4"/>
      <c r="RN138" s="4"/>
      <c r="RO138" s="4"/>
      <c r="RP138" s="6"/>
    </row>
    <row r="139" spans="1:484" x14ac:dyDescent="0.25">
      <c r="A139" s="46"/>
      <c r="B139" s="47"/>
      <c r="C139" s="127"/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RG139" s="6"/>
      <c r="RH139" s="6"/>
      <c r="RI139" s="6"/>
      <c r="RJ139" s="6"/>
      <c r="RK139" s="6"/>
      <c r="RL139" s="45"/>
      <c r="RM139" s="4"/>
      <c r="RN139" s="4"/>
      <c r="RO139" s="4"/>
      <c r="RP139" s="6"/>
    </row>
    <row r="140" spans="1:484" x14ac:dyDescent="0.25">
      <c r="A140" s="46"/>
      <c r="B140" s="47"/>
      <c r="C140" s="127"/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RG140" s="6"/>
      <c r="RH140" s="6"/>
      <c r="RI140" s="6"/>
      <c r="RJ140" s="6"/>
      <c r="RK140" s="6"/>
      <c r="RL140" s="45"/>
      <c r="RM140" s="4"/>
      <c r="RN140" s="4"/>
      <c r="RO140" s="4"/>
      <c r="RP140" s="6"/>
    </row>
    <row r="141" spans="1:484" x14ac:dyDescent="0.25">
      <c r="A141" s="46"/>
      <c r="B141" s="47"/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RG141" s="6"/>
      <c r="RH141" s="6"/>
      <c r="RI141" s="6"/>
      <c r="RJ141" s="6"/>
      <c r="RK141" s="6"/>
      <c r="RL141" s="45"/>
      <c r="RM141" s="4"/>
      <c r="RN141" s="4"/>
      <c r="RO141" s="4"/>
      <c r="RP141" s="6"/>
    </row>
    <row r="142" spans="1:484" x14ac:dyDescent="0.25">
      <c r="A142" s="46"/>
      <c r="B142" s="47"/>
      <c r="C142" s="127"/>
      <c r="D142" s="127"/>
      <c r="E142" s="127"/>
      <c r="F142" s="127"/>
      <c r="G142" s="127"/>
      <c r="H142" s="127"/>
      <c r="I142" s="127"/>
      <c r="J142" s="127"/>
      <c r="K142" s="127"/>
      <c r="L142" s="127"/>
      <c r="M142" s="127"/>
      <c r="RG142" s="6"/>
      <c r="RH142" s="6"/>
      <c r="RI142" s="6"/>
      <c r="RJ142" s="6"/>
      <c r="RK142" s="6"/>
      <c r="RL142" s="45"/>
      <c r="RM142" s="4"/>
      <c r="RN142" s="4"/>
      <c r="RO142" s="4"/>
      <c r="RP142" s="6"/>
    </row>
    <row r="143" spans="1:484" x14ac:dyDescent="0.25">
      <c r="A143" s="46"/>
      <c r="B143" s="47"/>
      <c r="C143" s="127"/>
      <c r="D143" s="127"/>
      <c r="E143" s="127"/>
      <c r="F143" s="127"/>
      <c r="G143" s="127"/>
      <c r="H143" s="127"/>
      <c r="I143" s="127"/>
      <c r="J143" s="127"/>
      <c r="K143" s="127"/>
      <c r="L143" s="127"/>
      <c r="M143" s="127"/>
      <c r="RG143" s="6"/>
      <c r="RH143" s="6"/>
      <c r="RI143" s="6"/>
      <c r="RJ143" s="6"/>
      <c r="RK143" s="6"/>
      <c r="RL143" s="45"/>
      <c r="RM143" s="4"/>
      <c r="RN143" s="4"/>
      <c r="RO143" s="4"/>
      <c r="RP143" s="6"/>
    </row>
    <row r="144" spans="1:484" x14ac:dyDescent="0.25">
      <c r="A144" s="46"/>
      <c r="B144" s="47"/>
      <c r="C144" s="127"/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RG144" s="6"/>
      <c r="RH144" s="6"/>
      <c r="RI144" s="6"/>
      <c r="RJ144" s="6"/>
      <c r="RK144" s="6"/>
      <c r="RL144" s="45"/>
      <c r="RM144" s="4"/>
      <c r="RN144" s="4"/>
      <c r="RO144" s="4"/>
      <c r="RP144" s="6"/>
    </row>
    <row r="145" spans="1:484" x14ac:dyDescent="0.25">
      <c r="A145" s="46"/>
      <c r="B145" s="47"/>
      <c r="C145" s="127"/>
      <c r="D145" s="127"/>
      <c r="E145" s="127"/>
      <c r="F145" s="127"/>
      <c r="G145" s="127"/>
      <c r="H145" s="127"/>
      <c r="I145" s="127"/>
      <c r="J145" s="127"/>
      <c r="K145" s="127"/>
      <c r="L145" s="127"/>
      <c r="M145" s="127"/>
      <c r="RG145" s="6"/>
      <c r="RH145" s="6"/>
      <c r="RI145" s="6"/>
      <c r="RJ145" s="6"/>
      <c r="RK145" s="6"/>
      <c r="RL145" s="45"/>
      <c r="RM145" s="4"/>
      <c r="RN145" s="4"/>
      <c r="RO145" s="4"/>
      <c r="RP145" s="6"/>
    </row>
    <row r="146" spans="1:484" x14ac:dyDescent="0.25">
      <c r="A146" s="46"/>
      <c r="B146" s="47"/>
      <c r="C146" s="127"/>
      <c r="D146" s="127"/>
      <c r="E146" s="127"/>
      <c r="F146" s="127"/>
      <c r="G146" s="127"/>
      <c r="H146" s="127"/>
      <c r="I146" s="127"/>
      <c r="J146" s="127"/>
      <c r="K146" s="127"/>
      <c r="L146" s="127"/>
      <c r="M146" s="127"/>
      <c r="RG146" s="6"/>
      <c r="RH146" s="6"/>
      <c r="RI146" s="6"/>
      <c r="RJ146" s="6"/>
      <c r="RK146" s="6"/>
      <c r="RL146" s="45"/>
      <c r="RM146" s="4"/>
      <c r="RN146" s="4"/>
      <c r="RO146" s="4"/>
      <c r="RP146" s="6"/>
    </row>
    <row r="147" spans="1:484" x14ac:dyDescent="0.25">
      <c r="A147" s="46"/>
      <c r="B147" s="47"/>
      <c r="C147" s="127"/>
      <c r="D147" s="127"/>
      <c r="E147" s="127"/>
      <c r="F147" s="127"/>
      <c r="G147" s="127"/>
      <c r="H147" s="127"/>
      <c r="I147" s="127"/>
      <c r="J147" s="127"/>
      <c r="K147" s="127"/>
      <c r="L147" s="127"/>
      <c r="M147" s="127"/>
      <c r="RG147" s="6"/>
      <c r="RH147" s="6"/>
      <c r="RI147" s="6"/>
      <c r="RJ147" s="6"/>
      <c r="RK147" s="6"/>
      <c r="RL147" s="45"/>
      <c r="RM147" s="4"/>
      <c r="RN147" s="4"/>
      <c r="RO147" s="4"/>
      <c r="RP147" s="6"/>
    </row>
    <row r="148" spans="1:484" x14ac:dyDescent="0.25">
      <c r="A148" s="46"/>
      <c r="B148" s="47"/>
      <c r="C148" s="127"/>
      <c r="D148" s="127"/>
      <c r="E148" s="127"/>
      <c r="F148" s="127"/>
      <c r="G148" s="127"/>
      <c r="H148" s="127"/>
      <c r="I148" s="127"/>
      <c r="J148" s="127"/>
      <c r="K148" s="127"/>
      <c r="L148" s="127"/>
      <c r="M148" s="127"/>
      <c r="RG148" s="6"/>
      <c r="RH148" s="6"/>
      <c r="RI148" s="6"/>
      <c r="RJ148" s="6"/>
      <c r="RK148" s="6"/>
      <c r="RL148" s="45"/>
      <c r="RM148" s="4"/>
      <c r="RN148" s="4"/>
      <c r="RO148" s="4"/>
      <c r="RP148" s="6"/>
    </row>
    <row r="149" spans="1:484" x14ac:dyDescent="0.25">
      <c r="A149" s="46"/>
      <c r="B149" s="47"/>
      <c r="C149" s="127"/>
      <c r="D149" s="127"/>
      <c r="E149" s="127"/>
      <c r="F149" s="127"/>
      <c r="G149" s="127"/>
      <c r="H149" s="127"/>
      <c r="I149" s="127"/>
      <c r="J149" s="127"/>
      <c r="K149" s="127"/>
      <c r="L149" s="127"/>
      <c r="M149" s="127"/>
      <c r="RG149" s="6"/>
      <c r="RH149" s="6"/>
      <c r="RI149" s="6"/>
      <c r="RJ149" s="6"/>
      <c r="RK149" s="6"/>
      <c r="RL149" s="45"/>
      <c r="RM149" s="4"/>
      <c r="RN149" s="4"/>
      <c r="RO149" s="4"/>
      <c r="RP149" s="6"/>
    </row>
    <row r="150" spans="1:484" x14ac:dyDescent="0.25">
      <c r="A150" s="46"/>
      <c r="B150" s="47"/>
      <c r="C150" s="127"/>
      <c r="D150" s="127"/>
      <c r="E150" s="127"/>
      <c r="F150" s="127"/>
      <c r="G150" s="127"/>
      <c r="H150" s="127"/>
      <c r="I150" s="127"/>
      <c r="J150" s="127"/>
      <c r="K150" s="127"/>
      <c r="L150" s="127"/>
      <c r="M150" s="127"/>
      <c r="RG150" s="6"/>
      <c r="RH150" s="6"/>
      <c r="RI150" s="6"/>
      <c r="RJ150" s="6"/>
      <c r="RK150" s="6"/>
      <c r="RL150" s="45"/>
      <c r="RM150" s="4"/>
      <c r="RN150" s="4"/>
      <c r="RO150" s="4"/>
      <c r="RP150" s="6"/>
    </row>
    <row r="151" spans="1:484" x14ac:dyDescent="0.25">
      <c r="A151" s="46"/>
      <c r="B151" s="47"/>
      <c r="C151" s="127"/>
      <c r="D151" s="127"/>
      <c r="E151" s="127"/>
      <c r="F151" s="127"/>
      <c r="G151" s="127"/>
      <c r="H151" s="127"/>
      <c r="I151" s="127"/>
      <c r="J151" s="127"/>
      <c r="K151" s="127"/>
      <c r="L151" s="127"/>
      <c r="M151" s="127"/>
      <c r="RG151" s="6"/>
      <c r="RH151" s="6"/>
      <c r="RI151" s="6"/>
      <c r="RJ151" s="6"/>
      <c r="RK151" s="6"/>
      <c r="RL151" s="45"/>
      <c r="RM151" s="4"/>
      <c r="RN151" s="4"/>
      <c r="RO151" s="4"/>
      <c r="RP151" s="6"/>
    </row>
    <row r="152" spans="1:484" x14ac:dyDescent="0.25">
      <c r="A152" s="46"/>
      <c r="B152" s="47"/>
      <c r="C152" s="127"/>
      <c r="D152" s="127"/>
      <c r="E152" s="127"/>
      <c r="F152" s="127"/>
      <c r="G152" s="127"/>
      <c r="H152" s="127"/>
      <c r="I152" s="127"/>
      <c r="J152" s="127"/>
      <c r="K152" s="127"/>
      <c r="L152" s="127"/>
      <c r="M152" s="127"/>
      <c r="RG152" s="6"/>
      <c r="RH152" s="6"/>
      <c r="RI152" s="6"/>
      <c r="RJ152" s="6"/>
      <c r="RK152" s="6"/>
      <c r="RL152" s="45"/>
      <c r="RM152" s="4"/>
      <c r="RN152" s="4"/>
      <c r="RO152" s="4"/>
      <c r="RP152" s="6"/>
    </row>
    <row r="153" spans="1:484" x14ac:dyDescent="0.25">
      <c r="A153" s="46"/>
      <c r="B153" s="47"/>
      <c r="C153" s="127"/>
      <c r="D153" s="127"/>
      <c r="E153" s="127"/>
      <c r="F153" s="127"/>
      <c r="G153" s="127"/>
      <c r="H153" s="127"/>
      <c r="I153" s="127"/>
      <c r="J153" s="127"/>
      <c r="K153" s="127"/>
      <c r="L153" s="127"/>
      <c r="M153" s="127"/>
      <c r="RG153" s="6"/>
      <c r="RH153" s="6"/>
      <c r="RI153" s="6"/>
      <c r="RJ153" s="6"/>
      <c r="RK153" s="6"/>
      <c r="RL153" s="45"/>
      <c r="RM153" s="4"/>
      <c r="RN153" s="4"/>
      <c r="RO153" s="4"/>
      <c r="RP153" s="6"/>
    </row>
    <row r="154" spans="1:484" x14ac:dyDescent="0.25">
      <c r="A154" s="46"/>
      <c r="B154" s="47"/>
      <c r="C154" s="127"/>
      <c r="D154" s="127"/>
      <c r="E154" s="127"/>
      <c r="F154" s="127"/>
      <c r="G154" s="127"/>
      <c r="H154" s="127"/>
      <c r="I154" s="127"/>
      <c r="J154" s="127"/>
      <c r="K154" s="127"/>
      <c r="L154" s="127"/>
      <c r="M154" s="127"/>
      <c r="RG154" s="6"/>
      <c r="RH154" s="6"/>
      <c r="RI154" s="6"/>
      <c r="RJ154" s="6"/>
      <c r="RK154" s="6"/>
      <c r="RL154" s="45"/>
      <c r="RM154" s="4"/>
      <c r="RN154" s="4"/>
      <c r="RO154" s="4"/>
      <c r="RP154" s="6"/>
    </row>
    <row r="155" spans="1:484" x14ac:dyDescent="0.25">
      <c r="A155" s="46"/>
      <c r="B155" s="47"/>
      <c r="C155" s="127"/>
      <c r="D155" s="127"/>
      <c r="E155" s="127"/>
      <c r="F155" s="127"/>
      <c r="G155" s="127"/>
      <c r="H155" s="127"/>
      <c r="I155" s="127"/>
      <c r="J155" s="127"/>
      <c r="K155" s="127"/>
      <c r="L155" s="127"/>
      <c r="M155" s="127"/>
      <c r="RG155" s="6"/>
      <c r="RH155" s="6"/>
      <c r="RI155" s="6"/>
      <c r="RJ155" s="6"/>
      <c r="RK155" s="6"/>
      <c r="RL155" s="45"/>
      <c r="RM155" s="4"/>
      <c r="RN155" s="4"/>
      <c r="RO155" s="4"/>
      <c r="RP155" s="6"/>
    </row>
    <row r="156" spans="1:484" x14ac:dyDescent="0.25">
      <c r="A156" s="46"/>
      <c r="B156" s="47"/>
      <c r="C156" s="127"/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RG156" s="6"/>
      <c r="RH156" s="6"/>
      <c r="RI156" s="6"/>
      <c r="RJ156" s="6"/>
      <c r="RK156" s="6"/>
      <c r="RL156" s="45"/>
      <c r="RM156" s="4"/>
      <c r="RN156" s="4"/>
      <c r="RO156" s="4"/>
      <c r="RP156" s="6"/>
    </row>
    <row r="157" spans="1:484" x14ac:dyDescent="0.25">
      <c r="A157" s="46"/>
      <c r="B157" s="47"/>
      <c r="C157" s="127"/>
      <c r="D157" s="127"/>
      <c r="E157" s="127"/>
      <c r="F157" s="127"/>
      <c r="G157" s="127"/>
      <c r="H157" s="127"/>
      <c r="I157" s="127"/>
      <c r="J157" s="127"/>
      <c r="K157" s="127"/>
      <c r="L157" s="127"/>
      <c r="M157" s="127"/>
      <c r="RG157" s="6"/>
      <c r="RH157" s="6"/>
      <c r="RI157" s="6"/>
      <c r="RJ157" s="6"/>
      <c r="RK157" s="6"/>
      <c r="RL157" s="45"/>
      <c r="RM157" s="4"/>
      <c r="RN157" s="4"/>
      <c r="RO157" s="4"/>
      <c r="RP157" s="6"/>
    </row>
    <row r="158" spans="1:484" x14ac:dyDescent="0.25">
      <c r="A158" s="46"/>
      <c r="B158" s="47"/>
      <c r="C158" s="127"/>
      <c r="D158" s="127"/>
      <c r="E158" s="127"/>
      <c r="F158" s="127"/>
      <c r="G158" s="127"/>
      <c r="H158" s="127"/>
      <c r="I158" s="127"/>
      <c r="J158" s="127"/>
      <c r="K158" s="127"/>
      <c r="L158" s="127"/>
      <c r="M158" s="127"/>
      <c r="RG158" s="6"/>
      <c r="RH158" s="6"/>
      <c r="RI158" s="6"/>
      <c r="RJ158" s="6"/>
      <c r="RK158" s="6"/>
      <c r="RL158" s="45"/>
      <c r="RM158" s="4"/>
      <c r="RN158" s="4"/>
      <c r="RO158" s="4"/>
      <c r="RP158" s="6"/>
    </row>
    <row r="159" spans="1:484" x14ac:dyDescent="0.25">
      <c r="A159" s="46"/>
      <c r="B159" s="47"/>
      <c r="C159" s="127"/>
      <c r="D159" s="127"/>
      <c r="E159" s="127"/>
      <c r="F159" s="127"/>
      <c r="G159" s="127"/>
      <c r="H159" s="127"/>
      <c r="I159" s="127"/>
      <c r="J159" s="127"/>
      <c r="K159" s="127"/>
      <c r="L159" s="127"/>
      <c r="M159" s="127"/>
      <c r="RG159" s="6"/>
      <c r="RH159" s="6"/>
      <c r="RI159" s="6"/>
      <c r="RJ159" s="6"/>
      <c r="RK159" s="6"/>
      <c r="RL159" s="45"/>
      <c r="RM159" s="4"/>
      <c r="RN159" s="4"/>
      <c r="RO159" s="4"/>
      <c r="RP159" s="6"/>
    </row>
    <row r="160" spans="1:484" x14ac:dyDescent="0.25">
      <c r="A160" s="46"/>
      <c r="B160" s="47"/>
      <c r="C160" s="127"/>
      <c r="D160" s="127"/>
      <c r="E160" s="127"/>
      <c r="F160" s="127"/>
      <c r="G160" s="127"/>
      <c r="H160" s="127"/>
      <c r="I160" s="127"/>
      <c r="J160" s="127"/>
      <c r="K160" s="127"/>
      <c r="L160" s="127"/>
      <c r="M160" s="127"/>
      <c r="RG160" s="6"/>
      <c r="RH160" s="6"/>
      <c r="RI160" s="6"/>
      <c r="RJ160" s="6"/>
      <c r="RK160" s="6"/>
      <c r="RL160" s="45"/>
      <c r="RM160" s="4"/>
      <c r="RN160" s="4"/>
      <c r="RO160" s="4"/>
      <c r="RP160" s="6"/>
    </row>
    <row r="161" spans="1:484" x14ac:dyDescent="0.25">
      <c r="A161" s="46"/>
      <c r="B161" s="47"/>
      <c r="C161" s="127"/>
      <c r="D161" s="127"/>
      <c r="E161" s="127"/>
      <c r="F161" s="127"/>
      <c r="G161" s="127"/>
      <c r="H161" s="127"/>
      <c r="I161" s="127"/>
      <c r="J161" s="127"/>
      <c r="K161" s="127"/>
      <c r="L161" s="127"/>
      <c r="M161" s="127"/>
      <c r="RG161" s="6"/>
      <c r="RH161" s="6"/>
      <c r="RI161" s="6"/>
      <c r="RJ161" s="6"/>
      <c r="RK161" s="6"/>
      <c r="RL161" s="45"/>
      <c r="RM161" s="4"/>
      <c r="RN161" s="4"/>
      <c r="RO161" s="4"/>
      <c r="RP161" s="6"/>
    </row>
    <row r="162" spans="1:484" x14ac:dyDescent="0.25">
      <c r="A162" s="46"/>
      <c r="B162" s="47"/>
      <c r="C162" s="127"/>
      <c r="D162" s="127"/>
      <c r="E162" s="127"/>
      <c r="F162" s="127"/>
      <c r="G162" s="127"/>
      <c r="H162" s="127"/>
      <c r="I162" s="127"/>
      <c r="J162" s="127"/>
      <c r="K162" s="127"/>
      <c r="L162" s="127"/>
      <c r="M162" s="127"/>
      <c r="RG162" s="6"/>
      <c r="RH162" s="6"/>
      <c r="RI162" s="6"/>
      <c r="RJ162" s="6"/>
      <c r="RK162" s="6"/>
      <c r="RL162" s="45"/>
      <c r="RM162" s="4"/>
      <c r="RN162" s="4"/>
      <c r="RO162" s="4"/>
      <c r="RP162" s="6"/>
    </row>
    <row r="163" spans="1:484" x14ac:dyDescent="0.25">
      <c r="A163" s="46"/>
      <c r="B163" s="47"/>
      <c r="C163" s="127"/>
      <c r="D163" s="127"/>
      <c r="E163" s="127"/>
      <c r="F163" s="127"/>
      <c r="G163" s="127"/>
      <c r="H163" s="127"/>
      <c r="I163" s="127"/>
      <c r="J163" s="127"/>
      <c r="K163" s="127"/>
      <c r="L163" s="127"/>
      <c r="M163" s="127"/>
      <c r="RG163" s="6"/>
      <c r="RH163" s="6"/>
      <c r="RI163" s="6"/>
      <c r="RJ163" s="6"/>
      <c r="RK163" s="6"/>
      <c r="RL163" s="45"/>
      <c r="RM163" s="4"/>
      <c r="RN163" s="4"/>
      <c r="RO163" s="4"/>
      <c r="RP163" s="6"/>
    </row>
    <row r="164" spans="1:484" x14ac:dyDescent="0.25">
      <c r="A164" s="46"/>
      <c r="B164" s="47"/>
      <c r="C164" s="127"/>
      <c r="D164" s="127"/>
      <c r="E164" s="127"/>
      <c r="F164" s="127"/>
      <c r="G164" s="127"/>
      <c r="H164" s="127"/>
      <c r="I164" s="127"/>
      <c r="J164" s="127"/>
      <c r="K164" s="127"/>
      <c r="L164" s="127"/>
      <c r="M164" s="127"/>
      <c r="RG164" s="6"/>
      <c r="RH164" s="6"/>
      <c r="RI164" s="6"/>
      <c r="RJ164" s="6"/>
      <c r="RK164" s="6"/>
      <c r="RL164" s="45"/>
      <c r="RM164" s="4"/>
      <c r="RN164" s="4"/>
      <c r="RO164" s="4"/>
      <c r="RP164" s="6"/>
    </row>
    <row r="165" spans="1:484" x14ac:dyDescent="0.25">
      <c r="A165" s="46"/>
      <c r="B165" s="47"/>
      <c r="C165" s="127"/>
      <c r="D165" s="127"/>
      <c r="E165" s="127"/>
      <c r="F165" s="127"/>
      <c r="G165" s="127"/>
      <c r="H165" s="127"/>
      <c r="I165" s="127"/>
      <c r="J165" s="127"/>
      <c r="K165" s="127"/>
      <c r="L165" s="127"/>
      <c r="M165" s="127"/>
      <c r="RG165" s="6"/>
      <c r="RH165" s="6"/>
      <c r="RI165" s="6"/>
      <c r="RJ165" s="6"/>
      <c r="RK165" s="6"/>
      <c r="RL165" s="45"/>
      <c r="RM165" s="4"/>
      <c r="RN165" s="4"/>
      <c r="RO165" s="4"/>
      <c r="RP165" s="6"/>
    </row>
    <row r="166" spans="1:484" x14ac:dyDescent="0.25">
      <c r="A166" s="46"/>
      <c r="B166" s="4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RG166" s="6"/>
      <c r="RH166" s="6"/>
      <c r="RI166" s="6"/>
      <c r="RJ166" s="6"/>
      <c r="RK166" s="6"/>
      <c r="RL166" s="45"/>
      <c r="RM166" s="4"/>
      <c r="RN166" s="4"/>
      <c r="RO166" s="4"/>
      <c r="RP166" s="6"/>
    </row>
    <row r="167" spans="1:484" x14ac:dyDescent="0.25">
      <c r="A167" s="46"/>
      <c r="B167" s="47"/>
      <c r="C167" s="127"/>
      <c r="D167" s="127"/>
      <c r="E167" s="127"/>
      <c r="F167" s="127"/>
      <c r="G167" s="127"/>
      <c r="H167" s="127"/>
      <c r="I167" s="127"/>
      <c r="J167" s="127"/>
      <c r="K167" s="127"/>
      <c r="L167" s="127"/>
      <c r="M167" s="127"/>
      <c r="RG167" s="6"/>
      <c r="RH167" s="6"/>
      <c r="RI167" s="6"/>
      <c r="RJ167" s="6"/>
      <c r="RK167" s="6"/>
      <c r="RL167" s="45"/>
      <c r="RM167" s="4"/>
      <c r="RN167" s="4"/>
      <c r="RO167" s="4"/>
      <c r="RP167" s="6"/>
    </row>
    <row r="168" spans="1:484" x14ac:dyDescent="0.25">
      <c r="A168" s="46"/>
      <c r="B168" s="47"/>
      <c r="C168" s="127"/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RG168" s="6"/>
      <c r="RH168" s="6"/>
      <c r="RI168" s="6"/>
      <c r="RJ168" s="6"/>
      <c r="RK168" s="6"/>
      <c r="RL168" s="45"/>
      <c r="RM168" s="4"/>
      <c r="RN168" s="4"/>
      <c r="RO168" s="4"/>
      <c r="RP168" s="6"/>
    </row>
    <row r="169" spans="1:484" x14ac:dyDescent="0.25">
      <c r="A169" s="46"/>
      <c r="B169" s="47"/>
      <c r="C169" s="127"/>
      <c r="D169" s="127"/>
      <c r="E169" s="127"/>
      <c r="F169" s="127"/>
      <c r="G169" s="127"/>
      <c r="H169" s="127"/>
      <c r="I169" s="127"/>
      <c r="J169" s="127"/>
      <c r="K169" s="127"/>
      <c r="L169" s="127"/>
      <c r="M169" s="127"/>
      <c r="RG169" s="6"/>
      <c r="RH169" s="6"/>
      <c r="RI169" s="6"/>
      <c r="RJ169" s="6"/>
      <c r="RK169" s="6"/>
      <c r="RL169" s="45"/>
      <c r="RM169" s="4"/>
      <c r="RN169" s="4"/>
      <c r="RO169" s="4"/>
      <c r="RP169" s="6"/>
    </row>
    <row r="170" spans="1:484" x14ac:dyDescent="0.25">
      <c r="A170" s="46"/>
      <c r="B170" s="47"/>
      <c r="C170" s="127"/>
      <c r="D170" s="127"/>
      <c r="E170" s="127"/>
      <c r="F170" s="127"/>
      <c r="G170" s="127"/>
      <c r="H170" s="127"/>
      <c r="I170" s="127"/>
      <c r="J170" s="127"/>
      <c r="K170" s="127"/>
      <c r="L170" s="127"/>
      <c r="M170" s="127"/>
      <c r="RG170" s="6"/>
      <c r="RH170" s="6"/>
      <c r="RI170" s="6"/>
      <c r="RJ170" s="6"/>
      <c r="RK170" s="6"/>
      <c r="RL170" s="45"/>
      <c r="RM170" s="4"/>
      <c r="RN170" s="4"/>
      <c r="RO170" s="4"/>
      <c r="RP170" s="6"/>
    </row>
    <row r="171" spans="1:484" x14ac:dyDescent="0.25">
      <c r="A171" s="46"/>
      <c r="B171" s="47"/>
      <c r="C171" s="127"/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RG171" s="6"/>
      <c r="RH171" s="6"/>
      <c r="RI171" s="6"/>
      <c r="RJ171" s="6"/>
      <c r="RK171" s="6"/>
      <c r="RL171" s="45"/>
      <c r="RM171" s="4"/>
      <c r="RN171" s="4"/>
      <c r="RO171" s="4"/>
      <c r="RP171" s="6"/>
    </row>
    <row r="172" spans="1:484" x14ac:dyDescent="0.25">
      <c r="A172" s="46"/>
      <c r="B172" s="47"/>
      <c r="C172" s="127"/>
      <c r="D172" s="127"/>
      <c r="E172" s="127"/>
      <c r="F172" s="127"/>
      <c r="G172" s="127"/>
      <c r="H172" s="127"/>
      <c r="I172" s="127"/>
      <c r="J172" s="127"/>
      <c r="K172" s="127"/>
      <c r="L172" s="127"/>
      <c r="M172" s="127"/>
      <c r="RG172" s="6"/>
      <c r="RH172" s="6"/>
      <c r="RI172" s="6"/>
      <c r="RJ172" s="6"/>
      <c r="RK172" s="6"/>
      <c r="RL172" s="45"/>
      <c r="RM172" s="4"/>
      <c r="RN172" s="4"/>
      <c r="RO172" s="4"/>
      <c r="RP172" s="6"/>
    </row>
    <row r="173" spans="1:484" x14ac:dyDescent="0.25">
      <c r="A173" s="46"/>
      <c r="B173" s="4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RG173" s="6"/>
      <c r="RH173" s="6"/>
      <c r="RI173" s="6"/>
      <c r="RJ173" s="6"/>
      <c r="RK173" s="6"/>
      <c r="RL173" s="45"/>
      <c r="RM173" s="4"/>
      <c r="RN173" s="4"/>
      <c r="RO173" s="4"/>
      <c r="RP173" s="6"/>
    </row>
    <row r="174" spans="1:484" x14ac:dyDescent="0.25">
      <c r="A174" s="46"/>
      <c r="B174" s="47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RG174" s="6"/>
      <c r="RH174" s="6"/>
      <c r="RI174" s="6"/>
      <c r="RJ174" s="6"/>
      <c r="RK174" s="6"/>
      <c r="RL174" s="45"/>
      <c r="RM174" s="4"/>
      <c r="RN174" s="4"/>
      <c r="RO174" s="4"/>
      <c r="RP174" s="6"/>
    </row>
    <row r="175" spans="1:484" x14ac:dyDescent="0.25">
      <c r="A175" s="46"/>
      <c r="B175" s="47"/>
      <c r="C175" s="127"/>
      <c r="D175" s="127"/>
      <c r="E175" s="127"/>
      <c r="F175" s="127"/>
      <c r="G175" s="127"/>
      <c r="H175" s="127"/>
      <c r="I175" s="127"/>
      <c r="J175" s="127"/>
      <c r="K175" s="127"/>
      <c r="L175" s="127"/>
      <c r="M175" s="127"/>
      <c r="RG175" s="6"/>
      <c r="RH175" s="6"/>
      <c r="RI175" s="6"/>
      <c r="RJ175" s="6"/>
      <c r="RK175" s="6"/>
      <c r="RL175" s="45"/>
      <c r="RM175" s="4"/>
      <c r="RN175" s="4"/>
      <c r="RO175" s="4"/>
      <c r="RP175" s="6"/>
    </row>
    <row r="176" spans="1:484" x14ac:dyDescent="0.25">
      <c r="A176" s="46"/>
      <c r="B176" s="47"/>
      <c r="C176" s="127"/>
      <c r="D176" s="127"/>
      <c r="E176" s="127"/>
      <c r="F176" s="127"/>
      <c r="G176" s="127"/>
      <c r="H176" s="127"/>
      <c r="I176" s="127"/>
      <c r="J176" s="127"/>
      <c r="K176" s="127"/>
      <c r="L176" s="127"/>
      <c r="M176" s="127"/>
      <c r="RG176" s="6"/>
      <c r="RH176" s="6"/>
      <c r="RI176" s="6"/>
      <c r="RJ176" s="6"/>
      <c r="RK176" s="6"/>
      <c r="RL176" s="45"/>
      <c r="RM176" s="4"/>
      <c r="RN176" s="4"/>
      <c r="RO176" s="4"/>
      <c r="RP176" s="6"/>
    </row>
    <row r="177" spans="1:484" x14ac:dyDescent="0.25">
      <c r="A177" s="46"/>
      <c r="B177" s="47"/>
      <c r="C177" s="127"/>
      <c r="D177" s="127"/>
      <c r="E177" s="127"/>
      <c r="F177" s="127"/>
      <c r="G177" s="127"/>
      <c r="H177" s="127"/>
      <c r="I177" s="127"/>
      <c r="J177" s="127"/>
      <c r="K177" s="127"/>
      <c r="L177" s="127"/>
      <c r="M177" s="127"/>
      <c r="RG177" s="6"/>
      <c r="RH177" s="6"/>
      <c r="RI177" s="6"/>
      <c r="RJ177" s="6"/>
      <c r="RK177" s="6"/>
      <c r="RL177" s="45"/>
      <c r="RM177" s="4"/>
      <c r="RN177" s="4"/>
      <c r="RO177" s="4"/>
      <c r="RP177" s="6"/>
    </row>
    <row r="178" spans="1:484" x14ac:dyDescent="0.25">
      <c r="A178" s="46"/>
      <c r="B178" s="47"/>
      <c r="C178" s="127"/>
      <c r="D178" s="127"/>
      <c r="E178" s="127"/>
      <c r="F178" s="127"/>
      <c r="G178" s="127"/>
      <c r="H178" s="127"/>
      <c r="I178" s="127"/>
      <c r="J178" s="127"/>
      <c r="K178" s="127"/>
      <c r="L178" s="127"/>
      <c r="M178" s="127"/>
      <c r="RG178" s="6"/>
      <c r="RH178" s="6"/>
      <c r="RI178" s="6"/>
      <c r="RJ178" s="6"/>
      <c r="RK178" s="6"/>
      <c r="RL178" s="45"/>
      <c r="RM178" s="4"/>
      <c r="RN178" s="4"/>
      <c r="RO178" s="4"/>
      <c r="RP178" s="6"/>
    </row>
    <row r="179" spans="1:484" x14ac:dyDescent="0.25">
      <c r="A179" s="46"/>
      <c r="B179" s="47"/>
      <c r="C179" s="127"/>
      <c r="D179" s="127"/>
      <c r="E179" s="127"/>
      <c r="F179" s="127"/>
      <c r="G179" s="127"/>
      <c r="H179" s="127"/>
      <c r="I179" s="127"/>
      <c r="J179" s="127"/>
      <c r="K179" s="127"/>
      <c r="L179" s="127"/>
      <c r="M179" s="127"/>
      <c r="RG179" s="6"/>
      <c r="RH179" s="6"/>
      <c r="RI179" s="6"/>
      <c r="RJ179" s="6"/>
      <c r="RK179" s="6"/>
      <c r="RL179" s="45"/>
      <c r="RM179" s="4"/>
      <c r="RN179" s="4"/>
      <c r="RO179" s="4"/>
      <c r="RP179" s="6"/>
    </row>
    <row r="180" spans="1:484" x14ac:dyDescent="0.25">
      <c r="A180" s="46"/>
      <c r="B180" s="47"/>
      <c r="C180" s="127"/>
      <c r="D180" s="127"/>
      <c r="E180" s="127"/>
      <c r="F180" s="127"/>
      <c r="G180" s="127"/>
      <c r="H180" s="127"/>
      <c r="I180" s="127"/>
      <c r="J180" s="127"/>
      <c r="K180" s="127"/>
      <c r="L180" s="127"/>
      <c r="M180" s="127"/>
      <c r="RG180" s="6"/>
      <c r="RH180" s="6"/>
      <c r="RI180" s="6"/>
      <c r="RJ180" s="6"/>
      <c r="RK180" s="6"/>
      <c r="RL180" s="45"/>
      <c r="RM180" s="4"/>
      <c r="RN180" s="4"/>
      <c r="RO180" s="4"/>
      <c r="RP180" s="6"/>
    </row>
    <row r="181" spans="1:484" x14ac:dyDescent="0.25">
      <c r="A181" s="46"/>
      <c r="B181" s="47"/>
      <c r="C181" s="127"/>
      <c r="D181" s="127"/>
      <c r="E181" s="127"/>
      <c r="F181" s="127"/>
      <c r="G181" s="127"/>
      <c r="H181" s="127"/>
      <c r="I181" s="127"/>
      <c r="J181" s="127"/>
      <c r="K181" s="127"/>
      <c r="L181" s="127"/>
      <c r="M181" s="127"/>
      <c r="RG181" s="6"/>
      <c r="RH181" s="6"/>
      <c r="RI181" s="6"/>
      <c r="RJ181" s="6"/>
      <c r="RK181" s="6"/>
      <c r="RL181" s="45"/>
      <c r="RM181" s="4"/>
      <c r="RN181" s="4"/>
      <c r="RO181" s="4"/>
      <c r="RP181" s="6"/>
    </row>
    <row r="182" spans="1:484" x14ac:dyDescent="0.25">
      <c r="A182" s="46"/>
      <c r="B182" s="47"/>
      <c r="C182" s="127"/>
      <c r="D182" s="127"/>
      <c r="E182" s="127"/>
      <c r="F182" s="127"/>
      <c r="G182" s="127"/>
      <c r="H182" s="127"/>
      <c r="I182" s="127"/>
      <c r="J182" s="127"/>
      <c r="K182" s="127"/>
      <c r="L182" s="127"/>
      <c r="M182" s="127"/>
      <c r="RG182" s="6"/>
      <c r="RH182" s="6"/>
      <c r="RI182" s="6"/>
      <c r="RJ182" s="6"/>
      <c r="RK182" s="6"/>
      <c r="RL182" s="45"/>
      <c r="RM182" s="4"/>
      <c r="RN182" s="4"/>
      <c r="RO182" s="4"/>
      <c r="RP182" s="6"/>
    </row>
    <row r="183" spans="1:484" x14ac:dyDescent="0.25">
      <c r="A183" s="46"/>
      <c r="B183" s="47"/>
      <c r="C183" s="127"/>
      <c r="D183" s="127"/>
      <c r="E183" s="127"/>
      <c r="F183" s="127"/>
      <c r="G183" s="127"/>
      <c r="H183" s="127"/>
      <c r="I183" s="127"/>
      <c r="J183" s="127"/>
      <c r="K183" s="127"/>
      <c r="L183" s="127"/>
      <c r="M183" s="127"/>
      <c r="RG183" s="6"/>
      <c r="RH183" s="6"/>
      <c r="RI183" s="6"/>
      <c r="RJ183" s="6"/>
      <c r="RK183" s="6"/>
      <c r="RL183" s="45"/>
      <c r="RM183" s="4"/>
      <c r="RN183" s="4"/>
      <c r="RO183" s="4"/>
      <c r="RP183" s="6"/>
    </row>
    <row r="184" spans="1:484" x14ac:dyDescent="0.25">
      <c r="A184" s="46"/>
      <c r="B184" s="47"/>
      <c r="C184" s="127"/>
      <c r="D184" s="127"/>
      <c r="E184" s="127"/>
      <c r="F184" s="127"/>
      <c r="G184" s="127"/>
      <c r="H184" s="127"/>
      <c r="I184" s="127"/>
      <c r="J184" s="127"/>
      <c r="K184" s="127"/>
      <c r="L184" s="127"/>
      <c r="M184" s="127"/>
      <c r="RG184" s="6"/>
      <c r="RH184" s="6"/>
      <c r="RI184" s="6"/>
      <c r="RJ184" s="6"/>
      <c r="RK184" s="6"/>
      <c r="RL184" s="45"/>
      <c r="RM184" s="4"/>
      <c r="RN184" s="4"/>
      <c r="RO184" s="4"/>
      <c r="RP184" s="6"/>
    </row>
    <row r="185" spans="1:484" x14ac:dyDescent="0.25">
      <c r="A185" s="46"/>
      <c r="B185" s="4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RG185" s="6"/>
      <c r="RH185" s="6"/>
      <c r="RI185" s="6"/>
      <c r="RJ185" s="6"/>
      <c r="RK185" s="6"/>
      <c r="RL185" s="45"/>
      <c r="RM185" s="4"/>
      <c r="RN185" s="4"/>
      <c r="RO185" s="4"/>
      <c r="RP185" s="6"/>
    </row>
    <row r="186" spans="1:484" x14ac:dyDescent="0.25">
      <c r="A186" s="46"/>
      <c r="B186" s="47"/>
      <c r="C186" s="127"/>
      <c r="D186" s="127"/>
      <c r="E186" s="127"/>
      <c r="F186" s="127"/>
      <c r="G186" s="127"/>
      <c r="H186" s="127"/>
      <c r="I186" s="127"/>
      <c r="J186" s="127"/>
      <c r="K186" s="127"/>
      <c r="L186" s="127"/>
      <c r="M186" s="127"/>
      <c r="RG186" s="6"/>
      <c r="RH186" s="6"/>
      <c r="RI186" s="6"/>
      <c r="RJ186" s="6"/>
      <c r="RK186" s="6"/>
      <c r="RL186" s="45"/>
      <c r="RM186" s="4"/>
      <c r="RN186" s="4"/>
      <c r="RO186" s="4"/>
      <c r="RP186" s="6"/>
    </row>
    <row r="187" spans="1:484" x14ac:dyDescent="0.25">
      <c r="A187" s="46"/>
      <c r="B187" s="47"/>
      <c r="C187" s="127"/>
      <c r="D187" s="127"/>
      <c r="E187" s="127"/>
      <c r="F187" s="127"/>
      <c r="G187" s="127"/>
      <c r="H187" s="127"/>
      <c r="I187" s="127"/>
      <c r="J187" s="127"/>
      <c r="K187" s="127"/>
      <c r="L187" s="127"/>
      <c r="M187" s="127"/>
      <c r="RG187" s="6"/>
      <c r="RH187" s="6"/>
      <c r="RI187" s="6"/>
      <c r="RJ187" s="6"/>
      <c r="RK187" s="6"/>
      <c r="RL187" s="45"/>
      <c r="RM187" s="4"/>
      <c r="RN187" s="4"/>
      <c r="RO187" s="4"/>
      <c r="RP187" s="6"/>
    </row>
    <row r="188" spans="1:484" x14ac:dyDescent="0.25">
      <c r="A188" s="46"/>
      <c r="B188" s="47"/>
      <c r="C188" s="127"/>
      <c r="D188" s="127"/>
      <c r="E188" s="127"/>
      <c r="F188" s="127"/>
      <c r="G188" s="127"/>
      <c r="H188" s="127"/>
      <c r="I188" s="127"/>
      <c r="J188" s="127"/>
      <c r="K188" s="127"/>
      <c r="L188" s="127"/>
      <c r="M188" s="127"/>
      <c r="RG188" s="6"/>
      <c r="RH188" s="6"/>
      <c r="RI188" s="6"/>
      <c r="RJ188" s="6"/>
      <c r="RK188" s="6"/>
      <c r="RL188" s="45"/>
      <c r="RM188" s="4"/>
      <c r="RN188" s="4"/>
      <c r="RO188" s="4"/>
      <c r="RP188" s="6"/>
    </row>
    <row r="189" spans="1:484" x14ac:dyDescent="0.25">
      <c r="A189" s="46"/>
      <c r="B189" s="47"/>
      <c r="C189" s="127"/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RG189" s="6"/>
      <c r="RH189" s="6"/>
      <c r="RI189" s="6"/>
      <c r="RJ189" s="6"/>
      <c r="RK189" s="6"/>
      <c r="RL189" s="45"/>
      <c r="RM189" s="4"/>
      <c r="RN189" s="4"/>
      <c r="RO189" s="4"/>
      <c r="RP189" s="6"/>
    </row>
    <row r="190" spans="1:484" x14ac:dyDescent="0.25">
      <c r="A190" s="46"/>
      <c r="B190" s="47"/>
      <c r="C190" s="127"/>
      <c r="D190" s="127"/>
      <c r="E190" s="127"/>
      <c r="F190" s="127"/>
      <c r="G190" s="127"/>
      <c r="H190" s="127"/>
      <c r="I190" s="127"/>
      <c r="J190" s="127"/>
      <c r="K190" s="127"/>
      <c r="L190" s="127"/>
      <c r="M190" s="127"/>
      <c r="RG190" s="6"/>
      <c r="RH190" s="6"/>
      <c r="RI190" s="6"/>
      <c r="RJ190" s="6"/>
      <c r="RK190" s="6"/>
      <c r="RL190" s="45"/>
      <c r="RM190" s="4"/>
      <c r="RN190" s="4"/>
      <c r="RO190" s="4"/>
      <c r="RP190" s="6"/>
    </row>
    <row r="191" spans="1:484" x14ac:dyDescent="0.25">
      <c r="A191" s="46"/>
      <c r="B191" s="47"/>
      <c r="C191" s="127"/>
      <c r="D191" s="127"/>
      <c r="E191" s="127"/>
      <c r="F191" s="127"/>
      <c r="G191" s="127"/>
      <c r="H191" s="127"/>
      <c r="I191" s="127"/>
      <c r="J191" s="127"/>
      <c r="K191" s="127"/>
      <c r="L191" s="127"/>
      <c r="M191" s="127"/>
      <c r="RG191" s="6"/>
      <c r="RH191" s="6"/>
      <c r="RI191" s="6"/>
      <c r="RJ191" s="6"/>
      <c r="RK191" s="6"/>
      <c r="RL191" s="45"/>
      <c r="RM191" s="4"/>
      <c r="RN191" s="4"/>
      <c r="RO191" s="4"/>
      <c r="RP191" s="6"/>
    </row>
    <row r="192" spans="1:484" x14ac:dyDescent="0.25">
      <c r="A192" s="46"/>
      <c r="B192" s="47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RG192" s="6"/>
      <c r="RH192" s="6"/>
      <c r="RI192" s="6"/>
      <c r="RJ192" s="6"/>
      <c r="RK192" s="6"/>
      <c r="RL192" s="45"/>
      <c r="RM192" s="4"/>
      <c r="RN192" s="4"/>
      <c r="RO192" s="4"/>
      <c r="RP192" s="6"/>
    </row>
    <row r="193" spans="1:484" x14ac:dyDescent="0.25">
      <c r="A193" s="46"/>
      <c r="B193" s="47"/>
      <c r="C193" s="127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RG193" s="6"/>
      <c r="RH193" s="6"/>
      <c r="RI193" s="6"/>
      <c r="RJ193" s="6"/>
      <c r="RK193" s="6"/>
      <c r="RL193" s="45"/>
      <c r="RM193" s="4"/>
      <c r="RN193" s="4"/>
      <c r="RO193" s="4"/>
      <c r="RP193" s="6"/>
    </row>
    <row r="194" spans="1:484" x14ac:dyDescent="0.25">
      <c r="A194" s="46"/>
      <c r="B194" s="47"/>
      <c r="C194" s="127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RG194" s="6"/>
      <c r="RH194" s="6"/>
      <c r="RI194" s="6"/>
      <c r="RJ194" s="6"/>
      <c r="RK194" s="6"/>
      <c r="RL194" s="45"/>
      <c r="RM194" s="4"/>
      <c r="RN194" s="4"/>
      <c r="RO194" s="4"/>
      <c r="RP194" s="6"/>
    </row>
    <row r="195" spans="1:484" x14ac:dyDescent="0.25">
      <c r="A195" s="46"/>
      <c r="B195" s="47"/>
      <c r="C195" s="127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RG195" s="6"/>
      <c r="RH195" s="6"/>
      <c r="RI195" s="6"/>
      <c r="RJ195" s="6"/>
      <c r="RK195" s="6"/>
      <c r="RL195" s="45"/>
      <c r="RM195" s="4"/>
      <c r="RN195" s="4"/>
      <c r="RO195" s="4"/>
      <c r="RP195" s="6"/>
    </row>
    <row r="196" spans="1:484" x14ac:dyDescent="0.25">
      <c r="A196" s="46"/>
      <c r="B196" s="47"/>
      <c r="C196" s="127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RG196" s="6"/>
      <c r="RH196" s="6"/>
      <c r="RI196" s="6"/>
      <c r="RJ196" s="6"/>
      <c r="RK196" s="6"/>
      <c r="RL196" s="45"/>
      <c r="RM196" s="4"/>
      <c r="RN196" s="4"/>
      <c r="RO196" s="4"/>
      <c r="RP196" s="6"/>
    </row>
    <row r="197" spans="1:484" x14ac:dyDescent="0.25">
      <c r="A197" s="46"/>
      <c r="B197" s="47"/>
      <c r="C197" s="127"/>
      <c r="D197" s="127"/>
      <c r="E197" s="127"/>
      <c r="F197" s="127"/>
      <c r="G197" s="127"/>
      <c r="H197" s="127"/>
      <c r="I197" s="127"/>
      <c r="J197" s="127"/>
      <c r="K197" s="127"/>
      <c r="L197" s="127"/>
      <c r="M197" s="127"/>
      <c r="RG197" s="6"/>
      <c r="RH197" s="6"/>
      <c r="RI197" s="6"/>
      <c r="RJ197" s="6"/>
      <c r="RK197" s="6"/>
      <c r="RL197" s="45"/>
      <c r="RM197" s="4"/>
      <c r="RN197" s="4"/>
      <c r="RO197" s="4"/>
      <c r="RP197" s="6"/>
    </row>
    <row r="198" spans="1:484" x14ac:dyDescent="0.25">
      <c r="A198" s="46"/>
      <c r="B198" s="47"/>
      <c r="C198" s="127"/>
      <c r="D198" s="127"/>
      <c r="E198" s="127"/>
      <c r="F198" s="127"/>
      <c r="G198" s="127"/>
      <c r="H198" s="127"/>
      <c r="I198" s="127"/>
      <c r="J198" s="127"/>
      <c r="K198" s="127"/>
      <c r="L198" s="127"/>
      <c r="M198" s="127"/>
      <c r="RG198" s="6"/>
      <c r="RH198" s="6"/>
      <c r="RI198" s="6"/>
      <c r="RJ198" s="6"/>
      <c r="RK198" s="6"/>
      <c r="RL198" s="45"/>
      <c r="RM198" s="4"/>
      <c r="RN198" s="4"/>
      <c r="RO198" s="4"/>
      <c r="RP198" s="6"/>
    </row>
    <row r="199" spans="1:484" x14ac:dyDescent="0.25">
      <c r="A199" s="46"/>
      <c r="B199" s="47"/>
      <c r="C199" s="127"/>
      <c r="D199" s="127"/>
      <c r="E199" s="127"/>
      <c r="F199" s="127"/>
      <c r="G199" s="127"/>
      <c r="H199" s="127"/>
      <c r="I199" s="127"/>
      <c r="J199" s="127"/>
      <c r="K199" s="127"/>
      <c r="L199" s="127"/>
      <c r="M199" s="127"/>
      <c r="RG199" s="6"/>
      <c r="RH199" s="6"/>
      <c r="RI199" s="6"/>
      <c r="RJ199" s="6"/>
      <c r="RK199" s="6"/>
      <c r="RL199" s="45"/>
      <c r="RM199" s="4"/>
      <c r="RN199" s="4"/>
      <c r="RO199" s="4"/>
      <c r="RP199" s="6"/>
    </row>
    <row r="200" spans="1:484" x14ac:dyDescent="0.25">
      <c r="A200" s="46"/>
      <c r="B200" s="47"/>
      <c r="C200" s="127"/>
      <c r="D200" s="127"/>
      <c r="E200" s="127"/>
      <c r="F200" s="127"/>
      <c r="G200" s="127"/>
      <c r="H200" s="127"/>
      <c r="I200" s="127"/>
      <c r="J200" s="127"/>
      <c r="K200" s="127"/>
      <c r="L200" s="127"/>
      <c r="M200" s="127"/>
      <c r="RG200" s="6"/>
      <c r="RH200" s="6"/>
      <c r="RI200" s="6"/>
      <c r="RJ200" s="6"/>
      <c r="RK200" s="6"/>
      <c r="RL200" s="45"/>
      <c r="RM200" s="4"/>
      <c r="RN200" s="4"/>
      <c r="RO200" s="4"/>
      <c r="RP200" s="6"/>
    </row>
    <row r="201" spans="1:484" x14ac:dyDescent="0.25">
      <c r="A201" s="46"/>
      <c r="B201" s="47"/>
      <c r="C201" s="127"/>
      <c r="D201" s="127"/>
      <c r="E201" s="127"/>
      <c r="F201" s="127"/>
      <c r="G201" s="127"/>
      <c r="H201" s="127"/>
      <c r="I201" s="127"/>
      <c r="J201" s="127"/>
      <c r="K201" s="127"/>
      <c r="L201" s="127"/>
      <c r="M201" s="127"/>
      <c r="RG201" s="6"/>
      <c r="RH201" s="6"/>
      <c r="RI201" s="6"/>
      <c r="RJ201" s="6"/>
      <c r="RK201" s="6"/>
      <c r="RL201" s="45"/>
      <c r="RM201" s="4"/>
      <c r="RN201" s="4"/>
      <c r="RO201" s="4"/>
      <c r="RP201" s="6"/>
    </row>
    <row r="202" spans="1:484" x14ac:dyDescent="0.25">
      <c r="A202" s="46"/>
      <c r="B202" s="47"/>
      <c r="C202" s="127"/>
      <c r="D202" s="127"/>
      <c r="E202" s="127"/>
      <c r="F202" s="127"/>
      <c r="G202" s="127"/>
      <c r="H202" s="127"/>
      <c r="I202" s="127"/>
      <c r="J202" s="127"/>
      <c r="K202" s="127"/>
      <c r="L202" s="127"/>
      <c r="M202" s="127"/>
      <c r="RG202" s="6"/>
      <c r="RH202" s="6"/>
      <c r="RI202" s="6"/>
      <c r="RJ202" s="6"/>
      <c r="RK202" s="6"/>
      <c r="RL202" s="45"/>
      <c r="RM202" s="4"/>
      <c r="RN202" s="4"/>
      <c r="RO202" s="4"/>
      <c r="RP202" s="6"/>
    </row>
    <row r="203" spans="1:484" x14ac:dyDescent="0.25">
      <c r="A203" s="46"/>
      <c r="B203" s="47"/>
      <c r="C203" s="127"/>
      <c r="D203" s="127"/>
      <c r="E203" s="127"/>
      <c r="F203" s="127"/>
      <c r="G203" s="127"/>
      <c r="H203" s="127"/>
      <c r="I203" s="127"/>
      <c r="J203" s="127"/>
      <c r="K203" s="127"/>
      <c r="L203" s="127"/>
      <c r="M203" s="127"/>
      <c r="RG203" s="6"/>
      <c r="RH203" s="6"/>
      <c r="RI203" s="6"/>
      <c r="RJ203" s="6"/>
      <c r="RK203" s="6"/>
      <c r="RL203" s="45"/>
      <c r="RM203" s="4"/>
      <c r="RN203" s="4"/>
      <c r="RO203" s="4"/>
      <c r="RP203" s="6"/>
    </row>
    <row r="204" spans="1:484" x14ac:dyDescent="0.25">
      <c r="A204" s="46"/>
      <c r="B204" s="47"/>
      <c r="C204" s="127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RG204" s="6"/>
      <c r="RH204" s="6"/>
      <c r="RI204" s="6"/>
      <c r="RJ204" s="6"/>
      <c r="RK204" s="6"/>
      <c r="RL204" s="45"/>
      <c r="RM204" s="4"/>
      <c r="RN204" s="4"/>
      <c r="RO204" s="4"/>
      <c r="RP204" s="6"/>
    </row>
    <row r="205" spans="1:484" x14ac:dyDescent="0.25">
      <c r="A205" s="46"/>
      <c r="B205" s="47"/>
      <c r="C205" s="127"/>
      <c r="D205" s="127"/>
      <c r="E205" s="127"/>
      <c r="F205" s="127"/>
      <c r="G205" s="127"/>
      <c r="H205" s="127"/>
      <c r="I205" s="127"/>
      <c r="J205" s="127"/>
      <c r="K205" s="127"/>
      <c r="L205" s="127"/>
      <c r="M205" s="127"/>
      <c r="RG205" s="6"/>
      <c r="RH205" s="6"/>
      <c r="RI205" s="6"/>
      <c r="RJ205" s="6"/>
      <c r="RK205" s="6"/>
      <c r="RL205" s="45"/>
      <c r="RM205" s="4"/>
      <c r="RN205" s="4"/>
      <c r="RO205" s="4"/>
      <c r="RP205" s="6"/>
    </row>
    <row r="206" spans="1:484" x14ac:dyDescent="0.25">
      <c r="A206" s="46"/>
      <c r="B206" s="47"/>
      <c r="C206" s="127"/>
      <c r="D206" s="127"/>
      <c r="E206" s="127"/>
      <c r="F206" s="127"/>
      <c r="G206" s="127"/>
      <c r="H206" s="127"/>
      <c r="I206" s="127"/>
      <c r="J206" s="127"/>
      <c r="K206" s="127"/>
      <c r="L206" s="127"/>
      <c r="M206" s="127"/>
      <c r="RG206" s="6"/>
      <c r="RH206" s="6"/>
      <c r="RI206" s="6"/>
      <c r="RJ206" s="6"/>
      <c r="RK206" s="6"/>
      <c r="RL206" s="45"/>
      <c r="RM206" s="4"/>
      <c r="RN206" s="4"/>
      <c r="RO206" s="4"/>
      <c r="RP206" s="6"/>
    </row>
    <row r="207" spans="1:484" x14ac:dyDescent="0.25">
      <c r="A207" s="46"/>
      <c r="B207" s="47"/>
      <c r="C207" s="127"/>
      <c r="D207" s="127"/>
      <c r="E207" s="127"/>
      <c r="F207" s="127"/>
      <c r="G207" s="127"/>
      <c r="H207" s="127"/>
      <c r="I207" s="127"/>
      <c r="J207" s="127"/>
      <c r="K207" s="127"/>
      <c r="L207" s="127"/>
      <c r="M207" s="127"/>
      <c r="RG207" s="6"/>
      <c r="RH207" s="6"/>
      <c r="RI207" s="6"/>
      <c r="RJ207" s="6"/>
      <c r="RK207" s="6"/>
      <c r="RL207" s="45"/>
      <c r="RM207" s="4"/>
      <c r="RN207" s="4"/>
      <c r="RO207" s="4"/>
      <c r="RP207" s="6"/>
    </row>
    <row r="208" spans="1:484" x14ac:dyDescent="0.25">
      <c r="A208" s="46"/>
      <c r="B208" s="47"/>
      <c r="C208" s="127"/>
      <c r="D208" s="127"/>
      <c r="E208" s="127"/>
      <c r="F208" s="127"/>
      <c r="G208" s="127"/>
      <c r="H208" s="127"/>
      <c r="I208" s="127"/>
      <c r="J208" s="127"/>
      <c r="K208" s="127"/>
      <c r="L208" s="127"/>
      <c r="M208" s="127"/>
      <c r="RG208" s="6"/>
      <c r="RH208" s="6"/>
      <c r="RI208" s="6"/>
      <c r="RJ208" s="6"/>
      <c r="RK208" s="6"/>
      <c r="RL208" s="45"/>
      <c r="RM208" s="4"/>
      <c r="RN208" s="4"/>
      <c r="RO208" s="4"/>
      <c r="RP208" s="6"/>
    </row>
    <row r="209" spans="1:484" x14ac:dyDescent="0.25">
      <c r="A209" s="46"/>
      <c r="B209" s="47"/>
      <c r="C209" s="127"/>
      <c r="D209" s="127"/>
      <c r="E209" s="127"/>
      <c r="F209" s="127"/>
      <c r="G209" s="127"/>
      <c r="H209" s="127"/>
      <c r="I209" s="127"/>
      <c r="J209" s="127"/>
      <c r="K209" s="127"/>
      <c r="L209" s="127"/>
      <c r="M209" s="127"/>
      <c r="RG209" s="6"/>
      <c r="RH209" s="6"/>
      <c r="RI209" s="6"/>
      <c r="RJ209" s="6"/>
      <c r="RK209" s="6"/>
      <c r="RL209" s="45"/>
      <c r="RM209" s="4"/>
      <c r="RN209" s="4"/>
      <c r="RO209" s="4"/>
      <c r="RP209" s="6"/>
    </row>
    <row r="210" spans="1:484" x14ac:dyDescent="0.25">
      <c r="A210" s="46"/>
      <c r="B210" s="47"/>
      <c r="C210" s="127"/>
      <c r="D210" s="127"/>
      <c r="E210" s="127"/>
      <c r="F210" s="127"/>
      <c r="G210" s="127"/>
      <c r="H210" s="127"/>
      <c r="I210" s="127"/>
      <c r="J210" s="127"/>
      <c r="K210" s="127"/>
      <c r="L210" s="127"/>
      <c r="M210" s="127"/>
      <c r="RG210" s="6"/>
      <c r="RH210" s="6"/>
      <c r="RI210" s="6"/>
      <c r="RJ210" s="6"/>
      <c r="RK210" s="6"/>
      <c r="RL210" s="45"/>
      <c r="RM210" s="4"/>
      <c r="RN210" s="4"/>
      <c r="RO210" s="4"/>
      <c r="RP210" s="6"/>
    </row>
    <row r="211" spans="1:484" x14ac:dyDescent="0.25">
      <c r="A211" s="46"/>
      <c r="B211" s="47"/>
      <c r="C211" s="127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RG211" s="6"/>
      <c r="RH211" s="6"/>
      <c r="RI211" s="6"/>
      <c r="RJ211" s="6"/>
      <c r="RK211" s="6"/>
      <c r="RL211" s="45"/>
      <c r="RM211" s="4"/>
      <c r="RN211" s="4"/>
      <c r="RO211" s="4"/>
      <c r="RP211" s="6"/>
    </row>
    <row r="212" spans="1:484" x14ac:dyDescent="0.25">
      <c r="A212" s="46"/>
      <c r="B212" s="47"/>
      <c r="C212" s="127"/>
      <c r="D212" s="127"/>
      <c r="E212" s="127"/>
      <c r="F212" s="127"/>
      <c r="G212" s="127"/>
      <c r="H212" s="127"/>
      <c r="I212" s="127"/>
      <c r="J212" s="127"/>
      <c r="K212" s="127"/>
      <c r="L212" s="127"/>
      <c r="M212" s="127"/>
      <c r="RG212" s="6"/>
      <c r="RH212" s="6"/>
      <c r="RI212" s="6"/>
      <c r="RJ212" s="6"/>
      <c r="RK212" s="6"/>
      <c r="RL212" s="45"/>
      <c r="RM212" s="4"/>
      <c r="RN212" s="4"/>
      <c r="RO212" s="4"/>
      <c r="RP212" s="6"/>
    </row>
    <row r="213" spans="1:484" x14ac:dyDescent="0.25">
      <c r="A213" s="46"/>
      <c r="B213" s="47"/>
      <c r="C213" s="127"/>
      <c r="D213" s="127"/>
      <c r="E213" s="127"/>
      <c r="F213" s="127"/>
      <c r="G213" s="127"/>
      <c r="H213" s="127"/>
      <c r="I213" s="127"/>
      <c r="J213" s="127"/>
      <c r="K213" s="127"/>
      <c r="L213" s="127"/>
      <c r="M213" s="127"/>
      <c r="RG213" s="6"/>
      <c r="RH213" s="6"/>
      <c r="RI213" s="6"/>
      <c r="RJ213" s="6"/>
      <c r="RK213" s="6"/>
      <c r="RL213" s="45"/>
      <c r="RM213" s="4"/>
      <c r="RN213" s="4"/>
      <c r="RO213" s="4"/>
      <c r="RP213" s="6"/>
    </row>
    <row r="214" spans="1:484" x14ac:dyDescent="0.25">
      <c r="A214" s="46"/>
      <c r="B214" s="47"/>
      <c r="C214" s="127"/>
      <c r="D214" s="127"/>
      <c r="E214" s="127"/>
      <c r="F214" s="127"/>
      <c r="G214" s="127"/>
      <c r="H214" s="127"/>
      <c r="I214" s="127"/>
      <c r="J214" s="127"/>
      <c r="K214" s="127"/>
      <c r="L214" s="127"/>
      <c r="M214" s="127"/>
      <c r="RG214" s="6"/>
      <c r="RH214" s="6"/>
      <c r="RI214" s="6"/>
      <c r="RJ214" s="6"/>
      <c r="RK214" s="6"/>
      <c r="RL214" s="45"/>
      <c r="RM214" s="4"/>
      <c r="RN214" s="4"/>
      <c r="RO214" s="4"/>
      <c r="RP214" s="6"/>
    </row>
    <row r="215" spans="1:484" x14ac:dyDescent="0.25">
      <c r="A215" s="46"/>
      <c r="B215" s="47"/>
      <c r="C215" s="127"/>
      <c r="D215" s="127"/>
      <c r="E215" s="127"/>
      <c r="F215" s="127"/>
      <c r="G215" s="127"/>
      <c r="H215" s="127"/>
      <c r="I215" s="127"/>
      <c r="J215" s="127"/>
      <c r="K215" s="127"/>
      <c r="L215" s="127"/>
      <c r="M215" s="127"/>
      <c r="RG215" s="6"/>
      <c r="RH215" s="6"/>
      <c r="RI215" s="6"/>
      <c r="RJ215" s="6"/>
      <c r="RK215" s="6"/>
      <c r="RL215" s="45"/>
      <c r="RM215" s="4"/>
      <c r="RN215" s="4"/>
      <c r="RO215" s="4"/>
      <c r="RP215" s="6"/>
    </row>
    <row r="216" spans="1:484" x14ac:dyDescent="0.25">
      <c r="A216" s="46"/>
      <c r="B216" s="4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RG216" s="6"/>
      <c r="RH216" s="6"/>
      <c r="RI216" s="6"/>
      <c r="RJ216" s="6"/>
      <c r="RK216" s="6"/>
      <c r="RL216" s="45"/>
      <c r="RM216" s="4"/>
      <c r="RN216" s="4"/>
      <c r="RO216" s="4"/>
      <c r="RP216" s="6"/>
    </row>
    <row r="217" spans="1:484" x14ac:dyDescent="0.25">
      <c r="A217" s="46"/>
      <c r="B217" s="47"/>
      <c r="C217" s="127"/>
      <c r="D217" s="127"/>
      <c r="E217" s="127"/>
      <c r="F217" s="127"/>
      <c r="G217" s="127"/>
      <c r="H217" s="127"/>
      <c r="I217" s="127"/>
      <c r="J217" s="127"/>
      <c r="K217" s="127"/>
      <c r="L217" s="127"/>
      <c r="M217" s="127"/>
      <c r="RG217" s="6"/>
      <c r="RH217" s="6"/>
      <c r="RI217" s="6"/>
      <c r="RJ217" s="6"/>
      <c r="RK217" s="6"/>
      <c r="RL217" s="45"/>
      <c r="RM217" s="4"/>
      <c r="RN217" s="4"/>
      <c r="RO217" s="4"/>
      <c r="RP217" s="6"/>
    </row>
    <row r="218" spans="1:484" x14ac:dyDescent="0.25">
      <c r="A218" s="46"/>
      <c r="B218" s="4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RG218" s="6"/>
      <c r="RH218" s="6"/>
      <c r="RI218" s="6"/>
      <c r="RJ218" s="6"/>
      <c r="RK218" s="6"/>
      <c r="RL218" s="45"/>
      <c r="RM218" s="4"/>
      <c r="RN218" s="4"/>
      <c r="RO218" s="4"/>
      <c r="RP218" s="6"/>
    </row>
    <row r="219" spans="1:484" x14ac:dyDescent="0.25">
      <c r="A219" s="46"/>
      <c r="B219" s="47"/>
      <c r="C219" s="127"/>
      <c r="D219" s="127"/>
      <c r="E219" s="127"/>
      <c r="F219" s="127"/>
      <c r="G219" s="127"/>
      <c r="H219" s="127"/>
      <c r="I219" s="127"/>
      <c r="J219" s="127"/>
      <c r="K219" s="127"/>
      <c r="L219" s="127"/>
      <c r="M219" s="127"/>
      <c r="RG219" s="6"/>
      <c r="RH219" s="6"/>
      <c r="RI219" s="6"/>
      <c r="RJ219" s="6"/>
      <c r="RK219" s="6"/>
      <c r="RL219" s="45"/>
      <c r="RM219" s="4"/>
      <c r="RN219" s="4"/>
      <c r="RO219" s="4"/>
      <c r="RP219" s="6"/>
    </row>
    <row r="220" spans="1:484" x14ac:dyDescent="0.25">
      <c r="A220" s="46"/>
      <c r="B220" s="47"/>
      <c r="C220" s="127"/>
      <c r="D220" s="127"/>
      <c r="E220" s="127"/>
      <c r="F220" s="127"/>
      <c r="G220" s="127"/>
      <c r="H220" s="127"/>
      <c r="I220" s="127"/>
      <c r="J220" s="127"/>
      <c r="K220" s="127"/>
      <c r="L220" s="127"/>
      <c r="M220" s="127"/>
      <c r="RG220" s="6"/>
      <c r="RH220" s="6"/>
      <c r="RI220" s="6"/>
      <c r="RJ220" s="6"/>
      <c r="RK220" s="6"/>
      <c r="RL220" s="45"/>
      <c r="RM220" s="4"/>
      <c r="RN220" s="4"/>
      <c r="RO220" s="4"/>
      <c r="RP220" s="6"/>
    </row>
    <row r="221" spans="1:484" x14ac:dyDescent="0.25">
      <c r="A221" s="46"/>
      <c r="B221" s="47"/>
      <c r="C221" s="127"/>
      <c r="D221" s="127"/>
      <c r="E221" s="127"/>
      <c r="F221" s="127"/>
      <c r="G221" s="127"/>
      <c r="H221" s="127"/>
      <c r="I221" s="127"/>
      <c r="J221" s="127"/>
      <c r="K221" s="127"/>
      <c r="L221" s="127"/>
      <c r="M221" s="127"/>
      <c r="RG221" s="6"/>
      <c r="RH221" s="6"/>
      <c r="RI221" s="6"/>
      <c r="RJ221" s="6"/>
      <c r="RK221" s="6"/>
      <c r="RL221" s="45"/>
      <c r="RM221" s="4"/>
      <c r="RN221" s="4"/>
      <c r="RO221" s="4"/>
      <c r="RP221" s="6"/>
    </row>
    <row r="222" spans="1:484" x14ac:dyDescent="0.25">
      <c r="A222" s="46"/>
      <c r="B222" s="47"/>
      <c r="C222" s="127"/>
      <c r="D222" s="127"/>
      <c r="E222" s="127"/>
      <c r="F222" s="127"/>
      <c r="G222" s="127"/>
      <c r="H222" s="127"/>
      <c r="I222" s="127"/>
      <c r="J222" s="127"/>
      <c r="K222" s="127"/>
      <c r="L222" s="127"/>
      <c r="M222" s="127"/>
      <c r="RG222" s="6"/>
      <c r="RH222" s="6"/>
      <c r="RI222" s="6"/>
      <c r="RJ222" s="6"/>
      <c r="RK222" s="6"/>
      <c r="RL222" s="45"/>
      <c r="RM222" s="4"/>
      <c r="RN222" s="4"/>
      <c r="RO222" s="4"/>
      <c r="RP222" s="6"/>
    </row>
    <row r="223" spans="1:484" x14ac:dyDescent="0.25">
      <c r="A223" s="46"/>
      <c r="B223" s="47"/>
      <c r="C223" s="127"/>
      <c r="D223" s="127"/>
      <c r="E223" s="127"/>
      <c r="F223" s="127"/>
      <c r="G223" s="127"/>
      <c r="H223" s="127"/>
      <c r="I223" s="127"/>
      <c r="J223" s="127"/>
      <c r="K223" s="127"/>
      <c r="L223" s="127"/>
      <c r="M223" s="127"/>
      <c r="RG223" s="6"/>
      <c r="RH223" s="6"/>
      <c r="RI223" s="6"/>
      <c r="RJ223" s="6"/>
      <c r="RK223" s="6"/>
      <c r="RL223" s="45"/>
      <c r="RM223" s="4"/>
      <c r="RN223" s="4"/>
      <c r="RO223" s="4"/>
      <c r="RP223" s="6"/>
    </row>
    <row r="224" spans="1:484" x14ac:dyDescent="0.25">
      <c r="A224" s="46"/>
      <c r="B224" s="47"/>
      <c r="C224" s="127"/>
      <c r="D224" s="127"/>
      <c r="E224" s="127"/>
      <c r="F224" s="127"/>
      <c r="G224" s="127"/>
      <c r="H224" s="127"/>
      <c r="I224" s="127"/>
      <c r="J224" s="127"/>
      <c r="K224" s="127"/>
      <c r="L224" s="127"/>
      <c r="M224" s="127"/>
      <c r="RG224" s="6"/>
      <c r="RH224" s="6"/>
      <c r="RI224" s="6"/>
      <c r="RJ224" s="6"/>
      <c r="RK224" s="6"/>
      <c r="RL224" s="45"/>
      <c r="RM224" s="4"/>
      <c r="RN224" s="4"/>
      <c r="RO224" s="4"/>
      <c r="RP224" s="6"/>
    </row>
    <row r="225" spans="1:484" x14ac:dyDescent="0.25">
      <c r="A225" s="46"/>
      <c r="B225" s="47"/>
      <c r="C225" s="127"/>
      <c r="D225" s="127"/>
      <c r="E225" s="127"/>
      <c r="F225" s="127"/>
      <c r="G225" s="127"/>
      <c r="H225" s="127"/>
      <c r="I225" s="127"/>
      <c r="J225" s="127"/>
      <c r="K225" s="127"/>
      <c r="L225" s="127"/>
      <c r="M225" s="127"/>
      <c r="RG225" s="6"/>
      <c r="RH225" s="6"/>
      <c r="RI225" s="6"/>
      <c r="RJ225" s="6"/>
      <c r="RK225" s="6"/>
      <c r="RL225" s="45"/>
      <c r="RM225" s="4"/>
      <c r="RN225" s="4"/>
      <c r="RO225" s="4"/>
      <c r="RP225" s="6"/>
    </row>
    <row r="226" spans="1:484" x14ac:dyDescent="0.25">
      <c r="A226" s="46"/>
      <c r="B226" s="47"/>
      <c r="C226" s="127"/>
      <c r="D226" s="127"/>
      <c r="E226" s="127"/>
      <c r="F226" s="127"/>
      <c r="G226" s="127"/>
      <c r="H226" s="127"/>
      <c r="I226" s="127"/>
      <c r="J226" s="127"/>
      <c r="K226" s="127"/>
      <c r="L226" s="127"/>
      <c r="M226" s="127"/>
      <c r="RG226" s="6"/>
      <c r="RH226" s="6"/>
      <c r="RI226" s="6"/>
      <c r="RJ226" s="6"/>
      <c r="RK226" s="6"/>
      <c r="RL226" s="45"/>
      <c r="RM226" s="4"/>
      <c r="RN226" s="4"/>
      <c r="RO226" s="4"/>
      <c r="RP226" s="6"/>
    </row>
    <row r="227" spans="1:484" x14ac:dyDescent="0.25">
      <c r="A227" s="46"/>
      <c r="B227" s="47"/>
      <c r="C227" s="127"/>
      <c r="D227" s="127"/>
      <c r="E227" s="127"/>
      <c r="F227" s="127"/>
      <c r="G227" s="127"/>
      <c r="H227" s="127"/>
      <c r="I227" s="127"/>
      <c r="J227" s="127"/>
      <c r="K227" s="127"/>
      <c r="L227" s="127"/>
      <c r="M227" s="127"/>
      <c r="RG227" s="6"/>
      <c r="RH227" s="6"/>
      <c r="RI227" s="6"/>
      <c r="RJ227" s="6"/>
      <c r="RK227" s="6"/>
      <c r="RL227" s="45"/>
      <c r="RM227" s="4"/>
      <c r="RN227" s="4"/>
      <c r="RO227" s="4"/>
      <c r="RP227" s="6"/>
    </row>
    <row r="228" spans="1:484" x14ac:dyDescent="0.25">
      <c r="A228" s="46"/>
      <c r="B228" s="47"/>
      <c r="C228" s="127"/>
      <c r="D228" s="127"/>
      <c r="E228" s="127"/>
      <c r="F228" s="127"/>
      <c r="G228" s="127"/>
      <c r="H228" s="127"/>
      <c r="I228" s="127"/>
      <c r="J228" s="127"/>
      <c r="K228" s="127"/>
      <c r="L228" s="127"/>
      <c r="M228" s="127"/>
      <c r="RG228" s="6"/>
      <c r="RH228" s="6"/>
      <c r="RI228" s="6"/>
      <c r="RJ228" s="6"/>
      <c r="RK228" s="6"/>
      <c r="RL228" s="45"/>
      <c r="RM228" s="4"/>
      <c r="RN228" s="4"/>
      <c r="RO228" s="4"/>
      <c r="RP228" s="6"/>
    </row>
    <row r="229" spans="1:484" x14ac:dyDescent="0.25">
      <c r="A229" s="46"/>
      <c r="B229" s="47"/>
      <c r="C229" s="127"/>
      <c r="D229" s="127"/>
      <c r="E229" s="127"/>
      <c r="F229" s="127"/>
      <c r="G229" s="127"/>
      <c r="H229" s="127"/>
      <c r="I229" s="127"/>
      <c r="J229" s="127"/>
      <c r="K229" s="127"/>
      <c r="L229" s="127"/>
      <c r="M229" s="127"/>
      <c r="RG229" s="6"/>
      <c r="RH229" s="6"/>
      <c r="RI229" s="6"/>
      <c r="RJ229" s="6"/>
      <c r="RK229" s="6"/>
      <c r="RL229" s="45"/>
      <c r="RM229" s="4"/>
      <c r="RN229" s="4"/>
      <c r="RO229" s="4"/>
      <c r="RP229" s="6"/>
    </row>
    <row r="230" spans="1:484" x14ac:dyDescent="0.25">
      <c r="A230" s="46"/>
      <c r="B230" s="47"/>
      <c r="C230" s="127"/>
      <c r="D230" s="127"/>
      <c r="E230" s="127"/>
      <c r="F230" s="127"/>
      <c r="G230" s="127"/>
      <c r="H230" s="127"/>
      <c r="I230" s="127"/>
      <c r="J230" s="127"/>
      <c r="K230" s="127"/>
      <c r="L230" s="127"/>
      <c r="M230" s="127"/>
      <c r="RG230" s="6"/>
      <c r="RH230" s="6"/>
      <c r="RI230" s="6"/>
      <c r="RJ230" s="6"/>
      <c r="RK230" s="6"/>
      <c r="RL230" s="45"/>
      <c r="RM230" s="4"/>
      <c r="RN230" s="4"/>
      <c r="RO230" s="4"/>
      <c r="RP230" s="6"/>
    </row>
    <row r="231" spans="1:484" x14ac:dyDescent="0.25">
      <c r="A231" s="46"/>
      <c r="B231" s="47"/>
      <c r="C231" s="127"/>
      <c r="D231" s="127"/>
      <c r="E231" s="127"/>
      <c r="F231" s="127"/>
      <c r="G231" s="127"/>
      <c r="H231" s="127"/>
      <c r="I231" s="127"/>
      <c r="J231" s="127"/>
      <c r="K231" s="127"/>
      <c r="L231" s="127"/>
      <c r="M231" s="127"/>
      <c r="RG231" s="6"/>
      <c r="RH231" s="6"/>
      <c r="RI231" s="6"/>
      <c r="RJ231" s="6"/>
      <c r="RK231" s="6"/>
      <c r="RL231" s="45"/>
      <c r="RM231" s="4"/>
      <c r="RN231" s="4"/>
      <c r="RO231" s="4"/>
      <c r="RP231" s="6"/>
    </row>
    <row r="232" spans="1:484" x14ac:dyDescent="0.25">
      <c r="A232" s="46"/>
      <c r="B232" s="4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RG232" s="6"/>
      <c r="RH232" s="6"/>
      <c r="RI232" s="6"/>
      <c r="RJ232" s="6"/>
      <c r="RK232" s="6"/>
      <c r="RL232" s="45"/>
      <c r="RM232" s="4"/>
      <c r="RN232" s="4"/>
      <c r="RO232" s="4"/>
      <c r="RP232" s="6"/>
    </row>
    <row r="233" spans="1:484" x14ac:dyDescent="0.25">
      <c r="A233" s="46"/>
      <c r="B233" s="4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RG233" s="6"/>
      <c r="RH233" s="6"/>
      <c r="RI233" s="6"/>
      <c r="RJ233" s="6"/>
      <c r="RK233" s="6"/>
      <c r="RL233" s="45"/>
      <c r="RM233" s="4"/>
      <c r="RN233" s="4"/>
      <c r="RO233" s="4"/>
      <c r="RP233" s="6"/>
    </row>
    <row r="234" spans="1:484" x14ac:dyDescent="0.25">
      <c r="A234" s="46"/>
      <c r="B234" s="47"/>
      <c r="C234" s="127"/>
      <c r="D234" s="127"/>
      <c r="E234" s="127"/>
      <c r="F234" s="127"/>
      <c r="G234" s="127"/>
      <c r="H234" s="127"/>
      <c r="I234" s="127"/>
      <c r="J234" s="127"/>
      <c r="K234" s="127"/>
      <c r="L234" s="127"/>
      <c r="M234" s="127"/>
      <c r="RG234" s="6"/>
      <c r="RH234" s="6"/>
      <c r="RI234" s="6"/>
      <c r="RJ234" s="6"/>
      <c r="RK234" s="6"/>
      <c r="RL234" s="45"/>
      <c r="RM234" s="4"/>
      <c r="RN234" s="4"/>
      <c r="RO234" s="4"/>
      <c r="RP234" s="6"/>
    </row>
    <row r="235" spans="1:484" x14ac:dyDescent="0.25">
      <c r="A235" s="46"/>
      <c r="B235" s="47"/>
      <c r="C235" s="127"/>
      <c r="D235" s="127"/>
      <c r="E235" s="127"/>
      <c r="F235" s="127"/>
      <c r="G235" s="127"/>
      <c r="H235" s="127"/>
      <c r="I235" s="127"/>
      <c r="J235" s="127"/>
      <c r="K235" s="127"/>
      <c r="L235" s="127"/>
      <c r="M235" s="127"/>
      <c r="RG235" s="6"/>
      <c r="RH235" s="6"/>
      <c r="RI235" s="6"/>
      <c r="RJ235" s="6"/>
      <c r="RK235" s="6"/>
      <c r="RL235" s="45"/>
      <c r="RM235" s="4"/>
      <c r="RN235" s="4"/>
      <c r="RO235" s="4"/>
      <c r="RP235" s="6"/>
    </row>
    <row r="236" spans="1:484" x14ac:dyDescent="0.25">
      <c r="A236" s="46"/>
      <c r="B236" s="47"/>
      <c r="C236" s="127"/>
      <c r="D236" s="127"/>
      <c r="E236" s="127"/>
      <c r="F236" s="127"/>
      <c r="G236" s="127"/>
      <c r="H236" s="127"/>
      <c r="I236" s="127"/>
      <c r="J236" s="127"/>
      <c r="K236" s="127"/>
      <c r="L236" s="127"/>
      <c r="M236" s="127"/>
      <c r="RG236" s="6"/>
      <c r="RH236" s="6"/>
      <c r="RI236" s="6"/>
      <c r="RJ236" s="6"/>
      <c r="RK236" s="6"/>
      <c r="RL236" s="45"/>
      <c r="RM236" s="4"/>
      <c r="RN236" s="4"/>
      <c r="RO236" s="4"/>
      <c r="RP236" s="6"/>
    </row>
    <row r="237" spans="1:484" x14ac:dyDescent="0.25">
      <c r="A237" s="46"/>
      <c r="B237" s="47"/>
      <c r="C237" s="127"/>
      <c r="D237" s="127"/>
      <c r="E237" s="127"/>
      <c r="F237" s="127"/>
      <c r="G237" s="127"/>
      <c r="H237" s="127"/>
      <c r="I237" s="127"/>
      <c r="J237" s="127"/>
      <c r="K237" s="127"/>
      <c r="L237" s="127"/>
      <c r="M237" s="127"/>
      <c r="RG237" s="6"/>
      <c r="RH237" s="6"/>
      <c r="RI237" s="6"/>
      <c r="RJ237" s="6"/>
      <c r="RK237" s="6"/>
      <c r="RL237" s="45"/>
      <c r="RM237" s="4"/>
      <c r="RN237" s="4"/>
      <c r="RO237" s="4"/>
      <c r="RP237" s="6"/>
    </row>
    <row r="238" spans="1:484" x14ac:dyDescent="0.25">
      <c r="A238" s="46"/>
      <c r="B238" s="47"/>
      <c r="C238" s="127"/>
      <c r="D238" s="127"/>
      <c r="E238" s="127"/>
      <c r="F238" s="127"/>
      <c r="G238" s="127"/>
      <c r="H238" s="127"/>
      <c r="I238" s="127"/>
      <c r="J238" s="127"/>
      <c r="K238" s="127"/>
      <c r="L238" s="127"/>
      <c r="M238" s="127"/>
      <c r="RG238" s="6"/>
      <c r="RH238" s="6"/>
      <c r="RI238" s="6"/>
      <c r="RJ238" s="6"/>
      <c r="RK238" s="6"/>
      <c r="RL238" s="45"/>
      <c r="RM238" s="4"/>
      <c r="RN238" s="4"/>
      <c r="RO238" s="4"/>
      <c r="RP238" s="6"/>
    </row>
    <row r="239" spans="1:484" x14ac:dyDescent="0.25">
      <c r="A239" s="46"/>
      <c r="B239" s="47"/>
      <c r="C239" s="127"/>
      <c r="D239" s="127"/>
      <c r="E239" s="127"/>
      <c r="F239" s="127"/>
      <c r="G239" s="127"/>
      <c r="H239" s="127"/>
      <c r="I239" s="127"/>
      <c r="J239" s="127"/>
      <c r="K239" s="127"/>
      <c r="L239" s="127"/>
      <c r="M239" s="127"/>
      <c r="RG239" s="6"/>
      <c r="RH239" s="6"/>
      <c r="RI239" s="6"/>
      <c r="RJ239" s="6"/>
      <c r="RK239" s="6"/>
      <c r="RL239" s="45"/>
      <c r="RM239" s="4"/>
      <c r="RN239" s="4"/>
      <c r="RO239" s="4"/>
      <c r="RP239" s="6"/>
    </row>
    <row r="240" spans="1:484" x14ac:dyDescent="0.25">
      <c r="A240" s="46"/>
      <c r="B240" s="47"/>
      <c r="C240" s="127"/>
      <c r="D240" s="127"/>
      <c r="E240" s="127"/>
      <c r="F240" s="127"/>
      <c r="G240" s="127"/>
      <c r="H240" s="127"/>
      <c r="I240" s="127"/>
      <c r="J240" s="127"/>
      <c r="K240" s="127"/>
      <c r="L240" s="127"/>
      <c r="M240" s="127"/>
      <c r="RG240" s="6"/>
      <c r="RH240" s="6"/>
      <c r="RI240" s="6"/>
      <c r="RJ240" s="6"/>
      <c r="RK240" s="6"/>
      <c r="RL240" s="45"/>
      <c r="RM240" s="4"/>
      <c r="RN240" s="4"/>
      <c r="RO240" s="4"/>
      <c r="RP240" s="6"/>
    </row>
    <row r="241" spans="1:484" x14ac:dyDescent="0.25">
      <c r="A241" s="46"/>
      <c r="B241" s="47"/>
      <c r="C241" s="127"/>
      <c r="D241" s="127"/>
      <c r="E241" s="127"/>
      <c r="F241" s="127"/>
      <c r="G241" s="127"/>
      <c r="H241" s="127"/>
      <c r="I241" s="127"/>
      <c r="J241" s="127"/>
      <c r="K241" s="127"/>
      <c r="L241" s="127"/>
      <c r="M241" s="127"/>
      <c r="RG241" s="6"/>
      <c r="RH241" s="6"/>
      <c r="RI241" s="6"/>
      <c r="RJ241" s="6"/>
      <c r="RK241" s="6"/>
      <c r="RL241" s="45"/>
      <c r="RM241" s="4"/>
      <c r="RN241" s="4"/>
      <c r="RO241" s="4"/>
      <c r="RP241" s="6"/>
    </row>
    <row r="242" spans="1:484" x14ac:dyDescent="0.25">
      <c r="A242" s="46"/>
      <c r="B242" s="47"/>
      <c r="C242" s="127"/>
      <c r="D242" s="127"/>
      <c r="E242" s="127"/>
      <c r="F242" s="127"/>
      <c r="G242" s="127"/>
      <c r="H242" s="127"/>
      <c r="I242" s="127"/>
      <c r="J242" s="127"/>
      <c r="K242" s="127"/>
      <c r="L242" s="127"/>
      <c r="M242" s="127"/>
      <c r="RG242" s="6"/>
      <c r="RH242" s="6"/>
      <c r="RI242" s="6"/>
      <c r="RJ242" s="6"/>
      <c r="RK242" s="6"/>
      <c r="RL242" s="45"/>
      <c r="RM242" s="4"/>
      <c r="RN242" s="4"/>
      <c r="RO242" s="4"/>
      <c r="RP242" s="6"/>
    </row>
    <row r="243" spans="1:484" x14ac:dyDescent="0.25">
      <c r="A243" s="46"/>
      <c r="B243" s="47"/>
      <c r="C243" s="127"/>
      <c r="D243" s="127"/>
      <c r="E243" s="127"/>
      <c r="F243" s="127"/>
      <c r="G243" s="127"/>
      <c r="H243" s="127"/>
      <c r="I243" s="127"/>
      <c r="J243" s="127"/>
      <c r="K243" s="127"/>
      <c r="L243" s="127"/>
      <c r="M243" s="127"/>
      <c r="RG243" s="6"/>
      <c r="RH243" s="6"/>
      <c r="RI243" s="6"/>
      <c r="RJ243" s="6"/>
      <c r="RK243" s="6"/>
      <c r="RL243" s="45"/>
      <c r="RM243" s="4"/>
      <c r="RN243" s="4"/>
      <c r="RO243" s="4"/>
      <c r="RP243" s="6"/>
    </row>
    <row r="244" spans="1:484" x14ac:dyDescent="0.25">
      <c r="A244" s="46"/>
      <c r="B244" s="47"/>
      <c r="C244" s="127"/>
      <c r="D244" s="127"/>
      <c r="E244" s="127"/>
      <c r="F244" s="127"/>
      <c r="G244" s="127"/>
      <c r="H244" s="127"/>
      <c r="I244" s="127"/>
      <c r="J244" s="127"/>
      <c r="K244" s="127"/>
      <c r="L244" s="127"/>
      <c r="M244" s="127"/>
      <c r="RG244" s="6"/>
      <c r="RH244" s="6"/>
      <c r="RI244" s="6"/>
      <c r="RJ244" s="6"/>
      <c r="RK244" s="6"/>
      <c r="RL244" s="45"/>
      <c r="RM244" s="4"/>
      <c r="RN244" s="4"/>
      <c r="RO244" s="4"/>
      <c r="RP244" s="6"/>
    </row>
    <row r="245" spans="1:484" x14ac:dyDescent="0.25">
      <c r="A245" s="46"/>
      <c r="B245" s="47"/>
      <c r="C245" s="127"/>
      <c r="D245" s="127"/>
      <c r="E245" s="127"/>
      <c r="F245" s="127"/>
      <c r="G245" s="127"/>
      <c r="H245" s="127"/>
      <c r="I245" s="127"/>
      <c r="J245" s="127"/>
      <c r="K245" s="127"/>
      <c r="L245" s="127"/>
      <c r="M245" s="127"/>
      <c r="RG245" s="6"/>
      <c r="RH245" s="6"/>
      <c r="RI245" s="6"/>
      <c r="RJ245" s="6"/>
      <c r="RK245" s="6"/>
      <c r="RL245" s="45"/>
      <c r="RM245" s="4"/>
      <c r="RN245" s="4"/>
      <c r="RO245" s="4"/>
      <c r="RP245" s="6"/>
    </row>
    <row r="246" spans="1:484" x14ac:dyDescent="0.25">
      <c r="A246" s="46"/>
      <c r="B246" s="47"/>
      <c r="C246" s="127"/>
      <c r="D246" s="127"/>
      <c r="E246" s="127"/>
      <c r="F246" s="127"/>
      <c r="G246" s="127"/>
      <c r="H246" s="127"/>
      <c r="I246" s="127"/>
      <c r="J246" s="127"/>
      <c r="K246" s="127"/>
      <c r="L246" s="127"/>
      <c r="M246" s="127"/>
      <c r="RG246" s="6"/>
      <c r="RH246" s="6"/>
      <c r="RI246" s="6"/>
      <c r="RJ246" s="6"/>
      <c r="RK246" s="6"/>
      <c r="RL246" s="45"/>
      <c r="RM246" s="4"/>
      <c r="RN246" s="4"/>
      <c r="RO246" s="4"/>
      <c r="RP246" s="6"/>
    </row>
    <row r="247" spans="1:484" x14ac:dyDescent="0.25">
      <c r="A247" s="46"/>
      <c r="B247" s="4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RG247" s="6"/>
      <c r="RH247" s="6"/>
      <c r="RI247" s="6"/>
      <c r="RJ247" s="6"/>
      <c r="RK247" s="6"/>
      <c r="RL247" s="45"/>
      <c r="RM247" s="4"/>
      <c r="RN247" s="4"/>
      <c r="RO247" s="4"/>
      <c r="RP247" s="6"/>
    </row>
    <row r="248" spans="1:484" x14ac:dyDescent="0.25">
      <c r="A248" s="46"/>
      <c r="B248" s="4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RG248" s="6"/>
      <c r="RH248" s="6"/>
      <c r="RI248" s="6"/>
      <c r="RJ248" s="6"/>
      <c r="RK248" s="6"/>
      <c r="RL248" s="45"/>
      <c r="RM248" s="4"/>
      <c r="RN248" s="4"/>
      <c r="RO248" s="4"/>
      <c r="RP248" s="6"/>
    </row>
    <row r="249" spans="1:484" x14ac:dyDescent="0.25">
      <c r="A249" s="46"/>
      <c r="B249" s="47"/>
      <c r="C249" s="127"/>
      <c r="D249" s="127"/>
      <c r="E249" s="127"/>
      <c r="F249" s="127"/>
      <c r="G249" s="127"/>
      <c r="H249" s="127"/>
      <c r="I249" s="127"/>
      <c r="J249" s="127"/>
      <c r="K249" s="127"/>
      <c r="L249" s="127"/>
      <c r="M249" s="127"/>
      <c r="RG249" s="6"/>
      <c r="RH249" s="6"/>
      <c r="RI249" s="6"/>
      <c r="RJ249" s="6"/>
      <c r="RK249" s="6"/>
      <c r="RL249" s="45"/>
      <c r="RM249" s="4"/>
      <c r="RN249" s="4"/>
      <c r="RO249" s="4"/>
      <c r="RP249" s="6"/>
    </row>
    <row r="250" spans="1:484" x14ac:dyDescent="0.25">
      <c r="A250" s="46"/>
      <c r="B250" s="47"/>
      <c r="C250" s="127"/>
      <c r="D250" s="127"/>
      <c r="E250" s="127"/>
      <c r="F250" s="127"/>
      <c r="G250" s="127"/>
      <c r="H250" s="127"/>
      <c r="I250" s="127"/>
      <c r="J250" s="127"/>
      <c r="K250" s="127"/>
      <c r="L250" s="127"/>
      <c r="M250" s="127"/>
      <c r="RG250" s="6"/>
      <c r="RH250" s="6"/>
      <c r="RI250" s="6"/>
      <c r="RJ250" s="6"/>
      <c r="RK250" s="6"/>
      <c r="RL250" s="45"/>
      <c r="RM250" s="4"/>
      <c r="RN250" s="4"/>
      <c r="RO250" s="4"/>
      <c r="RP250" s="6"/>
    </row>
    <row r="251" spans="1:484" x14ac:dyDescent="0.25">
      <c r="A251" s="46"/>
      <c r="B251" s="47"/>
      <c r="C251" s="127"/>
      <c r="D251" s="127"/>
      <c r="E251" s="127"/>
      <c r="F251" s="127"/>
      <c r="G251" s="127"/>
      <c r="H251" s="127"/>
      <c r="I251" s="127"/>
      <c r="J251" s="127"/>
      <c r="K251" s="127"/>
      <c r="L251" s="127"/>
      <c r="M251" s="127"/>
      <c r="RG251" s="6"/>
      <c r="RH251" s="6"/>
      <c r="RI251" s="6"/>
      <c r="RJ251" s="6"/>
      <c r="RK251" s="6"/>
      <c r="RL251" s="45"/>
      <c r="RM251" s="4"/>
      <c r="RN251" s="4"/>
      <c r="RO251" s="4"/>
      <c r="RP251" s="6"/>
    </row>
    <row r="252" spans="1:484" x14ac:dyDescent="0.25">
      <c r="A252" s="46"/>
      <c r="B252" s="47"/>
      <c r="C252" s="127"/>
      <c r="D252" s="127"/>
      <c r="E252" s="127"/>
      <c r="F252" s="127"/>
      <c r="G252" s="127"/>
      <c r="H252" s="127"/>
      <c r="I252" s="127"/>
      <c r="J252" s="127"/>
      <c r="K252" s="127"/>
      <c r="L252" s="127"/>
      <c r="M252" s="127"/>
      <c r="RG252" s="6"/>
      <c r="RH252" s="6"/>
      <c r="RI252" s="6"/>
      <c r="RJ252" s="6"/>
      <c r="RK252" s="6"/>
      <c r="RL252" s="45"/>
      <c r="RM252" s="4"/>
      <c r="RN252" s="4"/>
      <c r="RO252" s="4"/>
      <c r="RP252" s="6"/>
    </row>
    <row r="253" spans="1:484" x14ac:dyDescent="0.25">
      <c r="A253" s="46"/>
      <c r="B253" s="47"/>
      <c r="C253" s="127"/>
      <c r="D253" s="127"/>
      <c r="E253" s="127"/>
      <c r="F253" s="127"/>
      <c r="G253" s="127"/>
      <c r="H253" s="127"/>
      <c r="I253" s="127"/>
      <c r="J253" s="127"/>
      <c r="K253" s="127"/>
      <c r="L253" s="127"/>
      <c r="M253" s="127"/>
      <c r="RG253" s="6"/>
      <c r="RH253" s="6"/>
      <c r="RI253" s="6"/>
      <c r="RJ253" s="6"/>
      <c r="RK253" s="6"/>
      <c r="RL253" s="45"/>
      <c r="RM253" s="4"/>
      <c r="RN253" s="4"/>
      <c r="RO253" s="4"/>
      <c r="RP253" s="6"/>
    </row>
    <row r="254" spans="1:484" x14ac:dyDescent="0.25">
      <c r="A254" s="46"/>
      <c r="B254" s="47"/>
      <c r="C254" s="127"/>
      <c r="D254" s="127"/>
      <c r="E254" s="127"/>
      <c r="F254" s="127"/>
      <c r="G254" s="127"/>
      <c r="H254" s="127"/>
      <c r="I254" s="127"/>
      <c r="J254" s="127"/>
      <c r="K254" s="127"/>
      <c r="L254" s="127"/>
      <c r="M254" s="127"/>
      <c r="RG254" s="6"/>
      <c r="RH254" s="6"/>
      <c r="RI254" s="6"/>
      <c r="RJ254" s="6"/>
      <c r="RK254" s="6"/>
      <c r="RL254" s="45"/>
      <c r="RM254" s="4"/>
      <c r="RN254" s="4"/>
      <c r="RO254" s="4"/>
      <c r="RP254" s="6"/>
    </row>
    <row r="255" spans="1:484" x14ac:dyDescent="0.25">
      <c r="A255" s="46"/>
      <c r="B255" s="47"/>
      <c r="C255" s="127"/>
      <c r="D255" s="127"/>
      <c r="E255" s="127"/>
      <c r="F255" s="127"/>
      <c r="G255" s="127"/>
      <c r="H255" s="127"/>
      <c r="I255" s="127"/>
      <c r="J255" s="127"/>
      <c r="K255" s="127"/>
      <c r="L255" s="127"/>
      <c r="M255" s="127"/>
      <c r="RG255" s="6"/>
      <c r="RH255" s="6"/>
      <c r="RI255" s="6"/>
      <c r="RJ255" s="6"/>
      <c r="RK255" s="6"/>
      <c r="RL255" s="45"/>
      <c r="RM255" s="4"/>
      <c r="RN255" s="4"/>
      <c r="RO255" s="4"/>
      <c r="RP255" s="6"/>
    </row>
    <row r="256" spans="1:484" x14ac:dyDescent="0.25">
      <c r="A256" s="46"/>
      <c r="B256" s="47"/>
      <c r="C256" s="127"/>
      <c r="D256" s="127"/>
      <c r="E256" s="127"/>
      <c r="F256" s="127"/>
      <c r="G256" s="127"/>
      <c r="H256" s="127"/>
      <c r="I256" s="127"/>
      <c r="J256" s="127"/>
      <c r="K256" s="127"/>
      <c r="L256" s="127"/>
      <c r="M256" s="127"/>
      <c r="RG256" s="6"/>
      <c r="RH256" s="6"/>
      <c r="RI256" s="6"/>
      <c r="RJ256" s="6"/>
      <c r="RK256" s="6"/>
      <c r="RL256" s="45"/>
      <c r="RM256" s="4"/>
      <c r="RN256" s="4"/>
      <c r="RO256" s="4"/>
      <c r="RP256" s="6"/>
    </row>
    <row r="257" spans="1:484" x14ac:dyDescent="0.25">
      <c r="A257" s="46"/>
      <c r="B257" s="47"/>
      <c r="C257" s="127"/>
      <c r="D257" s="127"/>
      <c r="E257" s="127"/>
      <c r="F257" s="127"/>
      <c r="G257" s="127"/>
      <c r="H257" s="127"/>
      <c r="I257" s="127"/>
      <c r="J257" s="127"/>
      <c r="K257" s="127"/>
      <c r="L257" s="127"/>
      <c r="M257" s="127"/>
      <c r="RG257" s="6"/>
      <c r="RH257" s="6"/>
      <c r="RI257" s="6"/>
      <c r="RJ257" s="6"/>
      <c r="RK257" s="6"/>
      <c r="RL257" s="45"/>
      <c r="RM257" s="4"/>
      <c r="RN257" s="4"/>
      <c r="RO257" s="4"/>
      <c r="RP257" s="6"/>
    </row>
    <row r="258" spans="1:484" x14ac:dyDescent="0.25">
      <c r="A258" s="46"/>
      <c r="B258" s="47"/>
      <c r="C258" s="127"/>
      <c r="D258" s="127"/>
      <c r="E258" s="127"/>
      <c r="F258" s="127"/>
      <c r="G258" s="127"/>
      <c r="H258" s="127"/>
      <c r="I258" s="127"/>
      <c r="J258" s="127"/>
      <c r="K258" s="127"/>
      <c r="L258" s="127"/>
      <c r="M258" s="127"/>
      <c r="RG258" s="6"/>
      <c r="RH258" s="6"/>
      <c r="RI258" s="6"/>
      <c r="RJ258" s="6"/>
      <c r="RK258" s="6"/>
      <c r="RL258" s="45"/>
      <c r="RM258" s="4"/>
      <c r="RN258" s="4"/>
      <c r="RO258" s="4"/>
      <c r="RP258" s="6"/>
    </row>
    <row r="259" spans="1:484" x14ac:dyDescent="0.25">
      <c r="A259" s="46"/>
      <c r="B259" s="47"/>
      <c r="C259" s="127"/>
      <c r="D259" s="127"/>
      <c r="E259" s="127"/>
      <c r="F259" s="127"/>
      <c r="G259" s="127"/>
      <c r="H259" s="127"/>
      <c r="I259" s="127"/>
      <c r="J259" s="127"/>
      <c r="K259" s="127"/>
      <c r="L259" s="127"/>
      <c r="M259" s="127"/>
      <c r="RG259" s="6"/>
      <c r="RH259" s="6"/>
      <c r="RI259" s="6"/>
      <c r="RJ259" s="6"/>
      <c r="RK259" s="6"/>
      <c r="RL259" s="45"/>
      <c r="RM259" s="4"/>
      <c r="RN259" s="4"/>
      <c r="RO259" s="4"/>
      <c r="RP259" s="6"/>
    </row>
    <row r="260" spans="1:484" x14ac:dyDescent="0.25">
      <c r="A260" s="46"/>
      <c r="B260" s="47"/>
      <c r="C260" s="127"/>
      <c r="D260" s="127"/>
      <c r="E260" s="127"/>
      <c r="F260" s="127"/>
      <c r="G260" s="127"/>
      <c r="H260" s="127"/>
      <c r="I260" s="127"/>
      <c r="J260" s="127"/>
      <c r="K260" s="127"/>
      <c r="L260" s="127"/>
      <c r="M260" s="127"/>
      <c r="RG260" s="6"/>
      <c r="RH260" s="6"/>
      <c r="RI260" s="6"/>
      <c r="RJ260" s="6"/>
      <c r="RK260" s="6"/>
      <c r="RL260" s="45"/>
      <c r="RM260" s="4"/>
      <c r="RN260" s="4"/>
      <c r="RO260" s="4"/>
      <c r="RP260" s="6"/>
    </row>
    <row r="261" spans="1:484" x14ac:dyDescent="0.25">
      <c r="A261" s="46"/>
      <c r="B261" s="47"/>
      <c r="C261" s="127"/>
      <c r="D261" s="127"/>
      <c r="E261" s="127"/>
      <c r="F261" s="127"/>
      <c r="G261" s="127"/>
      <c r="H261" s="127"/>
      <c r="I261" s="127"/>
      <c r="J261" s="127"/>
      <c r="K261" s="127"/>
      <c r="L261" s="127"/>
      <c r="M261" s="127"/>
      <c r="RG261" s="6"/>
      <c r="RH261" s="6"/>
      <c r="RI261" s="6"/>
      <c r="RJ261" s="6"/>
      <c r="RK261" s="6"/>
      <c r="RL261" s="45"/>
      <c r="RM261" s="4"/>
      <c r="RN261" s="4"/>
      <c r="RO261" s="4"/>
      <c r="RP261" s="6"/>
    </row>
    <row r="262" spans="1:484" x14ac:dyDescent="0.25">
      <c r="A262" s="46"/>
      <c r="B262" s="4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RG262" s="6"/>
      <c r="RH262" s="6"/>
      <c r="RI262" s="6"/>
      <c r="RJ262" s="6"/>
      <c r="RK262" s="6"/>
      <c r="RL262" s="45"/>
      <c r="RM262" s="4"/>
      <c r="RN262" s="4"/>
      <c r="RO262" s="4"/>
      <c r="RP262" s="6"/>
    </row>
    <row r="263" spans="1:484" x14ac:dyDescent="0.25">
      <c r="A263" s="46"/>
      <c r="B263" s="4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RG263" s="6"/>
      <c r="RH263" s="6"/>
      <c r="RI263" s="6"/>
      <c r="RJ263" s="6"/>
      <c r="RK263" s="6"/>
      <c r="RL263" s="45"/>
      <c r="RM263" s="4"/>
      <c r="RN263" s="4"/>
      <c r="RO263" s="4"/>
      <c r="RP263" s="6"/>
    </row>
    <row r="264" spans="1:484" x14ac:dyDescent="0.25">
      <c r="A264" s="46"/>
      <c r="B264" s="47"/>
      <c r="C264" s="127"/>
      <c r="D264" s="127"/>
      <c r="E264" s="127"/>
      <c r="F264" s="127"/>
      <c r="G264" s="127"/>
      <c r="H264" s="127"/>
      <c r="I264" s="127"/>
      <c r="J264" s="127"/>
      <c r="K264" s="127"/>
      <c r="L264" s="127"/>
      <c r="M264" s="127"/>
      <c r="RG264" s="6"/>
      <c r="RH264" s="6"/>
      <c r="RI264" s="6"/>
      <c r="RJ264" s="6"/>
      <c r="RK264" s="6"/>
      <c r="RL264" s="45"/>
      <c r="RM264" s="4"/>
      <c r="RN264" s="4"/>
      <c r="RO264" s="4"/>
      <c r="RP264" s="6"/>
    </row>
    <row r="265" spans="1:484" x14ac:dyDescent="0.25">
      <c r="A265" s="46"/>
      <c r="B265" s="47"/>
      <c r="C265" s="127"/>
      <c r="D265" s="127"/>
      <c r="E265" s="127"/>
      <c r="F265" s="127"/>
      <c r="G265" s="127"/>
      <c r="H265" s="127"/>
      <c r="I265" s="127"/>
      <c r="J265" s="127"/>
      <c r="K265" s="127"/>
      <c r="L265" s="127"/>
      <c r="M265" s="127"/>
      <c r="RG265" s="6"/>
      <c r="RH265" s="6"/>
      <c r="RI265" s="6"/>
      <c r="RJ265" s="6"/>
      <c r="RK265" s="6"/>
      <c r="RL265" s="45"/>
      <c r="RM265" s="4"/>
      <c r="RN265" s="4"/>
      <c r="RO265" s="4"/>
      <c r="RP265" s="6"/>
    </row>
    <row r="266" spans="1:484" x14ac:dyDescent="0.25">
      <c r="A266" s="46"/>
      <c r="B266" s="47"/>
      <c r="C266" s="127"/>
      <c r="D266" s="127"/>
      <c r="E266" s="127"/>
      <c r="F266" s="127"/>
      <c r="G266" s="127"/>
      <c r="H266" s="127"/>
      <c r="I266" s="127"/>
      <c r="J266" s="127"/>
      <c r="K266" s="127"/>
      <c r="L266" s="127"/>
      <c r="M266" s="127"/>
      <c r="RG266" s="6"/>
      <c r="RH266" s="6"/>
      <c r="RI266" s="6"/>
      <c r="RJ266" s="6"/>
      <c r="RK266" s="6"/>
      <c r="RL266" s="45"/>
      <c r="RM266" s="4"/>
      <c r="RN266" s="4"/>
      <c r="RO266" s="4"/>
      <c r="RP266" s="6"/>
    </row>
    <row r="267" spans="1:484" x14ac:dyDescent="0.25">
      <c r="A267" s="46"/>
      <c r="B267" s="47"/>
      <c r="C267" s="127"/>
      <c r="D267" s="127"/>
      <c r="E267" s="127"/>
      <c r="F267" s="127"/>
      <c r="G267" s="127"/>
      <c r="H267" s="127"/>
      <c r="I267" s="127"/>
      <c r="J267" s="127"/>
      <c r="K267" s="127"/>
      <c r="L267" s="127"/>
      <c r="M267" s="127"/>
      <c r="RG267" s="6"/>
      <c r="RH267" s="6"/>
      <c r="RI267" s="6"/>
      <c r="RJ267" s="6"/>
      <c r="RK267" s="6"/>
      <c r="RL267" s="45"/>
      <c r="RM267" s="4"/>
      <c r="RN267" s="4"/>
      <c r="RO267" s="4"/>
      <c r="RP267" s="6"/>
    </row>
    <row r="268" spans="1:484" x14ac:dyDescent="0.25">
      <c r="A268" s="46"/>
      <c r="B268" s="47"/>
      <c r="C268" s="127"/>
      <c r="D268" s="127"/>
      <c r="E268" s="127"/>
      <c r="F268" s="127"/>
      <c r="G268" s="127"/>
      <c r="H268" s="127"/>
      <c r="I268" s="127"/>
      <c r="J268" s="127"/>
      <c r="K268" s="127"/>
      <c r="L268" s="127"/>
      <c r="M268" s="127"/>
      <c r="RG268" s="6"/>
      <c r="RH268" s="6"/>
      <c r="RI268" s="6"/>
      <c r="RJ268" s="6"/>
      <c r="RK268" s="6"/>
      <c r="RL268" s="45"/>
      <c r="RM268" s="4"/>
      <c r="RN268" s="4"/>
      <c r="RO268" s="4"/>
      <c r="RP268" s="6"/>
    </row>
    <row r="269" spans="1:484" x14ac:dyDescent="0.25">
      <c r="A269" s="46"/>
      <c r="B269" s="47"/>
      <c r="C269" s="127"/>
      <c r="D269" s="127"/>
      <c r="E269" s="127"/>
      <c r="F269" s="127"/>
      <c r="G269" s="127"/>
      <c r="H269" s="127"/>
      <c r="I269" s="127"/>
      <c r="J269" s="127"/>
      <c r="K269" s="127"/>
      <c r="L269" s="127"/>
      <c r="M269" s="127"/>
      <c r="RG269" s="6"/>
      <c r="RH269" s="6"/>
      <c r="RI269" s="6"/>
      <c r="RJ269" s="6"/>
      <c r="RK269" s="6"/>
      <c r="RL269" s="45"/>
      <c r="RM269" s="4"/>
      <c r="RN269" s="4"/>
      <c r="RO269" s="4"/>
      <c r="RP269" s="6"/>
    </row>
    <row r="270" spans="1:484" x14ac:dyDescent="0.25">
      <c r="A270" s="46"/>
      <c r="B270" s="47"/>
      <c r="C270" s="127"/>
      <c r="D270" s="127"/>
      <c r="E270" s="127"/>
      <c r="F270" s="127"/>
      <c r="G270" s="127"/>
      <c r="H270" s="127"/>
      <c r="I270" s="127"/>
      <c r="J270" s="127"/>
      <c r="K270" s="127"/>
      <c r="L270" s="127"/>
      <c r="M270" s="127"/>
      <c r="RG270" s="6"/>
      <c r="RH270" s="6"/>
      <c r="RI270" s="6"/>
      <c r="RJ270" s="6"/>
      <c r="RK270" s="6"/>
      <c r="RL270" s="45"/>
      <c r="RM270" s="4"/>
      <c r="RN270" s="4"/>
      <c r="RO270" s="4"/>
      <c r="RP270" s="6"/>
    </row>
    <row r="271" spans="1:484" x14ac:dyDescent="0.25">
      <c r="A271" s="46"/>
      <c r="B271" s="47"/>
      <c r="C271" s="127"/>
      <c r="D271" s="127"/>
      <c r="E271" s="127"/>
      <c r="F271" s="127"/>
      <c r="G271" s="127"/>
      <c r="H271" s="127"/>
      <c r="I271" s="127"/>
      <c r="J271" s="127"/>
      <c r="K271" s="127"/>
      <c r="L271" s="127"/>
      <c r="M271" s="127"/>
      <c r="RG271" s="6"/>
      <c r="RH271" s="6"/>
      <c r="RI271" s="6"/>
      <c r="RJ271" s="6"/>
      <c r="RK271" s="6"/>
      <c r="RL271" s="45"/>
      <c r="RM271" s="4"/>
      <c r="RN271" s="4"/>
      <c r="RO271" s="4"/>
      <c r="RP271" s="6"/>
    </row>
    <row r="272" spans="1:484" x14ac:dyDescent="0.25">
      <c r="A272" s="46"/>
      <c r="B272" s="47"/>
      <c r="C272" s="127"/>
      <c r="D272" s="127"/>
      <c r="E272" s="127"/>
      <c r="F272" s="127"/>
      <c r="G272" s="127"/>
      <c r="H272" s="127"/>
      <c r="I272" s="127"/>
      <c r="J272" s="127"/>
      <c r="K272" s="127"/>
      <c r="L272" s="127"/>
      <c r="M272" s="127"/>
      <c r="RG272" s="6"/>
      <c r="RH272" s="6"/>
      <c r="RI272" s="6"/>
      <c r="RJ272" s="6"/>
      <c r="RK272" s="6"/>
      <c r="RL272" s="45"/>
      <c r="RM272" s="4"/>
      <c r="RN272" s="4"/>
      <c r="RO272" s="4"/>
      <c r="RP272" s="6"/>
    </row>
    <row r="273" spans="1:484" x14ac:dyDescent="0.25">
      <c r="A273" s="46"/>
      <c r="B273" s="47"/>
      <c r="C273" s="127"/>
      <c r="D273" s="127"/>
      <c r="E273" s="127"/>
      <c r="F273" s="127"/>
      <c r="G273" s="127"/>
      <c r="H273" s="127"/>
      <c r="I273" s="127"/>
      <c r="J273" s="127"/>
      <c r="K273" s="127"/>
      <c r="L273" s="127"/>
      <c r="M273" s="127"/>
      <c r="RG273" s="6"/>
      <c r="RH273" s="6"/>
      <c r="RI273" s="6"/>
      <c r="RJ273" s="6"/>
      <c r="RK273" s="6"/>
      <c r="RL273" s="45"/>
      <c r="RM273" s="4"/>
      <c r="RN273" s="4"/>
      <c r="RO273" s="4"/>
      <c r="RP273" s="6"/>
    </row>
    <row r="274" spans="1:484" x14ac:dyDescent="0.25">
      <c r="A274" s="46"/>
      <c r="B274" s="47"/>
      <c r="C274" s="127"/>
      <c r="D274" s="127"/>
      <c r="E274" s="127"/>
      <c r="F274" s="127"/>
      <c r="G274" s="127"/>
      <c r="H274" s="127"/>
      <c r="I274" s="127"/>
      <c r="J274" s="127"/>
      <c r="K274" s="127"/>
      <c r="L274" s="127"/>
      <c r="M274" s="127"/>
      <c r="RG274" s="6"/>
      <c r="RH274" s="6"/>
      <c r="RI274" s="6"/>
      <c r="RJ274" s="6"/>
      <c r="RK274" s="6"/>
      <c r="RL274" s="45"/>
      <c r="RM274" s="4"/>
      <c r="RN274" s="4"/>
      <c r="RO274" s="4"/>
      <c r="RP274" s="6"/>
    </row>
    <row r="275" spans="1:484" x14ac:dyDescent="0.25">
      <c r="A275" s="46"/>
      <c r="B275" s="47"/>
      <c r="C275" s="127"/>
      <c r="D275" s="127"/>
      <c r="E275" s="127"/>
      <c r="F275" s="127"/>
      <c r="G275" s="127"/>
      <c r="H275" s="127"/>
      <c r="I275" s="127"/>
      <c r="J275" s="127"/>
      <c r="K275" s="127"/>
      <c r="L275" s="127"/>
      <c r="M275" s="127"/>
      <c r="RG275" s="6"/>
      <c r="RH275" s="6"/>
      <c r="RI275" s="6"/>
      <c r="RJ275" s="6"/>
      <c r="RK275" s="6"/>
      <c r="RL275" s="45"/>
      <c r="RM275" s="4"/>
      <c r="RN275" s="4"/>
      <c r="RO275" s="4"/>
      <c r="RP275" s="6"/>
    </row>
    <row r="276" spans="1:484" x14ac:dyDescent="0.25">
      <c r="A276" s="46"/>
      <c r="B276" s="47"/>
      <c r="C276" s="127"/>
      <c r="D276" s="127"/>
      <c r="E276" s="127"/>
      <c r="F276" s="127"/>
      <c r="G276" s="127"/>
      <c r="H276" s="127"/>
      <c r="I276" s="127"/>
      <c r="J276" s="127"/>
      <c r="K276" s="127"/>
      <c r="L276" s="127"/>
      <c r="M276" s="127"/>
      <c r="RG276" s="6"/>
      <c r="RH276" s="6"/>
      <c r="RI276" s="6"/>
      <c r="RJ276" s="6"/>
      <c r="RK276" s="6"/>
      <c r="RL276" s="45"/>
      <c r="RM276" s="4"/>
      <c r="RN276" s="4"/>
      <c r="RO276" s="4"/>
      <c r="RP276" s="6"/>
    </row>
    <row r="277" spans="1:484" x14ac:dyDescent="0.25">
      <c r="A277" s="46"/>
      <c r="B277" s="4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RG277" s="6"/>
      <c r="RH277" s="6"/>
      <c r="RI277" s="6"/>
      <c r="RJ277" s="6"/>
      <c r="RK277" s="6"/>
      <c r="RL277" s="45"/>
      <c r="RM277" s="4"/>
      <c r="RN277" s="4"/>
      <c r="RO277" s="4"/>
      <c r="RP277" s="6"/>
    </row>
    <row r="278" spans="1:484" x14ac:dyDescent="0.25">
      <c r="A278" s="46"/>
      <c r="B278" s="4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RG278" s="6"/>
      <c r="RH278" s="6"/>
      <c r="RI278" s="6"/>
      <c r="RJ278" s="6"/>
      <c r="RK278" s="6"/>
      <c r="RL278" s="45"/>
      <c r="RM278" s="4"/>
      <c r="RN278" s="4"/>
      <c r="RO278" s="4"/>
      <c r="RP278" s="6"/>
    </row>
    <row r="279" spans="1:484" x14ac:dyDescent="0.25">
      <c r="A279" s="46"/>
      <c r="B279" s="47"/>
      <c r="C279" s="127"/>
      <c r="D279" s="127"/>
      <c r="E279" s="127"/>
      <c r="F279" s="127"/>
      <c r="G279" s="127"/>
      <c r="H279" s="127"/>
      <c r="I279" s="127"/>
      <c r="J279" s="127"/>
      <c r="K279" s="127"/>
      <c r="L279" s="127"/>
      <c r="M279" s="127"/>
      <c r="RG279" s="6"/>
      <c r="RH279" s="6"/>
      <c r="RI279" s="6"/>
      <c r="RJ279" s="6"/>
      <c r="RK279" s="6"/>
      <c r="RL279" s="45"/>
      <c r="RM279" s="4"/>
      <c r="RN279" s="4"/>
      <c r="RO279" s="4"/>
      <c r="RP279" s="6"/>
    </row>
    <row r="280" spans="1:484" x14ac:dyDescent="0.25">
      <c r="A280" s="46"/>
      <c r="B280" s="47"/>
      <c r="C280" s="127"/>
      <c r="D280" s="127"/>
      <c r="E280" s="127"/>
      <c r="F280" s="127"/>
      <c r="G280" s="127"/>
      <c r="H280" s="127"/>
      <c r="I280" s="127"/>
      <c r="J280" s="127"/>
      <c r="K280" s="127"/>
      <c r="L280" s="127"/>
      <c r="M280" s="127"/>
      <c r="RG280" s="6"/>
      <c r="RH280" s="6"/>
      <c r="RI280" s="6"/>
      <c r="RJ280" s="6"/>
      <c r="RK280" s="6"/>
      <c r="RL280" s="45"/>
      <c r="RM280" s="4"/>
      <c r="RN280" s="4"/>
      <c r="RO280" s="4"/>
      <c r="RP280" s="6"/>
    </row>
    <row r="281" spans="1:484" x14ac:dyDescent="0.25">
      <c r="A281" s="46"/>
      <c r="B281" s="47"/>
      <c r="C281" s="127"/>
      <c r="D281" s="127"/>
      <c r="E281" s="127"/>
      <c r="F281" s="127"/>
      <c r="G281" s="127"/>
      <c r="H281" s="127"/>
      <c r="I281" s="127"/>
      <c r="J281" s="127"/>
      <c r="K281" s="127"/>
      <c r="L281" s="127"/>
      <c r="M281" s="127"/>
      <c r="RG281" s="6"/>
      <c r="RH281" s="6"/>
      <c r="RI281" s="6"/>
      <c r="RJ281" s="6"/>
      <c r="RK281" s="6"/>
      <c r="RL281" s="45"/>
      <c r="RM281" s="4"/>
      <c r="RN281" s="4"/>
      <c r="RO281" s="4"/>
      <c r="RP281" s="6"/>
    </row>
    <row r="282" spans="1:484" x14ac:dyDescent="0.25">
      <c r="A282" s="46"/>
      <c r="B282" s="47"/>
      <c r="C282" s="127"/>
      <c r="D282" s="127"/>
      <c r="E282" s="127"/>
      <c r="F282" s="127"/>
      <c r="G282" s="127"/>
      <c r="H282" s="127"/>
      <c r="I282" s="127"/>
      <c r="J282" s="127"/>
      <c r="K282" s="127"/>
      <c r="L282" s="127"/>
      <c r="M282" s="127"/>
      <c r="RG282" s="6"/>
      <c r="RH282" s="6"/>
      <c r="RI282" s="6"/>
      <c r="RJ282" s="6"/>
      <c r="RK282" s="6"/>
      <c r="RL282" s="45"/>
      <c r="RM282" s="4"/>
      <c r="RN282" s="4"/>
      <c r="RO282" s="4"/>
      <c r="RP282" s="6"/>
    </row>
    <row r="283" spans="1:484" x14ac:dyDescent="0.25">
      <c r="A283" s="46"/>
      <c r="B283" s="47"/>
      <c r="C283" s="127"/>
      <c r="D283" s="127"/>
      <c r="E283" s="127"/>
      <c r="F283" s="127"/>
      <c r="G283" s="127"/>
      <c r="H283" s="127"/>
      <c r="I283" s="127"/>
      <c r="J283" s="127"/>
      <c r="K283" s="127"/>
      <c r="L283" s="127"/>
      <c r="M283" s="127"/>
      <c r="RG283" s="6"/>
      <c r="RH283" s="6"/>
      <c r="RI283" s="6"/>
      <c r="RJ283" s="6"/>
      <c r="RK283" s="6"/>
      <c r="RL283" s="45"/>
      <c r="RM283" s="4"/>
      <c r="RN283" s="4"/>
      <c r="RO283" s="4"/>
      <c r="RP283" s="6"/>
    </row>
    <row r="284" spans="1:484" x14ac:dyDescent="0.25">
      <c r="A284" s="46"/>
      <c r="B284" s="47"/>
      <c r="C284" s="127"/>
      <c r="D284" s="127"/>
      <c r="E284" s="127"/>
      <c r="F284" s="127"/>
      <c r="G284" s="127"/>
      <c r="H284" s="127"/>
      <c r="I284" s="127"/>
      <c r="J284" s="127"/>
      <c r="K284" s="127"/>
      <c r="L284" s="127"/>
      <c r="M284" s="127"/>
      <c r="RG284" s="6"/>
      <c r="RH284" s="6"/>
      <c r="RI284" s="6"/>
      <c r="RJ284" s="6"/>
      <c r="RK284" s="6"/>
      <c r="RL284" s="45"/>
      <c r="RM284" s="4"/>
      <c r="RN284" s="4"/>
      <c r="RO284" s="4"/>
      <c r="RP284" s="6"/>
    </row>
    <row r="285" spans="1:484" x14ac:dyDescent="0.25">
      <c r="A285" s="46"/>
      <c r="B285" s="47"/>
      <c r="C285" s="127"/>
      <c r="D285" s="127"/>
      <c r="E285" s="127"/>
      <c r="F285" s="127"/>
      <c r="G285" s="127"/>
      <c r="H285" s="127"/>
      <c r="I285" s="127"/>
      <c r="J285" s="127"/>
      <c r="K285" s="127"/>
      <c r="L285" s="127"/>
      <c r="M285" s="127"/>
      <c r="RG285" s="6"/>
      <c r="RH285" s="6"/>
      <c r="RI285" s="6"/>
      <c r="RJ285" s="6"/>
      <c r="RK285" s="6"/>
      <c r="RL285" s="45"/>
      <c r="RM285" s="4"/>
      <c r="RN285" s="4"/>
      <c r="RO285" s="4"/>
      <c r="RP285" s="6"/>
    </row>
    <row r="286" spans="1:484" x14ac:dyDescent="0.25">
      <c r="A286" s="46"/>
      <c r="B286" s="47"/>
      <c r="C286" s="127"/>
      <c r="D286" s="127"/>
      <c r="E286" s="127"/>
      <c r="F286" s="127"/>
      <c r="G286" s="127"/>
      <c r="H286" s="127"/>
      <c r="I286" s="127"/>
      <c r="J286" s="127"/>
      <c r="K286" s="127"/>
      <c r="L286" s="127"/>
      <c r="M286" s="127"/>
      <c r="RG286" s="6"/>
      <c r="RH286" s="6"/>
      <c r="RI286" s="6"/>
      <c r="RJ286" s="6"/>
      <c r="RK286" s="6"/>
      <c r="RL286" s="45"/>
      <c r="RM286" s="4"/>
      <c r="RN286" s="4"/>
      <c r="RO286" s="4"/>
      <c r="RP286" s="6"/>
    </row>
    <row r="287" spans="1:484" x14ac:dyDescent="0.25">
      <c r="A287" s="46"/>
      <c r="B287" s="47"/>
      <c r="C287" s="127"/>
      <c r="D287" s="127"/>
      <c r="E287" s="127"/>
      <c r="F287" s="127"/>
      <c r="G287" s="127"/>
      <c r="H287" s="127"/>
      <c r="I287" s="127"/>
      <c r="J287" s="127"/>
      <c r="K287" s="127"/>
      <c r="L287" s="127"/>
      <c r="M287" s="127"/>
      <c r="RG287" s="6"/>
      <c r="RH287" s="6"/>
      <c r="RI287" s="6"/>
      <c r="RJ287" s="6"/>
      <c r="RK287" s="6"/>
      <c r="RL287" s="45"/>
      <c r="RM287" s="4"/>
      <c r="RN287" s="4"/>
      <c r="RO287" s="4"/>
      <c r="RP287" s="6"/>
    </row>
    <row r="288" spans="1:484" x14ac:dyDescent="0.25">
      <c r="A288" s="46"/>
      <c r="B288" s="47"/>
      <c r="C288" s="127"/>
      <c r="D288" s="127"/>
      <c r="E288" s="127"/>
      <c r="F288" s="127"/>
      <c r="G288" s="127"/>
      <c r="H288" s="127"/>
      <c r="I288" s="127"/>
      <c r="J288" s="127"/>
      <c r="K288" s="127"/>
      <c r="L288" s="127"/>
      <c r="M288" s="127"/>
      <c r="RG288" s="6"/>
      <c r="RH288" s="6"/>
      <c r="RI288" s="6"/>
      <c r="RJ288" s="6"/>
      <c r="RK288" s="6"/>
      <c r="RL288" s="45"/>
      <c r="RM288" s="4"/>
      <c r="RN288" s="4"/>
      <c r="RO288" s="4"/>
      <c r="RP288" s="6"/>
    </row>
    <row r="289" spans="1:484" x14ac:dyDescent="0.25">
      <c r="A289" s="46"/>
      <c r="B289" s="47"/>
      <c r="C289" s="127"/>
      <c r="D289" s="127"/>
      <c r="E289" s="127"/>
      <c r="F289" s="127"/>
      <c r="G289" s="127"/>
      <c r="H289" s="127"/>
      <c r="I289" s="127"/>
      <c r="J289" s="127"/>
      <c r="K289" s="127"/>
      <c r="L289" s="127"/>
      <c r="M289" s="127"/>
      <c r="RG289" s="6"/>
      <c r="RH289" s="6"/>
      <c r="RI289" s="6"/>
      <c r="RJ289" s="6"/>
      <c r="RK289" s="6"/>
      <c r="RL289" s="45"/>
      <c r="RM289" s="4"/>
      <c r="RN289" s="4"/>
      <c r="RO289" s="4"/>
      <c r="RP289" s="6"/>
    </row>
    <row r="290" spans="1:484" x14ac:dyDescent="0.25">
      <c r="A290" s="46"/>
      <c r="B290" s="47"/>
      <c r="C290" s="127"/>
      <c r="D290" s="127"/>
      <c r="E290" s="127"/>
      <c r="F290" s="127"/>
      <c r="G290" s="127"/>
      <c r="H290" s="127"/>
      <c r="I290" s="127"/>
      <c r="J290" s="127"/>
      <c r="K290" s="127"/>
      <c r="L290" s="127"/>
      <c r="M290" s="127"/>
      <c r="RG290" s="6"/>
      <c r="RH290" s="6"/>
      <c r="RI290" s="6"/>
      <c r="RJ290" s="6"/>
      <c r="RK290" s="6"/>
      <c r="RL290" s="45"/>
      <c r="RM290" s="4"/>
      <c r="RN290" s="4"/>
      <c r="RO290" s="4"/>
      <c r="RP290" s="6"/>
    </row>
    <row r="291" spans="1:484" x14ac:dyDescent="0.25">
      <c r="A291" s="46"/>
      <c r="B291" s="47"/>
      <c r="C291" s="127"/>
      <c r="D291" s="127"/>
      <c r="E291" s="127"/>
      <c r="F291" s="127"/>
      <c r="G291" s="127"/>
      <c r="H291" s="127"/>
      <c r="I291" s="127"/>
      <c r="J291" s="127"/>
      <c r="K291" s="127"/>
      <c r="L291" s="127"/>
      <c r="M291" s="127"/>
      <c r="RG291" s="6"/>
      <c r="RH291" s="6"/>
      <c r="RI291" s="6"/>
      <c r="RJ291" s="6"/>
      <c r="RK291" s="6"/>
      <c r="RL291" s="45"/>
      <c r="RM291" s="4"/>
      <c r="RN291" s="4"/>
      <c r="RO291" s="4"/>
      <c r="RP291" s="6"/>
    </row>
    <row r="292" spans="1:484" x14ac:dyDescent="0.25">
      <c r="A292" s="46"/>
      <c r="B292" s="4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RG292" s="6"/>
      <c r="RH292" s="6"/>
      <c r="RI292" s="6"/>
      <c r="RJ292" s="6"/>
      <c r="RK292" s="6"/>
      <c r="RL292" s="45"/>
      <c r="RM292" s="4"/>
      <c r="RN292" s="4"/>
      <c r="RO292" s="4"/>
      <c r="RP292" s="6"/>
    </row>
    <row r="293" spans="1:484" x14ac:dyDescent="0.25">
      <c r="A293" s="46"/>
      <c r="B293" s="4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RG293" s="6"/>
      <c r="RH293" s="6"/>
      <c r="RI293" s="6"/>
      <c r="RJ293" s="6"/>
      <c r="RK293" s="6"/>
      <c r="RL293" s="45"/>
      <c r="RM293" s="4"/>
      <c r="RN293" s="4"/>
      <c r="RO293" s="4"/>
      <c r="RP293" s="6"/>
    </row>
    <row r="294" spans="1:484" x14ac:dyDescent="0.25">
      <c r="A294" s="46"/>
      <c r="B294" s="47"/>
      <c r="C294" s="127"/>
      <c r="D294" s="127"/>
      <c r="E294" s="127"/>
      <c r="F294" s="127"/>
      <c r="G294" s="127"/>
      <c r="H294" s="127"/>
      <c r="I294" s="127"/>
      <c r="J294" s="127"/>
      <c r="K294" s="127"/>
      <c r="L294" s="127"/>
      <c r="M294" s="127"/>
      <c r="RG294" s="6"/>
      <c r="RH294" s="6"/>
      <c r="RI294" s="6"/>
      <c r="RJ294" s="6"/>
      <c r="RK294" s="6"/>
      <c r="RL294" s="45"/>
      <c r="RM294" s="4"/>
      <c r="RN294" s="4"/>
      <c r="RO294" s="4"/>
      <c r="RP294" s="6"/>
    </row>
    <row r="295" spans="1:484" x14ac:dyDescent="0.25">
      <c r="A295" s="46"/>
      <c r="B295" s="47"/>
      <c r="C295" s="127"/>
      <c r="D295" s="127"/>
      <c r="E295" s="127"/>
      <c r="F295" s="127"/>
      <c r="G295" s="127"/>
      <c r="H295" s="127"/>
      <c r="I295" s="127"/>
      <c r="J295" s="127"/>
      <c r="K295" s="127"/>
      <c r="L295" s="127"/>
      <c r="M295" s="127"/>
      <c r="RG295" s="6"/>
      <c r="RH295" s="6"/>
      <c r="RI295" s="6"/>
      <c r="RJ295" s="6"/>
      <c r="RK295" s="6"/>
      <c r="RL295" s="45"/>
      <c r="RM295" s="4"/>
      <c r="RN295" s="4"/>
      <c r="RO295" s="4"/>
      <c r="RP295" s="6"/>
    </row>
    <row r="296" spans="1:484" x14ac:dyDescent="0.25">
      <c r="A296" s="46"/>
      <c r="B296" s="47"/>
      <c r="C296" s="127"/>
      <c r="D296" s="127"/>
      <c r="E296" s="127"/>
      <c r="F296" s="127"/>
      <c r="G296" s="127"/>
      <c r="H296" s="127"/>
      <c r="I296" s="127"/>
      <c r="J296" s="127"/>
      <c r="K296" s="127"/>
      <c r="L296" s="127"/>
      <c r="M296" s="127"/>
      <c r="RG296" s="6"/>
      <c r="RH296" s="6"/>
      <c r="RI296" s="6"/>
      <c r="RJ296" s="6"/>
      <c r="RK296" s="6"/>
      <c r="RL296" s="45"/>
      <c r="RM296" s="4"/>
      <c r="RN296" s="4"/>
      <c r="RO296" s="4"/>
      <c r="RP296" s="6"/>
    </row>
    <row r="297" spans="1:484" x14ac:dyDescent="0.25">
      <c r="A297" s="46"/>
      <c r="B297" s="47"/>
      <c r="C297" s="127"/>
      <c r="D297" s="127"/>
      <c r="E297" s="127"/>
      <c r="F297" s="127"/>
      <c r="G297" s="127"/>
      <c r="H297" s="127"/>
      <c r="I297" s="127"/>
      <c r="J297" s="127"/>
      <c r="K297" s="127"/>
      <c r="L297" s="127"/>
      <c r="M297" s="127"/>
      <c r="RG297" s="6"/>
      <c r="RH297" s="6"/>
      <c r="RI297" s="6"/>
      <c r="RJ297" s="6"/>
      <c r="RK297" s="6"/>
      <c r="RL297" s="45"/>
      <c r="RM297" s="4"/>
      <c r="RN297" s="4"/>
      <c r="RO297" s="4"/>
      <c r="RP297" s="6"/>
    </row>
    <row r="298" spans="1:484" x14ac:dyDescent="0.25">
      <c r="A298" s="46"/>
      <c r="B298" s="47"/>
      <c r="C298" s="127"/>
      <c r="D298" s="127"/>
      <c r="E298" s="127"/>
      <c r="F298" s="127"/>
      <c r="G298" s="127"/>
      <c r="H298" s="127"/>
      <c r="I298" s="127"/>
      <c r="J298" s="127"/>
      <c r="K298" s="127"/>
      <c r="L298" s="127"/>
      <c r="M298" s="127"/>
      <c r="RG298" s="6"/>
      <c r="RH298" s="6"/>
      <c r="RI298" s="6"/>
      <c r="RJ298" s="6"/>
      <c r="RK298" s="6"/>
      <c r="RL298" s="45"/>
      <c r="RM298" s="4"/>
      <c r="RN298" s="4"/>
      <c r="RO298" s="4"/>
      <c r="RP298" s="6"/>
    </row>
    <row r="299" spans="1:484" x14ac:dyDescent="0.25">
      <c r="A299" s="46"/>
      <c r="B299" s="47"/>
      <c r="C299" s="127"/>
      <c r="D299" s="127"/>
      <c r="E299" s="127"/>
      <c r="F299" s="127"/>
      <c r="G299" s="127"/>
      <c r="H299" s="127"/>
      <c r="I299" s="127"/>
      <c r="J299" s="127"/>
      <c r="K299" s="127"/>
      <c r="L299" s="127"/>
      <c r="M299" s="127"/>
      <c r="RG299" s="6"/>
      <c r="RH299" s="6"/>
      <c r="RI299" s="6"/>
      <c r="RJ299" s="6"/>
      <c r="RK299" s="6"/>
      <c r="RL299" s="45"/>
      <c r="RM299" s="4"/>
      <c r="RN299" s="4"/>
      <c r="RO299" s="4"/>
      <c r="RP299" s="6"/>
    </row>
    <row r="300" spans="1:484" x14ac:dyDescent="0.25">
      <c r="A300" s="46"/>
      <c r="B300" s="47"/>
      <c r="C300" s="127"/>
      <c r="D300" s="127"/>
      <c r="E300" s="127"/>
      <c r="F300" s="127"/>
      <c r="G300" s="127"/>
      <c r="H300" s="127"/>
      <c r="I300" s="127"/>
      <c r="J300" s="127"/>
      <c r="K300" s="127"/>
      <c r="L300" s="127"/>
      <c r="M300" s="127"/>
      <c r="RG300" s="6"/>
      <c r="RH300" s="6"/>
      <c r="RI300" s="6"/>
      <c r="RJ300" s="6"/>
      <c r="RK300" s="6"/>
      <c r="RL300" s="45"/>
      <c r="RM300" s="4"/>
      <c r="RN300" s="4"/>
      <c r="RO300" s="4"/>
      <c r="RP300" s="6"/>
    </row>
    <row r="301" spans="1:484" x14ac:dyDescent="0.25">
      <c r="A301" s="46"/>
      <c r="B301" s="47"/>
      <c r="C301" s="127"/>
      <c r="D301" s="127"/>
      <c r="E301" s="127"/>
      <c r="F301" s="127"/>
      <c r="G301" s="127"/>
      <c r="H301" s="127"/>
      <c r="I301" s="127"/>
      <c r="J301" s="127"/>
      <c r="K301" s="127"/>
      <c r="L301" s="127"/>
      <c r="M301" s="127"/>
      <c r="RG301" s="6"/>
      <c r="RH301" s="6"/>
      <c r="RI301" s="6"/>
      <c r="RJ301" s="6"/>
      <c r="RK301" s="6"/>
      <c r="RL301" s="45"/>
      <c r="RM301" s="4"/>
      <c r="RN301" s="4"/>
      <c r="RO301" s="4"/>
      <c r="RP301" s="6"/>
    </row>
    <row r="302" spans="1:484" x14ac:dyDescent="0.25">
      <c r="A302" s="46"/>
      <c r="B302" s="47"/>
      <c r="C302" s="127"/>
      <c r="D302" s="127"/>
      <c r="E302" s="127"/>
      <c r="F302" s="127"/>
      <c r="G302" s="127"/>
      <c r="H302" s="127"/>
      <c r="I302" s="127"/>
      <c r="J302" s="127"/>
      <c r="K302" s="127"/>
      <c r="L302" s="127"/>
      <c r="M302" s="127"/>
      <c r="RG302" s="6"/>
      <c r="RH302" s="6"/>
      <c r="RI302" s="6"/>
      <c r="RJ302" s="6"/>
      <c r="RK302" s="6"/>
      <c r="RL302" s="45"/>
      <c r="RM302" s="4"/>
      <c r="RN302" s="4"/>
      <c r="RO302" s="4"/>
      <c r="RP302" s="6"/>
    </row>
    <row r="303" spans="1:484" x14ac:dyDescent="0.25">
      <c r="A303" s="46"/>
      <c r="B303" s="47"/>
      <c r="C303" s="127"/>
      <c r="D303" s="127"/>
      <c r="E303" s="127"/>
      <c r="F303" s="127"/>
      <c r="G303" s="127"/>
      <c r="H303" s="127"/>
      <c r="I303" s="127"/>
      <c r="J303" s="127"/>
      <c r="K303" s="127"/>
      <c r="L303" s="127"/>
      <c r="M303" s="127"/>
      <c r="RG303" s="6"/>
      <c r="RH303" s="6"/>
      <c r="RI303" s="6"/>
      <c r="RJ303" s="6"/>
      <c r="RK303" s="6"/>
      <c r="RL303" s="45"/>
      <c r="RM303" s="4"/>
      <c r="RN303" s="4"/>
      <c r="RO303" s="4"/>
      <c r="RP303" s="6"/>
    </row>
    <row r="304" spans="1:484" x14ac:dyDescent="0.25">
      <c r="A304" s="46"/>
      <c r="B304" s="47"/>
      <c r="C304" s="127"/>
      <c r="D304" s="127"/>
      <c r="E304" s="127"/>
      <c r="F304" s="127"/>
      <c r="G304" s="127"/>
      <c r="H304" s="127"/>
      <c r="I304" s="127"/>
      <c r="J304" s="127"/>
      <c r="K304" s="127"/>
      <c r="L304" s="127"/>
      <c r="M304" s="127"/>
      <c r="RG304" s="6"/>
      <c r="RH304" s="6"/>
      <c r="RI304" s="6"/>
      <c r="RJ304" s="6"/>
      <c r="RK304" s="6"/>
      <c r="RL304" s="45"/>
      <c r="RM304" s="4"/>
      <c r="RN304" s="4"/>
      <c r="RO304" s="4"/>
      <c r="RP304" s="6"/>
    </row>
    <row r="305" spans="1:484" x14ac:dyDescent="0.25">
      <c r="A305" s="46"/>
      <c r="B305" s="47"/>
      <c r="C305" s="127"/>
      <c r="D305" s="127"/>
      <c r="E305" s="127"/>
      <c r="F305" s="127"/>
      <c r="G305" s="127"/>
      <c r="H305" s="127"/>
      <c r="I305" s="127"/>
      <c r="J305" s="127"/>
      <c r="K305" s="127"/>
      <c r="L305" s="127"/>
      <c r="M305" s="127"/>
      <c r="RG305" s="6"/>
      <c r="RH305" s="6"/>
      <c r="RI305" s="6"/>
      <c r="RJ305" s="6"/>
      <c r="RK305" s="6"/>
      <c r="RL305" s="45"/>
      <c r="RM305" s="4"/>
      <c r="RN305" s="4"/>
      <c r="RO305" s="4"/>
      <c r="RP305" s="6"/>
    </row>
    <row r="306" spans="1:484" x14ac:dyDescent="0.25">
      <c r="A306" s="46"/>
      <c r="B306" s="47"/>
      <c r="C306" s="127"/>
      <c r="D306" s="127"/>
      <c r="E306" s="127"/>
      <c r="F306" s="127"/>
      <c r="G306" s="127"/>
      <c r="H306" s="127"/>
      <c r="I306" s="127"/>
      <c r="J306" s="127"/>
      <c r="K306" s="127"/>
      <c r="L306" s="127"/>
      <c r="M306" s="127"/>
      <c r="RG306" s="6"/>
      <c r="RH306" s="6"/>
      <c r="RI306" s="6"/>
      <c r="RJ306" s="6"/>
      <c r="RK306" s="6"/>
      <c r="RL306" s="45"/>
      <c r="RM306" s="4"/>
      <c r="RN306" s="4"/>
      <c r="RO306" s="4"/>
      <c r="RP306" s="6"/>
    </row>
    <row r="307" spans="1:484" x14ac:dyDescent="0.25">
      <c r="A307" s="46"/>
      <c r="B307" s="47"/>
      <c r="C307" s="127"/>
      <c r="D307" s="127"/>
      <c r="E307" s="127"/>
      <c r="F307" s="127"/>
      <c r="G307" s="127"/>
      <c r="H307" s="127"/>
      <c r="I307" s="127"/>
      <c r="J307" s="127"/>
      <c r="K307" s="127"/>
      <c r="L307" s="127"/>
      <c r="M307" s="127"/>
      <c r="RG307" s="6"/>
      <c r="RH307" s="6"/>
      <c r="RI307" s="6"/>
      <c r="RJ307" s="6"/>
      <c r="RK307" s="6"/>
      <c r="RL307" s="45"/>
      <c r="RM307" s="4"/>
      <c r="RN307" s="4"/>
      <c r="RO307" s="4"/>
      <c r="RP307" s="6"/>
    </row>
    <row r="308" spans="1:484" x14ac:dyDescent="0.25">
      <c r="A308" s="46"/>
      <c r="B308" s="4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RG308" s="6"/>
      <c r="RH308" s="6"/>
      <c r="RI308" s="6"/>
      <c r="RJ308" s="6"/>
      <c r="RK308" s="6"/>
      <c r="RL308" s="45"/>
      <c r="RM308" s="4"/>
      <c r="RN308" s="4"/>
      <c r="RO308" s="4"/>
      <c r="RP308" s="6"/>
    </row>
    <row r="309" spans="1:484" x14ac:dyDescent="0.25">
      <c r="A309" s="46"/>
      <c r="B309" s="47"/>
      <c r="C309" s="127"/>
      <c r="D309" s="127"/>
      <c r="E309" s="127"/>
      <c r="F309" s="127"/>
      <c r="G309" s="127"/>
      <c r="H309" s="127"/>
      <c r="I309" s="127"/>
      <c r="J309" s="127"/>
      <c r="K309" s="127"/>
      <c r="L309" s="127"/>
      <c r="M309" s="127"/>
      <c r="RG309" s="6"/>
      <c r="RH309" s="6"/>
      <c r="RI309" s="6"/>
      <c r="RJ309" s="6"/>
      <c r="RK309" s="6"/>
      <c r="RL309" s="45"/>
      <c r="RM309" s="4"/>
      <c r="RN309" s="4"/>
      <c r="RO309" s="4"/>
      <c r="RP309" s="6"/>
    </row>
    <row r="310" spans="1:484" x14ac:dyDescent="0.25">
      <c r="A310" s="46"/>
      <c r="B310" s="47"/>
      <c r="C310" s="127"/>
      <c r="D310" s="127"/>
      <c r="E310" s="127"/>
      <c r="F310" s="127"/>
      <c r="G310" s="127"/>
      <c r="H310" s="127"/>
      <c r="I310" s="127"/>
      <c r="J310" s="127"/>
      <c r="K310" s="127"/>
      <c r="L310" s="127"/>
      <c r="M310" s="127"/>
      <c r="RG310" s="6"/>
      <c r="RH310" s="6"/>
      <c r="RI310" s="6"/>
      <c r="RJ310" s="6"/>
      <c r="RK310" s="6"/>
      <c r="RL310" s="45"/>
      <c r="RM310" s="4"/>
      <c r="RN310" s="4"/>
      <c r="RO310" s="4"/>
      <c r="RP310" s="6"/>
    </row>
    <row r="311" spans="1:484" x14ac:dyDescent="0.25">
      <c r="A311" s="46"/>
      <c r="B311" s="47"/>
      <c r="C311" s="127"/>
      <c r="D311" s="127"/>
      <c r="E311" s="127"/>
      <c r="F311" s="127"/>
      <c r="G311" s="127"/>
      <c r="H311" s="127"/>
      <c r="I311" s="127"/>
      <c r="J311" s="127"/>
      <c r="K311" s="127"/>
      <c r="L311" s="127"/>
      <c r="M311" s="127"/>
      <c r="RG311" s="6"/>
      <c r="RH311" s="6"/>
      <c r="RI311" s="6"/>
      <c r="RJ311" s="6"/>
      <c r="RK311" s="6"/>
      <c r="RL311" s="45"/>
      <c r="RM311" s="4"/>
      <c r="RN311" s="4"/>
      <c r="RO311" s="4"/>
      <c r="RP311" s="6"/>
    </row>
    <row r="312" spans="1:484" x14ac:dyDescent="0.25">
      <c r="A312" s="46"/>
      <c r="B312" s="47"/>
      <c r="C312" s="127"/>
      <c r="D312" s="127"/>
      <c r="E312" s="127"/>
      <c r="F312" s="127"/>
      <c r="G312" s="127"/>
      <c r="H312" s="127"/>
      <c r="I312" s="127"/>
      <c r="J312" s="127"/>
      <c r="K312" s="127"/>
      <c r="L312" s="127"/>
      <c r="M312" s="127"/>
      <c r="RG312" s="6"/>
      <c r="RH312" s="6"/>
      <c r="RI312" s="6"/>
      <c r="RJ312" s="6"/>
      <c r="RK312" s="6"/>
      <c r="RL312" s="45"/>
      <c r="RM312" s="4"/>
      <c r="RN312" s="4"/>
      <c r="RO312" s="4"/>
      <c r="RP312" s="6"/>
    </row>
    <row r="313" spans="1:484" x14ac:dyDescent="0.25">
      <c r="A313" s="46"/>
      <c r="B313" s="47"/>
      <c r="C313" s="127"/>
      <c r="D313" s="127"/>
      <c r="E313" s="127"/>
      <c r="F313" s="127"/>
      <c r="G313" s="127"/>
      <c r="H313" s="127"/>
      <c r="I313" s="127"/>
      <c r="J313" s="127"/>
      <c r="K313" s="127"/>
      <c r="L313" s="127"/>
      <c r="M313" s="127"/>
      <c r="RG313" s="6"/>
      <c r="RH313" s="6"/>
      <c r="RI313" s="6"/>
      <c r="RJ313" s="6"/>
      <c r="RK313" s="6"/>
      <c r="RL313" s="45"/>
      <c r="RM313" s="4"/>
      <c r="RN313" s="4"/>
      <c r="RO313" s="4"/>
      <c r="RP313" s="6"/>
    </row>
    <row r="314" spans="1:484" x14ac:dyDescent="0.25">
      <c r="A314" s="46"/>
      <c r="B314" s="47"/>
      <c r="C314" s="127"/>
      <c r="D314" s="127"/>
      <c r="E314" s="127"/>
      <c r="F314" s="127"/>
      <c r="G314" s="127"/>
      <c r="H314" s="127"/>
      <c r="I314" s="127"/>
      <c r="J314" s="127"/>
      <c r="K314" s="127"/>
      <c r="L314" s="127"/>
      <c r="M314" s="127"/>
      <c r="RG314" s="6"/>
      <c r="RH314" s="6"/>
      <c r="RI314" s="6"/>
      <c r="RJ314" s="6"/>
      <c r="RK314" s="6"/>
      <c r="RL314" s="45"/>
      <c r="RM314" s="4"/>
      <c r="RN314" s="4"/>
      <c r="RO314" s="4"/>
      <c r="RP314" s="6"/>
    </row>
    <row r="315" spans="1:484" x14ac:dyDescent="0.25">
      <c r="A315" s="46"/>
      <c r="B315" s="47"/>
      <c r="C315" s="127"/>
      <c r="D315" s="127"/>
      <c r="E315" s="127"/>
      <c r="F315" s="127"/>
      <c r="G315" s="127"/>
      <c r="H315" s="127"/>
      <c r="I315" s="127"/>
      <c r="J315" s="127"/>
      <c r="K315" s="127"/>
      <c r="L315" s="127"/>
      <c r="M315" s="127"/>
      <c r="RG315" s="6"/>
      <c r="RH315" s="6"/>
      <c r="RI315" s="6"/>
      <c r="RJ315" s="6"/>
      <c r="RK315" s="6"/>
      <c r="RL315" s="45"/>
      <c r="RM315" s="4"/>
      <c r="RN315" s="4"/>
      <c r="RO315" s="4"/>
      <c r="RP315" s="6"/>
    </row>
    <row r="316" spans="1:484" x14ac:dyDescent="0.25">
      <c r="A316" s="46"/>
      <c r="B316" s="47"/>
      <c r="C316" s="127"/>
      <c r="D316" s="127"/>
      <c r="E316" s="127"/>
      <c r="F316" s="127"/>
      <c r="G316" s="127"/>
      <c r="H316" s="127"/>
      <c r="I316" s="127"/>
      <c r="J316" s="127"/>
      <c r="K316" s="127"/>
      <c r="L316" s="127"/>
      <c r="M316" s="127"/>
      <c r="RG316" s="6"/>
      <c r="RH316" s="6"/>
      <c r="RI316" s="6"/>
      <c r="RJ316" s="6"/>
      <c r="RK316" s="6"/>
      <c r="RL316" s="45"/>
      <c r="RM316" s="4"/>
      <c r="RN316" s="4"/>
      <c r="RO316" s="4"/>
      <c r="RP316" s="6"/>
    </row>
    <row r="317" spans="1:484" x14ac:dyDescent="0.25">
      <c r="A317" s="46"/>
      <c r="B317" s="47"/>
      <c r="C317" s="127"/>
      <c r="D317" s="127"/>
      <c r="E317" s="127"/>
      <c r="F317" s="127"/>
      <c r="G317" s="127"/>
      <c r="H317" s="127"/>
      <c r="I317" s="127"/>
      <c r="J317" s="127"/>
      <c r="K317" s="127"/>
      <c r="L317" s="127"/>
      <c r="M317" s="127"/>
      <c r="RG317" s="6"/>
      <c r="RH317" s="6"/>
      <c r="RI317" s="6"/>
      <c r="RJ317" s="6"/>
      <c r="RK317" s="6"/>
      <c r="RL317" s="45"/>
      <c r="RM317" s="4"/>
      <c r="RN317" s="4"/>
      <c r="RO317" s="4"/>
      <c r="RP317" s="6"/>
    </row>
    <row r="318" spans="1:484" x14ac:dyDescent="0.25">
      <c r="A318" s="46"/>
      <c r="B318" s="47"/>
      <c r="C318" s="127"/>
      <c r="D318" s="127"/>
      <c r="E318" s="127"/>
      <c r="F318" s="127"/>
      <c r="G318" s="127"/>
      <c r="H318" s="127"/>
      <c r="I318" s="127"/>
      <c r="J318" s="127"/>
      <c r="K318" s="127"/>
      <c r="L318" s="127"/>
      <c r="M318" s="127"/>
      <c r="RG318" s="6"/>
      <c r="RH318" s="6"/>
      <c r="RI318" s="6"/>
      <c r="RJ318" s="6"/>
      <c r="RK318" s="6"/>
      <c r="RL318" s="45"/>
      <c r="RM318" s="4"/>
      <c r="RN318" s="4"/>
      <c r="RO318" s="4"/>
      <c r="RP318" s="6"/>
    </row>
    <row r="319" spans="1:484" x14ac:dyDescent="0.25">
      <c r="A319" s="46"/>
      <c r="B319" s="47"/>
      <c r="C319" s="127"/>
      <c r="D319" s="127"/>
      <c r="E319" s="127"/>
      <c r="F319" s="127"/>
      <c r="G319" s="127"/>
      <c r="H319" s="127"/>
      <c r="I319" s="127"/>
      <c r="J319" s="127"/>
      <c r="K319" s="127"/>
      <c r="L319" s="127"/>
      <c r="M319" s="127"/>
      <c r="RG319" s="6"/>
      <c r="RH319" s="6"/>
      <c r="RI319" s="6"/>
      <c r="RJ319" s="6"/>
      <c r="RK319" s="6"/>
      <c r="RL319" s="45"/>
      <c r="RM319" s="4"/>
      <c r="RN319" s="4"/>
      <c r="RO319" s="4"/>
      <c r="RP319" s="6"/>
    </row>
    <row r="320" spans="1:484" x14ac:dyDescent="0.25">
      <c r="A320" s="46"/>
      <c r="B320" s="47"/>
      <c r="C320" s="127"/>
      <c r="D320" s="127"/>
      <c r="E320" s="127"/>
      <c r="F320" s="127"/>
      <c r="G320" s="127"/>
      <c r="H320" s="127"/>
      <c r="I320" s="127"/>
      <c r="J320" s="127"/>
      <c r="K320" s="127"/>
      <c r="L320" s="127"/>
      <c r="M320" s="127"/>
      <c r="RG320" s="6"/>
      <c r="RH320" s="6"/>
      <c r="RI320" s="6"/>
      <c r="RJ320" s="6"/>
      <c r="RK320" s="6"/>
      <c r="RL320" s="45"/>
      <c r="RM320" s="4"/>
      <c r="RN320" s="4"/>
      <c r="RO320" s="4"/>
      <c r="RP320" s="6"/>
    </row>
    <row r="321" spans="1:484" x14ac:dyDescent="0.25">
      <c r="A321" s="46"/>
      <c r="B321" s="47"/>
      <c r="C321" s="127"/>
      <c r="D321" s="127"/>
      <c r="E321" s="127"/>
      <c r="F321" s="127"/>
      <c r="G321" s="127"/>
      <c r="H321" s="127"/>
      <c r="I321" s="127"/>
      <c r="J321" s="127"/>
      <c r="K321" s="127"/>
      <c r="L321" s="127"/>
      <c r="M321" s="127"/>
      <c r="RG321" s="6"/>
      <c r="RH321" s="6"/>
      <c r="RI321" s="6"/>
      <c r="RJ321" s="6"/>
      <c r="RK321" s="6"/>
      <c r="RL321" s="45"/>
      <c r="RM321" s="4"/>
      <c r="RN321" s="4"/>
      <c r="RO321" s="4"/>
      <c r="RP321" s="6"/>
    </row>
    <row r="322" spans="1:484" x14ac:dyDescent="0.25">
      <c r="A322" s="46"/>
      <c r="B322" s="47"/>
      <c r="C322" s="127"/>
      <c r="D322" s="127"/>
      <c r="E322" s="127"/>
      <c r="F322" s="127"/>
      <c r="G322" s="127"/>
      <c r="H322" s="127"/>
      <c r="I322" s="127"/>
      <c r="J322" s="127"/>
      <c r="K322" s="127"/>
      <c r="L322" s="127"/>
      <c r="M322" s="127"/>
      <c r="RG322" s="6"/>
      <c r="RH322" s="6"/>
      <c r="RI322" s="6"/>
      <c r="RJ322" s="6"/>
      <c r="RK322" s="6"/>
      <c r="RL322" s="45"/>
      <c r="RM322" s="4"/>
      <c r="RN322" s="4"/>
      <c r="RO322" s="4"/>
      <c r="RP322" s="6"/>
    </row>
    <row r="323" spans="1:484" x14ac:dyDescent="0.25">
      <c r="A323" s="46"/>
      <c r="B323" s="4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RG323" s="6"/>
      <c r="RH323" s="6"/>
      <c r="RI323" s="6"/>
      <c r="RJ323" s="6"/>
      <c r="RK323" s="6"/>
      <c r="RL323" s="45"/>
      <c r="RM323" s="4"/>
      <c r="RN323" s="4"/>
      <c r="RO323" s="4"/>
      <c r="RP323" s="6"/>
    </row>
    <row r="324" spans="1:484" x14ac:dyDescent="0.25">
      <c r="A324" s="46"/>
      <c r="B324" s="47"/>
      <c r="C324" s="127"/>
      <c r="D324" s="127"/>
      <c r="E324" s="127"/>
      <c r="F324" s="127"/>
      <c r="G324" s="127"/>
      <c r="H324" s="127"/>
      <c r="I324" s="127"/>
      <c r="J324" s="127"/>
      <c r="K324" s="127"/>
      <c r="L324" s="127"/>
      <c r="M324" s="127"/>
      <c r="RG324" s="6"/>
      <c r="RH324" s="6"/>
      <c r="RI324" s="6"/>
      <c r="RJ324" s="6"/>
      <c r="RK324" s="6"/>
      <c r="RL324" s="45"/>
      <c r="RM324" s="4"/>
      <c r="RN324" s="4"/>
      <c r="RO324" s="4"/>
      <c r="RP324" s="6"/>
    </row>
    <row r="325" spans="1:484" x14ac:dyDescent="0.25">
      <c r="A325" s="46"/>
      <c r="B325" s="47"/>
      <c r="C325" s="127"/>
      <c r="D325" s="127"/>
      <c r="E325" s="127"/>
      <c r="F325" s="127"/>
      <c r="G325" s="127"/>
      <c r="H325" s="127"/>
      <c r="I325" s="127"/>
      <c r="J325" s="127"/>
      <c r="K325" s="127"/>
      <c r="L325" s="127"/>
      <c r="M325" s="127"/>
      <c r="RG325" s="6"/>
      <c r="RH325" s="6"/>
      <c r="RI325" s="6"/>
      <c r="RJ325" s="6"/>
      <c r="RK325" s="6"/>
      <c r="RL325" s="45"/>
      <c r="RM325" s="4"/>
      <c r="RN325" s="4"/>
      <c r="RO325" s="4"/>
      <c r="RP325" s="6"/>
    </row>
    <row r="326" spans="1:484" x14ac:dyDescent="0.25">
      <c r="A326" s="46"/>
      <c r="B326" s="47"/>
      <c r="C326" s="127"/>
      <c r="D326" s="127"/>
      <c r="E326" s="127"/>
      <c r="F326" s="127"/>
      <c r="G326" s="127"/>
      <c r="H326" s="127"/>
      <c r="I326" s="127"/>
      <c r="J326" s="127"/>
      <c r="K326" s="127"/>
      <c r="L326" s="127"/>
      <c r="M326" s="127"/>
      <c r="RG326" s="6"/>
      <c r="RH326" s="6"/>
      <c r="RI326" s="6"/>
      <c r="RJ326" s="6"/>
      <c r="RK326" s="6"/>
      <c r="RL326" s="45"/>
      <c r="RM326" s="4"/>
      <c r="RN326" s="4"/>
      <c r="RO326" s="4"/>
      <c r="RP326" s="6"/>
    </row>
    <row r="327" spans="1:484" x14ac:dyDescent="0.25">
      <c r="A327" s="46"/>
      <c r="B327" s="47"/>
      <c r="C327" s="127"/>
      <c r="D327" s="127"/>
      <c r="E327" s="127"/>
      <c r="F327" s="127"/>
      <c r="G327" s="127"/>
      <c r="H327" s="127"/>
      <c r="I327" s="127"/>
      <c r="J327" s="127"/>
      <c r="K327" s="127"/>
      <c r="L327" s="127"/>
      <c r="M327" s="127"/>
      <c r="RG327" s="6"/>
      <c r="RH327" s="6"/>
      <c r="RI327" s="6"/>
      <c r="RJ327" s="6"/>
      <c r="RK327" s="6"/>
      <c r="RL327" s="45"/>
      <c r="RM327" s="4"/>
      <c r="RN327" s="4"/>
      <c r="RO327" s="4"/>
      <c r="RP327" s="6"/>
    </row>
    <row r="328" spans="1:484" x14ac:dyDescent="0.25">
      <c r="A328" s="46"/>
      <c r="B328" s="47"/>
      <c r="C328" s="127"/>
      <c r="D328" s="127"/>
      <c r="E328" s="127"/>
      <c r="F328" s="127"/>
      <c r="G328" s="127"/>
      <c r="H328" s="127"/>
      <c r="I328" s="127"/>
      <c r="J328" s="127"/>
      <c r="K328" s="127"/>
      <c r="L328" s="127"/>
      <c r="M328" s="127"/>
      <c r="RG328" s="6"/>
      <c r="RH328" s="6"/>
      <c r="RI328" s="6"/>
      <c r="RJ328" s="6"/>
      <c r="RK328" s="6"/>
      <c r="RL328" s="45"/>
      <c r="RM328" s="4"/>
      <c r="RN328" s="4"/>
      <c r="RO328" s="4"/>
      <c r="RP328" s="6"/>
    </row>
    <row r="329" spans="1:484" x14ac:dyDescent="0.25">
      <c r="A329" s="46"/>
      <c r="B329" s="47"/>
      <c r="C329" s="127"/>
      <c r="D329" s="127"/>
      <c r="E329" s="127"/>
      <c r="F329" s="127"/>
      <c r="G329" s="127"/>
      <c r="H329" s="127"/>
      <c r="I329" s="127"/>
      <c r="J329" s="127"/>
      <c r="K329" s="127"/>
      <c r="L329" s="127"/>
      <c r="M329" s="127"/>
      <c r="RG329" s="6"/>
      <c r="RH329" s="6"/>
      <c r="RI329" s="6"/>
      <c r="RJ329" s="6"/>
      <c r="RK329" s="6"/>
      <c r="RL329" s="45"/>
      <c r="RM329" s="4"/>
      <c r="RN329" s="4"/>
      <c r="RO329" s="4"/>
      <c r="RP329" s="6"/>
    </row>
    <row r="330" spans="1:484" x14ac:dyDescent="0.25">
      <c r="A330" s="46"/>
      <c r="B330" s="47"/>
      <c r="C330" s="127"/>
      <c r="D330" s="127"/>
      <c r="E330" s="127"/>
      <c r="F330" s="127"/>
      <c r="G330" s="127"/>
      <c r="H330" s="127"/>
      <c r="I330" s="127"/>
      <c r="J330" s="127"/>
      <c r="K330" s="127"/>
      <c r="L330" s="127"/>
      <c r="M330" s="127"/>
      <c r="RG330" s="6"/>
      <c r="RH330" s="6"/>
      <c r="RI330" s="6"/>
      <c r="RJ330" s="6"/>
      <c r="RK330" s="6"/>
      <c r="RL330" s="45"/>
      <c r="RM330" s="4"/>
      <c r="RN330" s="4"/>
      <c r="RO330" s="4"/>
      <c r="RP330" s="6"/>
    </row>
    <row r="331" spans="1:484" x14ac:dyDescent="0.25">
      <c r="A331" s="46"/>
      <c r="B331" s="47"/>
      <c r="C331" s="127"/>
      <c r="D331" s="127"/>
      <c r="E331" s="127"/>
      <c r="F331" s="127"/>
      <c r="G331" s="127"/>
      <c r="H331" s="127"/>
      <c r="I331" s="127"/>
      <c r="J331" s="127"/>
      <c r="K331" s="127"/>
      <c r="L331" s="127"/>
      <c r="M331" s="127"/>
      <c r="RG331" s="6"/>
      <c r="RH331" s="6"/>
      <c r="RI331" s="6"/>
      <c r="RJ331" s="6"/>
      <c r="RK331" s="6"/>
      <c r="RL331" s="45"/>
      <c r="RM331" s="4"/>
      <c r="RN331" s="4"/>
      <c r="RO331" s="4"/>
      <c r="RP331" s="6"/>
    </row>
    <row r="332" spans="1:484" x14ac:dyDescent="0.25">
      <c r="A332" s="46"/>
      <c r="B332" s="47"/>
      <c r="C332" s="127"/>
      <c r="D332" s="127"/>
      <c r="E332" s="127"/>
      <c r="F332" s="127"/>
      <c r="G332" s="127"/>
      <c r="H332" s="127"/>
      <c r="I332" s="127"/>
      <c r="J332" s="127"/>
      <c r="K332" s="127"/>
      <c r="L332" s="127"/>
      <c r="M332" s="127"/>
      <c r="RG332" s="6"/>
      <c r="RH332" s="6"/>
      <c r="RI332" s="6"/>
      <c r="RJ332" s="6"/>
      <c r="RK332" s="6"/>
      <c r="RL332" s="45"/>
      <c r="RM332" s="4"/>
      <c r="RN332" s="4"/>
      <c r="RO332" s="4"/>
      <c r="RP332" s="6"/>
    </row>
    <row r="333" spans="1:484" x14ac:dyDescent="0.25">
      <c r="A333" s="46"/>
      <c r="B333" s="47"/>
      <c r="C333" s="127"/>
      <c r="D333" s="127"/>
      <c r="E333" s="127"/>
      <c r="F333" s="127"/>
      <c r="G333" s="127"/>
      <c r="H333" s="127"/>
      <c r="I333" s="127"/>
      <c r="J333" s="127"/>
      <c r="K333" s="127"/>
      <c r="L333" s="127"/>
      <c r="M333" s="127"/>
      <c r="RG333" s="6"/>
      <c r="RH333" s="6"/>
      <c r="RI333" s="6"/>
      <c r="RJ333" s="6"/>
      <c r="RK333" s="6"/>
      <c r="RL333" s="45"/>
      <c r="RM333" s="4"/>
      <c r="RN333" s="4"/>
      <c r="RO333" s="4"/>
      <c r="RP333" s="6"/>
    </row>
    <row r="334" spans="1:484" x14ac:dyDescent="0.25">
      <c r="A334" s="46"/>
      <c r="B334" s="47"/>
      <c r="C334" s="127"/>
      <c r="D334" s="127"/>
      <c r="E334" s="127"/>
      <c r="F334" s="127"/>
      <c r="G334" s="127"/>
      <c r="H334" s="127"/>
      <c r="I334" s="127"/>
      <c r="J334" s="127"/>
      <c r="K334" s="127"/>
      <c r="L334" s="127"/>
      <c r="M334" s="127"/>
      <c r="RG334" s="6"/>
      <c r="RH334" s="6"/>
      <c r="RI334" s="6"/>
      <c r="RJ334" s="6"/>
      <c r="RK334" s="6"/>
      <c r="RL334" s="45"/>
      <c r="RM334" s="4"/>
      <c r="RN334" s="4"/>
      <c r="RO334" s="4"/>
      <c r="RP334" s="6"/>
    </row>
    <row r="335" spans="1:484" x14ac:dyDescent="0.25">
      <c r="A335" s="46"/>
      <c r="B335" s="47"/>
      <c r="C335" s="127"/>
      <c r="D335" s="127"/>
      <c r="E335" s="127"/>
      <c r="F335" s="127"/>
      <c r="G335" s="127"/>
      <c r="H335" s="127"/>
      <c r="I335" s="127"/>
      <c r="J335" s="127"/>
      <c r="K335" s="127"/>
      <c r="L335" s="127"/>
      <c r="M335" s="127"/>
      <c r="RG335" s="6"/>
      <c r="RH335" s="6"/>
      <c r="RI335" s="6"/>
      <c r="RJ335" s="6"/>
      <c r="RK335" s="6"/>
      <c r="RL335" s="45"/>
      <c r="RM335" s="4"/>
      <c r="RN335" s="4"/>
      <c r="RO335" s="4"/>
      <c r="RP335" s="6"/>
    </row>
    <row r="336" spans="1:484" x14ac:dyDescent="0.25">
      <c r="A336" s="46"/>
      <c r="B336" s="47"/>
      <c r="C336" s="127"/>
      <c r="D336" s="127"/>
      <c r="E336" s="127"/>
      <c r="F336" s="127"/>
      <c r="G336" s="127"/>
      <c r="H336" s="127"/>
      <c r="I336" s="127"/>
      <c r="J336" s="127"/>
      <c r="K336" s="127"/>
      <c r="L336" s="127"/>
      <c r="M336" s="127"/>
      <c r="RG336" s="6"/>
      <c r="RH336" s="6"/>
      <c r="RI336" s="6"/>
      <c r="RJ336" s="6"/>
      <c r="RK336" s="6"/>
      <c r="RL336" s="45"/>
      <c r="RM336" s="4"/>
      <c r="RN336" s="4"/>
      <c r="RO336" s="4"/>
      <c r="RP336" s="6"/>
    </row>
    <row r="337" spans="1:484" x14ac:dyDescent="0.25">
      <c r="A337" s="46"/>
      <c r="B337" s="47"/>
      <c r="C337" s="127"/>
      <c r="D337" s="127"/>
      <c r="E337" s="127"/>
      <c r="F337" s="127"/>
      <c r="G337" s="127"/>
      <c r="H337" s="127"/>
      <c r="I337" s="127"/>
      <c r="J337" s="127"/>
      <c r="K337" s="127"/>
      <c r="L337" s="127"/>
      <c r="M337" s="127"/>
      <c r="RG337" s="6"/>
      <c r="RH337" s="6"/>
      <c r="RI337" s="6"/>
      <c r="RJ337" s="6"/>
      <c r="RK337" s="6"/>
      <c r="RL337" s="45"/>
      <c r="RM337" s="4"/>
      <c r="RN337" s="4"/>
      <c r="RO337" s="4"/>
      <c r="RP337" s="6"/>
    </row>
    <row r="338" spans="1:484" x14ac:dyDescent="0.25">
      <c r="A338" s="46"/>
      <c r="B338" s="4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RG338" s="6"/>
      <c r="RH338" s="6"/>
      <c r="RI338" s="6"/>
      <c r="RJ338" s="6"/>
      <c r="RK338" s="6"/>
      <c r="RL338" s="45"/>
      <c r="RM338" s="4"/>
      <c r="RN338" s="4"/>
      <c r="RO338" s="4"/>
      <c r="RP338" s="6"/>
    </row>
    <row r="339" spans="1:484" x14ac:dyDescent="0.25">
      <c r="A339" s="46"/>
      <c r="B339" s="47"/>
      <c r="C339" s="127"/>
      <c r="D339" s="127"/>
      <c r="E339" s="127"/>
      <c r="F339" s="127"/>
      <c r="G339" s="127"/>
      <c r="H339" s="127"/>
      <c r="I339" s="127"/>
      <c r="J339" s="127"/>
      <c r="K339" s="127"/>
      <c r="L339" s="127"/>
      <c r="M339" s="127"/>
      <c r="RG339" s="6"/>
      <c r="RH339" s="6"/>
      <c r="RI339" s="6"/>
      <c r="RJ339" s="6"/>
      <c r="RK339" s="6"/>
      <c r="RL339" s="45"/>
      <c r="RM339" s="4"/>
      <c r="RN339" s="4"/>
      <c r="RO339" s="4"/>
      <c r="RP339" s="6"/>
    </row>
    <row r="340" spans="1:484" x14ac:dyDescent="0.25">
      <c r="A340" s="46"/>
      <c r="B340" s="47"/>
      <c r="C340" s="127"/>
      <c r="D340" s="127"/>
      <c r="E340" s="127"/>
      <c r="F340" s="127"/>
      <c r="G340" s="127"/>
      <c r="H340" s="127"/>
      <c r="I340" s="127"/>
      <c r="J340" s="127"/>
      <c r="K340" s="127"/>
      <c r="L340" s="127"/>
      <c r="M340" s="127"/>
      <c r="RG340" s="6"/>
      <c r="RH340" s="6"/>
      <c r="RI340" s="6"/>
      <c r="RJ340" s="6"/>
      <c r="RK340" s="6"/>
      <c r="RL340" s="45"/>
      <c r="RM340" s="4"/>
      <c r="RN340" s="4"/>
      <c r="RO340" s="4"/>
      <c r="RP340" s="6"/>
    </row>
    <row r="341" spans="1:484" x14ac:dyDescent="0.25">
      <c r="A341" s="46"/>
      <c r="B341" s="47"/>
      <c r="C341" s="127"/>
      <c r="D341" s="127"/>
      <c r="E341" s="127"/>
      <c r="F341" s="127"/>
      <c r="G341" s="127"/>
      <c r="H341" s="127"/>
      <c r="I341" s="127"/>
      <c r="J341" s="127"/>
      <c r="K341" s="127"/>
      <c r="L341" s="127"/>
      <c r="M341" s="127"/>
      <c r="RG341" s="6"/>
      <c r="RH341" s="6"/>
      <c r="RI341" s="6"/>
      <c r="RJ341" s="6"/>
      <c r="RK341" s="6"/>
      <c r="RL341" s="45"/>
      <c r="RM341" s="4"/>
      <c r="RN341" s="4"/>
      <c r="RO341" s="4"/>
      <c r="RP341" s="6"/>
    </row>
    <row r="342" spans="1:484" x14ac:dyDescent="0.25">
      <c r="A342" s="46"/>
      <c r="B342" s="47"/>
      <c r="C342" s="127"/>
      <c r="D342" s="127"/>
      <c r="E342" s="127"/>
      <c r="F342" s="127"/>
      <c r="G342" s="127"/>
      <c r="H342" s="127"/>
      <c r="I342" s="127"/>
      <c r="J342" s="127"/>
      <c r="K342" s="127"/>
      <c r="L342" s="127"/>
      <c r="M342" s="127"/>
      <c r="RG342" s="6"/>
      <c r="RH342" s="6"/>
      <c r="RI342" s="6"/>
      <c r="RJ342" s="6"/>
      <c r="RK342" s="6"/>
      <c r="RL342" s="45"/>
      <c r="RM342" s="4"/>
      <c r="RN342" s="4"/>
      <c r="RO342" s="4"/>
      <c r="RP342" s="6"/>
    </row>
    <row r="343" spans="1:484" x14ac:dyDescent="0.25">
      <c r="A343" s="46"/>
      <c r="B343" s="47"/>
      <c r="C343" s="127"/>
      <c r="D343" s="127"/>
      <c r="E343" s="127"/>
      <c r="F343" s="127"/>
      <c r="G343" s="127"/>
      <c r="H343" s="127"/>
      <c r="I343" s="127"/>
      <c r="J343" s="127"/>
      <c r="K343" s="127"/>
      <c r="L343" s="127"/>
      <c r="M343" s="127"/>
      <c r="RG343" s="6"/>
      <c r="RH343" s="6"/>
      <c r="RI343" s="6"/>
      <c r="RJ343" s="6"/>
      <c r="RK343" s="6"/>
      <c r="RL343" s="45"/>
      <c r="RM343" s="4"/>
      <c r="RN343" s="4"/>
      <c r="RO343" s="4"/>
      <c r="RP343" s="6"/>
    </row>
    <row r="344" spans="1:484" x14ac:dyDescent="0.25">
      <c r="A344" s="46"/>
      <c r="B344" s="47"/>
      <c r="C344" s="127"/>
      <c r="D344" s="127"/>
      <c r="E344" s="127"/>
      <c r="F344" s="127"/>
      <c r="G344" s="127"/>
      <c r="H344" s="127"/>
      <c r="I344" s="127"/>
      <c r="J344" s="127"/>
      <c r="K344" s="127"/>
      <c r="L344" s="127"/>
      <c r="M344" s="127"/>
      <c r="RG344" s="6"/>
      <c r="RH344" s="6"/>
      <c r="RI344" s="6"/>
      <c r="RJ344" s="6"/>
      <c r="RK344" s="6"/>
      <c r="RL344" s="45"/>
      <c r="RM344" s="4"/>
      <c r="RN344" s="4"/>
      <c r="RO344" s="4"/>
      <c r="RP344" s="6"/>
    </row>
    <row r="345" spans="1:484" x14ac:dyDescent="0.25">
      <c r="A345" s="46"/>
      <c r="B345" s="47"/>
      <c r="C345" s="127"/>
      <c r="D345" s="127"/>
      <c r="E345" s="127"/>
      <c r="F345" s="127"/>
      <c r="G345" s="127"/>
      <c r="H345" s="127"/>
      <c r="I345" s="127"/>
      <c r="J345" s="127"/>
      <c r="K345" s="127"/>
      <c r="L345" s="127"/>
      <c r="M345" s="127"/>
      <c r="RG345" s="6"/>
      <c r="RH345" s="6"/>
      <c r="RI345" s="6"/>
      <c r="RJ345" s="6"/>
      <c r="RK345" s="6"/>
      <c r="RL345" s="45"/>
      <c r="RM345" s="4"/>
      <c r="RN345" s="4"/>
      <c r="RO345" s="4"/>
      <c r="RP345" s="6"/>
    </row>
    <row r="346" spans="1:484" x14ac:dyDescent="0.25">
      <c r="A346" s="46"/>
      <c r="B346" s="47"/>
      <c r="C346" s="127"/>
      <c r="D346" s="127"/>
      <c r="E346" s="127"/>
      <c r="F346" s="127"/>
      <c r="G346" s="127"/>
      <c r="H346" s="127"/>
      <c r="I346" s="127"/>
      <c r="J346" s="127"/>
      <c r="K346" s="127"/>
      <c r="L346" s="127"/>
      <c r="M346" s="127"/>
      <c r="RG346" s="6"/>
      <c r="RH346" s="6"/>
      <c r="RI346" s="6"/>
      <c r="RJ346" s="6"/>
      <c r="RK346" s="6"/>
      <c r="RL346" s="45"/>
      <c r="RM346" s="4"/>
      <c r="RN346" s="4"/>
      <c r="RO346" s="4"/>
      <c r="RP346" s="6"/>
    </row>
    <row r="347" spans="1:484" x14ac:dyDescent="0.25">
      <c r="A347" s="46"/>
      <c r="B347" s="47"/>
      <c r="C347" s="127"/>
      <c r="D347" s="127"/>
      <c r="E347" s="127"/>
      <c r="F347" s="127"/>
      <c r="G347" s="127"/>
      <c r="H347" s="127"/>
      <c r="I347" s="127"/>
      <c r="J347" s="127"/>
      <c r="K347" s="127"/>
      <c r="L347" s="127"/>
      <c r="M347" s="127"/>
      <c r="RG347" s="6"/>
      <c r="RH347" s="6"/>
      <c r="RI347" s="6"/>
      <c r="RJ347" s="6"/>
      <c r="RK347" s="6"/>
      <c r="RL347" s="45"/>
      <c r="RM347" s="4"/>
      <c r="RN347" s="4"/>
      <c r="RO347" s="4"/>
      <c r="RP347" s="6"/>
    </row>
    <row r="348" spans="1:484" x14ac:dyDescent="0.25">
      <c r="A348" s="46"/>
      <c r="B348" s="47"/>
      <c r="C348" s="127"/>
      <c r="D348" s="127"/>
      <c r="E348" s="127"/>
      <c r="F348" s="127"/>
      <c r="G348" s="127"/>
      <c r="H348" s="127"/>
      <c r="I348" s="127"/>
      <c r="J348" s="127"/>
      <c r="K348" s="127"/>
      <c r="L348" s="127"/>
      <c r="M348" s="127"/>
      <c r="RG348" s="6"/>
      <c r="RH348" s="6"/>
      <c r="RI348" s="6"/>
      <c r="RJ348" s="6"/>
      <c r="RK348" s="6"/>
      <c r="RL348" s="45"/>
      <c r="RM348" s="4"/>
      <c r="RN348" s="4"/>
      <c r="RO348" s="4"/>
      <c r="RP348" s="6"/>
    </row>
    <row r="349" spans="1:484" x14ac:dyDescent="0.25">
      <c r="A349" s="46"/>
      <c r="B349" s="47"/>
      <c r="C349" s="127"/>
      <c r="D349" s="127"/>
      <c r="E349" s="127"/>
      <c r="F349" s="127"/>
      <c r="G349" s="127"/>
      <c r="H349" s="127"/>
      <c r="I349" s="127"/>
      <c r="J349" s="127"/>
      <c r="K349" s="127"/>
      <c r="L349" s="127"/>
      <c r="M349" s="127"/>
      <c r="RG349" s="6"/>
      <c r="RH349" s="6"/>
      <c r="RI349" s="6"/>
      <c r="RJ349" s="6"/>
      <c r="RK349" s="6"/>
      <c r="RL349" s="45"/>
      <c r="RM349" s="4"/>
      <c r="RN349" s="4"/>
      <c r="RO349" s="4"/>
      <c r="RP349" s="6"/>
    </row>
    <row r="350" spans="1:484" x14ac:dyDescent="0.25">
      <c r="A350" s="46"/>
      <c r="B350" s="47"/>
      <c r="C350" s="127"/>
      <c r="D350" s="127"/>
      <c r="E350" s="127"/>
      <c r="F350" s="127"/>
      <c r="G350" s="127"/>
      <c r="H350" s="127"/>
      <c r="I350" s="127"/>
      <c r="J350" s="127"/>
      <c r="K350" s="127"/>
      <c r="L350" s="127"/>
      <c r="M350" s="127"/>
      <c r="RG350" s="6"/>
      <c r="RH350" s="6"/>
      <c r="RI350" s="6"/>
      <c r="RJ350" s="6"/>
      <c r="RK350" s="6"/>
      <c r="RL350" s="45"/>
      <c r="RM350" s="4"/>
      <c r="RN350" s="4"/>
      <c r="RO350" s="4"/>
      <c r="RP350" s="6"/>
    </row>
    <row r="351" spans="1:484" x14ac:dyDescent="0.25">
      <c r="A351" s="46"/>
      <c r="B351" s="47"/>
      <c r="C351" s="127"/>
      <c r="D351" s="127"/>
      <c r="E351" s="127"/>
      <c r="F351" s="127"/>
      <c r="G351" s="127"/>
      <c r="H351" s="127"/>
      <c r="I351" s="127"/>
      <c r="J351" s="127"/>
      <c r="K351" s="127"/>
      <c r="L351" s="127"/>
      <c r="M351" s="127"/>
      <c r="RG351" s="6"/>
      <c r="RH351" s="6"/>
      <c r="RI351" s="6"/>
      <c r="RJ351" s="6"/>
      <c r="RK351" s="6"/>
      <c r="RL351" s="45"/>
      <c r="RM351" s="4"/>
      <c r="RN351" s="4"/>
      <c r="RO351" s="4"/>
      <c r="RP351" s="6"/>
    </row>
    <row r="352" spans="1:484" x14ac:dyDescent="0.25">
      <c r="A352" s="46"/>
      <c r="B352" s="47"/>
      <c r="C352" s="127"/>
      <c r="D352" s="127"/>
      <c r="E352" s="127"/>
      <c r="F352" s="127"/>
      <c r="G352" s="127"/>
      <c r="H352" s="127"/>
      <c r="I352" s="127"/>
      <c r="J352" s="127"/>
      <c r="K352" s="127"/>
      <c r="L352" s="127"/>
      <c r="M352" s="127"/>
      <c r="RG352" s="6"/>
      <c r="RH352" s="6"/>
      <c r="RI352" s="6"/>
      <c r="RJ352" s="6"/>
      <c r="RK352" s="6"/>
      <c r="RL352" s="45"/>
      <c r="RM352" s="4"/>
      <c r="RN352" s="4"/>
      <c r="RO352" s="4"/>
      <c r="RP352" s="6"/>
    </row>
    <row r="353" spans="1:484" x14ac:dyDescent="0.25">
      <c r="A353" s="46"/>
      <c r="B353" s="4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RG353" s="6"/>
      <c r="RH353" s="6"/>
      <c r="RI353" s="6"/>
      <c r="RJ353" s="6"/>
      <c r="RK353" s="6"/>
      <c r="RL353" s="45"/>
      <c r="RM353" s="4"/>
      <c r="RN353" s="4"/>
      <c r="RO353" s="4"/>
      <c r="RP353" s="6"/>
    </row>
    <row r="354" spans="1:484" x14ac:dyDescent="0.25">
      <c r="A354" s="46"/>
      <c r="B354" s="47"/>
      <c r="C354" s="127"/>
      <c r="D354" s="127"/>
      <c r="E354" s="127"/>
      <c r="F354" s="127"/>
      <c r="G354" s="127"/>
      <c r="H354" s="127"/>
      <c r="I354" s="127"/>
      <c r="J354" s="127"/>
      <c r="K354" s="127"/>
      <c r="L354" s="127"/>
      <c r="M354" s="127"/>
      <c r="RG354" s="6"/>
      <c r="RH354" s="6"/>
      <c r="RI354" s="6"/>
      <c r="RJ354" s="6"/>
      <c r="RK354" s="6"/>
      <c r="RL354" s="45"/>
      <c r="RM354" s="4"/>
      <c r="RN354" s="4"/>
      <c r="RO354" s="4"/>
      <c r="RP354" s="6"/>
    </row>
    <row r="355" spans="1:484" x14ac:dyDescent="0.25">
      <c r="A355" s="46"/>
      <c r="B355" s="47"/>
      <c r="C355" s="127"/>
      <c r="D355" s="127"/>
      <c r="E355" s="127"/>
      <c r="F355" s="127"/>
      <c r="G355" s="127"/>
      <c r="H355" s="127"/>
      <c r="I355" s="127"/>
      <c r="J355" s="127"/>
      <c r="K355" s="127"/>
      <c r="L355" s="127"/>
      <c r="M355" s="127"/>
      <c r="RG355" s="6"/>
      <c r="RH355" s="6"/>
      <c r="RI355" s="6"/>
      <c r="RJ355" s="6"/>
      <c r="RK355" s="6"/>
      <c r="RL355" s="45"/>
      <c r="RM355" s="4"/>
      <c r="RN355" s="4"/>
      <c r="RO355" s="4"/>
      <c r="RP355" s="6"/>
    </row>
    <row r="356" spans="1:484" x14ac:dyDescent="0.25">
      <c r="A356" s="46"/>
      <c r="B356" s="47"/>
      <c r="C356" s="127"/>
      <c r="D356" s="127"/>
      <c r="E356" s="127"/>
      <c r="F356" s="127"/>
      <c r="G356" s="127"/>
      <c r="H356" s="127"/>
      <c r="I356" s="127"/>
      <c r="J356" s="127"/>
      <c r="K356" s="127"/>
      <c r="L356" s="127"/>
      <c r="M356" s="127"/>
      <c r="RG356" s="6"/>
      <c r="RH356" s="6"/>
      <c r="RI356" s="6"/>
      <c r="RJ356" s="6"/>
      <c r="RK356" s="6"/>
      <c r="RL356" s="45"/>
      <c r="RM356" s="4"/>
      <c r="RN356" s="4"/>
      <c r="RO356" s="4"/>
      <c r="RP356" s="6"/>
    </row>
    <row r="357" spans="1:484" x14ac:dyDescent="0.25">
      <c r="A357" s="46"/>
      <c r="B357" s="47"/>
      <c r="C357" s="127"/>
      <c r="D357" s="127"/>
      <c r="E357" s="127"/>
      <c r="F357" s="127"/>
      <c r="G357" s="127"/>
      <c r="H357" s="127"/>
      <c r="I357" s="127"/>
      <c r="J357" s="127"/>
      <c r="K357" s="127"/>
      <c r="L357" s="127"/>
      <c r="M357" s="127"/>
      <c r="RG357" s="6"/>
      <c r="RH357" s="6"/>
      <c r="RI357" s="6"/>
      <c r="RJ357" s="6"/>
      <c r="RK357" s="6"/>
      <c r="RL357" s="45"/>
      <c r="RM357" s="4"/>
      <c r="RN357" s="4"/>
      <c r="RO357" s="4"/>
      <c r="RP357" s="6"/>
    </row>
    <row r="358" spans="1:484" x14ac:dyDescent="0.25">
      <c r="A358" s="46"/>
      <c r="B358" s="47"/>
      <c r="C358" s="127"/>
      <c r="D358" s="127"/>
      <c r="E358" s="127"/>
      <c r="F358" s="127"/>
      <c r="G358" s="127"/>
      <c r="H358" s="127"/>
      <c r="I358" s="127"/>
      <c r="J358" s="127"/>
      <c r="K358" s="127"/>
      <c r="L358" s="127"/>
      <c r="M358" s="127"/>
      <c r="RG358" s="6"/>
      <c r="RH358" s="6"/>
      <c r="RI358" s="6"/>
      <c r="RJ358" s="6"/>
      <c r="RK358" s="6"/>
      <c r="RL358" s="45"/>
      <c r="RM358" s="4"/>
      <c r="RN358" s="4"/>
      <c r="RO358" s="4"/>
      <c r="RP358" s="6"/>
    </row>
    <row r="359" spans="1:484" x14ac:dyDescent="0.25">
      <c r="A359" s="46"/>
      <c r="B359" s="47"/>
      <c r="C359" s="127"/>
      <c r="D359" s="127"/>
      <c r="E359" s="127"/>
      <c r="F359" s="127"/>
      <c r="G359" s="127"/>
      <c r="H359" s="127"/>
      <c r="I359" s="127"/>
      <c r="J359" s="127"/>
      <c r="K359" s="127"/>
      <c r="L359" s="127"/>
      <c r="M359" s="127"/>
      <c r="RG359" s="6"/>
      <c r="RH359" s="6"/>
      <c r="RI359" s="6"/>
      <c r="RJ359" s="6"/>
      <c r="RK359" s="6"/>
      <c r="RL359" s="45"/>
      <c r="RM359" s="4"/>
      <c r="RN359" s="4"/>
      <c r="RO359" s="4"/>
      <c r="RP359" s="6"/>
    </row>
    <row r="360" spans="1:484" x14ac:dyDescent="0.25">
      <c r="A360" s="46"/>
      <c r="B360" s="47"/>
      <c r="C360" s="127"/>
      <c r="D360" s="127"/>
      <c r="E360" s="127"/>
      <c r="F360" s="127"/>
      <c r="G360" s="127"/>
      <c r="H360" s="127"/>
      <c r="I360" s="127"/>
      <c r="J360" s="127"/>
      <c r="K360" s="127"/>
      <c r="L360" s="127"/>
      <c r="M360" s="127"/>
      <c r="RG360" s="6"/>
      <c r="RH360" s="6"/>
      <c r="RI360" s="6"/>
      <c r="RJ360" s="6"/>
      <c r="RK360" s="6"/>
      <c r="RL360" s="45"/>
      <c r="RM360" s="4"/>
      <c r="RN360" s="4"/>
      <c r="RO360" s="4"/>
      <c r="RP360" s="6"/>
    </row>
    <row r="361" spans="1:484" x14ac:dyDescent="0.25">
      <c r="A361" s="46"/>
      <c r="B361" s="47"/>
      <c r="C361" s="127"/>
      <c r="D361" s="127"/>
      <c r="E361" s="127"/>
      <c r="F361" s="127"/>
      <c r="G361" s="127"/>
      <c r="H361" s="127"/>
      <c r="I361" s="127"/>
      <c r="J361" s="127"/>
      <c r="K361" s="127"/>
      <c r="L361" s="127"/>
      <c r="M361" s="127"/>
      <c r="RG361" s="6"/>
      <c r="RH361" s="6"/>
      <c r="RI361" s="6"/>
      <c r="RJ361" s="6"/>
      <c r="RK361" s="6"/>
      <c r="RL361" s="45"/>
      <c r="RM361" s="4"/>
      <c r="RN361" s="4"/>
      <c r="RO361" s="4"/>
      <c r="RP361" s="6"/>
    </row>
    <row r="362" spans="1:484" x14ac:dyDescent="0.25">
      <c r="A362" s="46"/>
      <c r="B362" s="47"/>
      <c r="C362" s="127"/>
      <c r="D362" s="127"/>
      <c r="E362" s="127"/>
      <c r="F362" s="127"/>
      <c r="G362" s="127"/>
      <c r="H362" s="127"/>
      <c r="I362" s="127"/>
      <c r="J362" s="127"/>
      <c r="K362" s="127"/>
      <c r="L362" s="127"/>
      <c r="M362" s="127"/>
      <c r="RG362" s="6"/>
      <c r="RH362" s="6"/>
      <c r="RI362" s="6"/>
      <c r="RJ362" s="6"/>
      <c r="RK362" s="6"/>
      <c r="RL362" s="45"/>
      <c r="RM362" s="4"/>
      <c r="RN362" s="4"/>
      <c r="RO362" s="4"/>
      <c r="RP362" s="6"/>
    </row>
    <row r="363" spans="1:484" x14ac:dyDescent="0.25">
      <c r="A363" s="46"/>
      <c r="B363" s="47"/>
      <c r="C363" s="127"/>
      <c r="D363" s="127"/>
      <c r="E363" s="127"/>
      <c r="F363" s="127"/>
      <c r="G363" s="127"/>
      <c r="H363" s="127"/>
      <c r="I363" s="127"/>
      <c r="J363" s="127"/>
      <c r="K363" s="127"/>
      <c r="L363" s="127"/>
      <c r="M363" s="127"/>
      <c r="RG363" s="6"/>
      <c r="RH363" s="6"/>
      <c r="RI363" s="6"/>
      <c r="RJ363" s="6"/>
      <c r="RK363" s="6"/>
      <c r="RL363" s="45"/>
      <c r="RM363" s="4"/>
      <c r="RN363" s="4"/>
      <c r="RO363" s="4"/>
      <c r="RP363" s="6"/>
    </row>
    <row r="364" spans="1:484" x14ac:dyDescent="0.25">
      <c r="A364" s="46"/>
      <c r="B364" s="47"/>
      <c r="C364" s="127"/>
      <c r="D364" s="127"/>
      <c r="E364" s="127"/>
      <c r="F364" s="127"/>
      <c r="G364" s="127"/>
      <c r="H364" s="127"/>
      <c r="I364" s="127"/>
      <c r="J364" s="127"/>
      <c r="K364" s="127"/>
      <c r="L364" s="127"/>
      <c r="M364" s="127"/>
      <c r="RG364" s="6"/>
      <c r="RH364" s="6"/>
      <c r="RI364" s="6"/>
      <c r="RJ364" s="6"/>
      <c r="RK364" s="6"/>
      <c r="RL364" s="45"/>
      <c r="RM364" s="4"/>
      <c r="RN364" s="4"/>
      <c r="RO364" s="4"/>
      <c r="RP364" s="6"/>
    </row>
    <row r="365" spans="1:484" x14ac:dyDescent="0.25">
      <c r="A365" s="46"/>
      <c r="B365" s="47"/>
      <c r="C365" s="127"/>
      <c r="D365" s="127"/>
      <c r="E365" s="127"/>
      <c r="F365" s="127"/>
      <c r="G365" s="127"/>
      <c r="H365" s="127"/>
      <c r="I365" s="127"/>
      <c r="J365" s="127"/>
      <c r="K365" s="127"/>
      <c r="L365" s="127"/>
      <c r="M365" s="127"/>
      <c r="RG365" s="6"/>
      <c r="RH365" s="6"/>
      <c r="RI365" s="6"/>
      <c r="RJ365" s="6"/>
      <c r="RK365" s="6"/>
      <c r="RL365" s="45"/>
      <c r="RM365" s="4"/>
      <c r="RN365" s="4"/>
      <c r="RO365" s="4"/>
      <c r="RP365" s="6"/>
    </row>
    <row r="366" spans="1:484" x14ac:dyDescent="0.25">
      <c r="A366" s="46"/>
      <c r="B366" s="47"/>
      <c r="C366" s="127"/>
      <c r="D366" s="127"/>
      <c r="E366" s="127"/>
      <c r="F366" s="127"/>
      <c r="G366" s="127"/>
      <c r="H366" s="127"/>
      <c r="I366" s="127"/>
      <c r="J366" s="127"/>
      <c r="K366" s="127"/>
      <c r="L366" s="127"/>
      <c r="M366" s="127"/>
      <c r="RG366" s="6"/>
      <c r="RH366" s="6"/>
      <c r="RI366" s="6"/>
      <c r="RJ366" s="6"/>
      <c r="RK366" s="6"/>
      <c r="RL366" s="45"/>
      <c r="RM366" s="4"/>
      <c r="RN366" s="4"/>
      <c r="RO366" s="4"/>
      <c r="RP366" s="6"/>
    </row>
    <row r="367" spans="1:484" x14ac:dyDescent="0.25">
      <c r="A367" s="46"/>
      <c r="B367" s="47"/>
      <c r="C367" s="127"/>
      <c r="D367" s="127"/>
      <c r="E367" s="127"/>
      <c r="F367" s="127"/>
      <c r="G367" s="127"/>
      <c r="H367" s="127"/>
      <c r="I367" s="127"/>
      <c r="J367" s="127"/>
      <c r="K367" s="127"/>
      <c r="L367" s="127"/>
      <c r="M367" s="127"/>
      <c r="RG367" s="6"/>
      <c r="RH367" s="6"/>
      <c r="RI367" s="6"/>
      <c r="RJ367" s="6"/>
      <c r="RK367" s="6"/>
      <c r="RL367" s="45"/>
      <c r="RM367" s="4"/>
      <c r="RN367" s="4"/>
      <c r="RO367" s="4"/>
      <c r="RP367" s="6"/>
    </row>
    <row r="368" spans="1:484" x14ac:dyDescent="0.25">
      <c r="A368" s="46"/>
      <c r="B368" s="4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RG368" s="6"/>
      <c r="RH368" s="6"/>
      <c r="RI368" s="6"/>
      <c r="RJ368" s="6"/>
      <c r="RK368" s="6"/>
      <c r="RL368" s="45"/>
      <c r="RM368" s="4"/>
      <c r="RN368" s="4"/>
      <c r="RO368" s="4"/>
      <c r="RP368" s="6"/>
    </row>
    <row r="369" spans="1:484" x14ac:dyDescent="0.25">
      <c r="A369" s="46"/>
      <c r="B369" s="47"/>
      <c r="C369" s="127"/>
      <c r="D369" s="127"/>
      <c r="E369" s="127"/>
      <c r="F369" s="127"/>
      <c r="G369" s="127"/>
      <c r="H369" s="127"/>
      <c r="I369" s="127"/>
      <c r="J369" s="127"/>
      <c r="K369" s="127"/>
      <c r="L369" s="127"/>
      <c r="M369" s="127"/>
      <c r="RG369" s="6"/>
      <c r="RH369" s="6"/>
      <c r="RI369" s="6"/>
      <c r="RJ369" s="6"/>
      <c r="RK369" s="6"/>
      <c r="RL369" s="45"/>
      <c r="RM369" s="4"/>
      <c r="RN369" s="4"/>
      <c r="RO369" s="4"/>
      <c r="RP369" s="6"/>
    </row>
    <row r="370" spans="1:484" x14ac:dyDescent="0.25">
      <c r="A370" s="46"/>
      <c r="B370" s="47"/>
      <c r="C370" s="127"/>
      <c r="D370" s="127"/>
      <c r="E370" s="127"/>
      <c r="F370" s="127"/>
      <c r="G370" s="127"/>
      <c r="H370" s="127"/>
      <c r="I370" s="127"/>
      <c r="J370" s="127"/>
      <c r="K370" s="127"/>
      <c r="L370" s="127"/>
      <c r="M370" s="127"/>
      <c r="RG370" s="6"/>
      <c r="RH370" s="6"/>
      <c r="RI370" s="6"/>
      <c r="RJ370" s="6"/>
      <c r="RK370" s="6"/>
      <c r="RL370" s="45"/>
      <c r="RM370" s="4"/>
      <c r="RN370" s="4"/>
      <c r="RO370" s="4"/>
      <c r="RP370" s="6"/>
    </row>
    <row r="371" spans="1:484" x14ac:dyDescent="0.25">
      <c r="A371" s="46"/>
      <c r="B371" s="47"/>
      <c r="C371" s="127"/>
      <c r="D371" s="127"/>
      <c r="E371" s="127"/>
      <c r="F371" s="127"/>
      <c r="G371" s="127"/>
      <c r="H371" s="127"/>
      <c r="I371" s="127"/>
      <c r="J371" s="127"/>
      <c r="K371" s="127"/>
      <c r="L371" s="127"/>
      <c r="M371" s="127"/>
      <c r="RG371" s="6"/>
      <c r="RH371" s="6"/>
      <c r="RI371" s="6"/>
      <c r="RJ371" s="6"/>
      <c r="RK371" s="6"/>
      <c r="RL371" s="45"/>
      <c r="RM371" s="4"/>
      <c r="RN371" s="4"/>
      <c r="RO371" s="4"/>
      <c r="RP371" s="6"/>
    </row>
    <row r="372" spans="1:484" x14ac:dyDescent="0.25">
      <c r="A372" s="46"/>
      <c r="B372" s="47"/>
      <c r="C372" s="127"/>
      <c r="D372" s="127"/>
      <c r="E372" s="127"/>
      <c r="F372" s="127"/>
      <c r="G372" s="127"/>
      <c r="H372" s="127"/>
      <c r="I372" s="127"/>
      <c r="J372" s="127"/>
      <c r="K372" s="127"/>
      <c r="L372" s="127"/>
      <c r="M372" s="127"/>
      <c r="RG372" s="6"/>
      <c r="RH372" s="6"/>
      <c r="RI372" s="6"/>
      <c r="RJ372" s="6"/>
      <c r="RK372" s="6"/>
      <c r="RL372" s="45"/>
      <c r="RM372" s="4"/>
      <c r="RN372" s="4"/>
      <c r="RO372" s="4"/>
      <c r="RP372" s="6"/>
    </row>
    <row r="373" spans="1:484" x14ac:dyDescent="0.25">
      <c r="A373" s="46"/>
      <c r="B373" s="47"/>
      <c r="C373" s="127"/>
      <c r="D373" s="127"/>
      <c r="E373" s="127"/>
      <c r="F373" s="127"/>
      <c r="G373" s="127"/>
      <c r="H373" s="127"/>
      <c r="I373" s="127"/>
      <c r="J373" s="127"/>
      <c r="K373" s="127"/>
      <c r="L373" s="127"/>
      <c r="M373" s="127"/>
      <c r="RG373" s="6"/>
      <c r="RH373" s="6"/>
      <c r="RI373" s="6"/>
      <c r="RJ373" s="6"/>
      <c r="RK373" s="6"/>
      <c r="RL373" s="45"/>
      <c r="RM373" s="4"/>
      <c r="RN373" s="4"/>
      <c r="RO373" s="4"/>
      <c r="RP373" s="6"/>
    </row>
    <row r="374" spans="1:484" x14ac:dyDescent="0.25">
      <c r="A374" s="46"/>
      <c r="B374" s="47"/>
      <c r="C374" s="127"/>
      <c r="D374" s="127"/>
      <c r="E374" s="127"/>
      <c r="F374" s="127"/>
      <c r="G374" s="127"/>
      <c r="H374" s="127"/>
      <c r="I374" s="127"/>
      <c r="J374" s="127"/>
      <c r="K374" s="127"/>
      <c r="L374" s="127"/>
      <c r="M374" s="127"/>
      <c r="RG374" s="6"/>
      <c r="RH374" s="6"/>
      <c r="RI374" s="6"/>
      <c r="RJ374" s="6"/>
      <c r="RK374" s="6"/>
      <c r="RL374" s="45"/>
      <c r="RM374" s="4"/>
      <c r="RN374" s="4"/>
      <c r="RO374" s="4"/>
      <c r="RP374" s="6"/>
    </row>
    <row r="375" spans="1:484" x14ac:dyDescent="0.25">
      <c r="A375" s="46"/>
      <c r="B375" s="47"/>
      <c r="C375" s="127"/>
      <c r="D375" s="127"/>
      <c r="E375" s="127"/>
      <c r="F375" s="127"/>
      <c r="G375" s="127"/>
      <c r="H375" s="127"/>
      <c r="I375" s="127"/>
      <c r="J375" s="127"/>
      <c r="K375" s="127"/>
      <c r="L375" s="127"/>
      <c r="M375" s="127"/>
      <c r="RG375" s="6"/>
      <c r="RH375" s="6"/>
      <c r="RI375" s="6"/>
      <c r="RJ375" s="6"/>
      <c r="RK375" s="6"/>
      <c r="RL375" s="45"/>
      <c r="RM375" s="4"/>
      <c r="RN375" s="4"/>
      <c r="RO375" s="4"/>
      <c r="RP375" s="6"/>
    </row>
    <row r="376" spans="1:484" x14ac:dyDescent="0.25">
      <c r="A376" s="46"/>
      <c r="B376" s="47"/>
      <c r="C376" s="127"/>
      <c r="D376" s="127"/>
      <c r="E376" s="127"/>
      <c r="F376" s="127"/>
      <c r="G376" s="127"/>
      <c r="H376" s="127"/>
      <c r="I376" s="127"/>
      <c r="J376" s="127"/>
      <c r="K376" s="127"/>
      <c r="L376" s="127"/>
      <c r="M376" s="127"/>
      <c r="RG376" s="6"/>
      <c r="RH376" s="6"/>
      <c r="RI376" s="6"/>
      <c r="RJ376" s="6"/>
      <c r="RK376" s="6"/>
      <c r="RL376" s="45"/>
      <c r="RM376" s="4"/>
      <c r="RN376" s="4"/>
      <c r="RO376" s="4"/>
      <c r="RP376" s="6"/>
    </row>
    <row r="377" spans="1:484" x14ac:dyDescent="0.25">
      <c r="A377" s="46"/>
      <c r="B377" s="47"/>
      <c r="C377" s="127"/>
      <c r="D377" s="127"/>
      <c r="E377" s="127"/>
      <c r="F377" s="127"/>
      <c r="G377" s="127"/>
      <c r="H377" s="127"/>
      <c r="I377" s="127"/>
      <c r="J377" s="127"/>
      <c r="K377" s="127"/>
      <c r="L377" s="127"/>
      <c r="M377" s="127"/>
      <c r="RG377" s="6"/>
      <c r="RH377" s="6"/>
      <c r="RI377" s="6"/>
      <c r="RJ377" s="6"/>
      <c r="RK377" s="6"/>
      <c r="RL377" s="45"/>
      <c r="RM377" s="4"/>
      <c r="RN377" s="4"/>
      <c r="RO377" s="4"/>
      <c r="RP377" s="6"/>
    </row>
    <row r="378" spans="1:484" x14ac:dyDescent="0.25">
      <c r="A378" s="46"/>
      <c r="B378" s="47"/>
      <c r="C378" s="127"/>
      <c r="D378" s="127"/>
      <c r="E378" s="127"/>
      <c r="F378" s="127"/>
      <c r="G378" s="127"/>
      <c r="H378" s="127"/>
      <c r="I378" s="127"/>
      <c r="J378" s="127"/>
      <c r="K378" s="127"/>
      <c r="L378" s="127"/>
      <c r="M378" s="127"/>
      <c r="RG378" s="6"/>
      <c r="RH378" s="6"/>
      <c r="RI378" s="6"/>
      <c r="RJ378" s="6"/>
      <c r="RK378" s="6"/>
      <c r="RL378" s="45"/>
      <c r="RM378" s="4"/>
      <c r="RN378" s="4"/>
      <c r="RO378" s="4"/>
      <c r="RP378" s="6"/>
    </row>
    <row r="379" spans="1:484" x14ac:dyDescent="0.25">
      <c r="A379" s="46"/>
      <c r="B379" s="47"/>
      <c r="C379" s="127"/>
      <c r="D379" s="127"/>
      <c r="E379" s="127"/>
      <c r="F379" s="127"/>
      <c r="G379" s="127"/>
      <c r="H379" s="127"/>
      <c r="I379" s="127"/>
      <c r="J379" s="127"/>
      <c r="K379" s="127"/>
      <c r="L379" s="127"/>
      <c r="M379" s="127"/>
      <c r="RG379" s="6"/>
      <c r="RH379" s="6"/>
      <c r="RI379" s="6"/>
      <c r="RJ379" s="6"/>
      <c r="RK379" s="6"/>
      <c r="RL379" s="45"/>
      <c r="RM379" s="4"/>
      <c r="RN379" s="4"/>
      <c r="RO379" s="4"/>
      <c r="RP379" s="6"/>
    </row>
    <row r="380" spans="1:484" x14ac:dyDescent="0.25">
      <c r="A380" s="46"/>
      <c r="B380" s="47"/>
      <c r="C380" s="127"/>
      <c r="D380" s="127"/>
      <c r="E380" s="127"/>
      <c r="F380" s="127"/>
      <c r="G380" s="127"/>
      <c r="H380" s="127"/>
      <c r="I380" s="127"/>
      <c r="J380" s="127"/>
      <c r="K380" s="127"/>
      <c r="L380" s="127"/>
      <c r="M380" s="127"/>
      <c r="RG380" s="6"/>
      <c r="RH380" s="6"/>
      <c r="RI380" s="6"/>
      <c r="RJ380" s="6"/>
      <c r="RK380" s="6"/>
      <c r="RL380" s="45"/>
      <c r="RM380" s="4"/>
      <c r="RN380" s="4"/>
      <c r="RO380" s="4"/>
      <c r="RP380" s="6"/>
    </row>
    <row r="381" spans="1:484" x14ac:dyDescent="0.25">
      <c r="A381" s="46"/>
      <c r="B381" s="47"/>
      <c r="C381" s="127"/>
      <c r="D381" s="127"/>
      <c r="E381" s="127"/>
      <c r="F381" s="127"/>
      <c r="G381" s="127"/>
      <c r="H381" s="127"/>
      <c r="I381" s="127"/>
      <c r="J381" s="127"/>
      <c r="K381" s="127"/>
      <c r="L381" s="127"/>
      <c r="M381" s="127"/>
      <c r="RG381" s="6"/>
      <c r="RH381" s="6"/>
      <c r="RI381" s="6"/>
      <c r="RJ381" s="6"/>
      <c r="RK381" s="6"/>
      <c r="RL381" s="45"/>
      <c r="RM381" s="4"/>
      <c r="RN381" s="4"/>
      <c r="RO381" s="4"/>
      <c r="RP381" s="6"/>
    </row>
    <row r="382" spans="1:484" x14ac:dyDescent="0.25">
      <c r="A382" s="46"/>
      <c r="B382" s="47"/>
      <c r="C382" s="127"/>
      <c r="D382" s="127"/>
      <c r="E382" s="127"/>
      <c r="F382" s="127"/>
      <c r="G382" s="127"/>
      <c r="H382" s="127"/>
      <c r="I382" s="127"/>
      <c r="J382" s="127"/>
      <c r="K382" s="127"/>
      <c r="L382" s="127"/>
      <c r="M382" s="127"/>
      <c r="RG382" s="6"/>
      <c r="RH382" s="6"/>
      <c r="RI382" s="6"/>
      <c r="RJ382" s="6"/>
      <c r="RK382" s="6"/>
      <c r="RL382" s="45"/>
      <c r="RM382" s="4"/>
      <c r="RN382" s="4"/>
      <c r="RO382" s="4"/>
      <c r="RP382" s="6"/>
    </row>
    <row r="383" spans="1:484" x14ac:dyDescent="0.25">
      <c r="A383" s="46"/>
      <c r="B383" s="4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RG383" s="6"/>
      <c r="RH383" s="6"/>
      <c r="RI383" s="6"/>
      <c r="RJ383" s="6"/>
      <c r="RK383" s="6"/>
      <c r="RL383" s="45"/>
      <c r="RM383" s="4"/>
      <c r="RN383" s="4"/>
      <c r="RO383" s="4"/>
      <c r="RP383" s="6"/>
    </row>
    <row r="384" spans="1:484" x14ac:dyDescent="0.25">
      <c r="A384" s="46"/>
      <c r="B384" s="47"/>
      <c r="C384" s="127"/>
      <c r="D384" s="127"/>
      <c r="E384" s="127"/>
      <c r="F384" s="127"/>
      <c r="G384" s="127"/>
      <c r="H384" s="127"/>
      <c r="I384" s="127"/>
      <c r="J384" s="127"/>
      <c r="K384" s="127"/>
      <c r="L384" s="127"/>
      <c r="M384" s="127"/>
      <c r="RG384" s="6"/>
      <c r="RH384" s="6"/>
      <c r="RI384" s="6"/>
      <c r="RJ384" s="6"/>
      <c r="RK384" s="6"/>
      <c r="RL384" s="45"/>
      <c r="RM384" s="4"/>
      <c r="RN384" s="4"/>
      <c r="RO384" s="4"/>
      <c r="RP384" s="6"/>
    </row>
    <row r="385" spans="1:484" x14ac:dyDescent="0.25">
      <c r="A385" s="46"/>
      <c r="B385" s="47"/>
      <c r="C385" s="127"/>
      <c r="D385" s="127"/>
      <c r="E385" s="127"/>
      <c r="F385" s="127"/>
      <c r="G385" s="127"/>
      <c r="H385" s="127"/>
      <c r="I385" s="127"/>
      <c r="J385" s="127"/>
      <c r="K385" s="127"/>
      <c r="L385" s="127"/>
      <c r="M385" s="127"/>
      <c r="RG385" s="6"/>
      <c r="RH385" s="6"/>
      <c r="RI385" s="6"/>
      <c r="RJ385" s="6"/>
      <c r="RK385" s="6"/>
      <c r="RL385" s="45"/>
      <c r="RM385" s="4"/>
      <c r="RN385" s="4"/>
      <c r="RO385" s="4"/>
      <c r="RP385" s="6"/>
    </row>
    <row r="386" spans="1:484" x14ac:dyDescent="0.25">
      <c r="A386" s="46"/>
      <c r="B386" s="47"/>
      <c r="C386" s="127"/>
      <c r="D386" s="127"/>
      <c r="E386" s="127"/>
      <c r="F386" s="127"/>
      <c r="G386" s="127"/>
      <c r="H386" s="127"/>
      <c r="I386" s="127"/>
      <c r="J386" s="127"/>
      <c r="K386" s="127"/>
      <c r="L386" s="127"/>
      <c r="M386" s="127"/>
      <c r="RG386" s="6"/>
      <c r="RH386" s="6"/>
      <c r="RI386" s="6"/>
      <c r="RJ386" s="6"/>
      <c r="RK386" s="6"/>
      <c r="RL386" s="45"/>
      <c r="RM386" s="4"/>
      <c r="RN386" s="4"/>
      <c r="RO386" s="4"/>
      <c r="RP386" s="6"/>
    </row>
    <row r="387" spans="1:484" x14ac:dyDescent="0.25">
      <c r="A387" s="46"/>
      <c r="B387" s="47"/>
      <c r="C387" s="127"/>
      <c r="D387" s="127"/>
      <c r="E387" s="127"/>
      <c r="F387" s="127"/>
      <c r="G387" s="127"/>
      <c r="H387" s="127"/>
      <c r="I387" s="127"/>
      <c r="J387" s="127"/>
      <c r="K387" s="127"/>
      <c r="L387" s="127"/>
      <c r="M387" s="127"/>
      <c r="RG387" s="6"/>
      <c r="RH387" s="6"/>
      <c r="RI387" s="6"/>
      <c r="RJ387" s="6"/>
      <c r="RK387" s="6"/>
      <c r="RL387" s="45"/>
      <c r="RM387" s="4"/>
      <c r="RN387" s="4"/>
      <c r="RO387" s="4"/>
      <c r="RP387" s="6"/>
    </row>
    <row r="388" spans="1:484" x14ac:dyDescent="0.25">
      <c r="A388" s="46"/>
      <c r="B388" s="47"/>
      <c r="C388" s="127"/>
      <c r="D388" s="127"/>
      <c r="E388" s="127"/>
      <c r="F388" s="127"/>
      <c r="G388" s="127"/>
      <c r="H388" s="127"/>
      <c r="I388" s="127"/>
      <c r="J388" s="127"/>
      <c r="K388" s="127"/>
      <c r="L388" s="127"/>
      <c r="M388" s="127"/>
      <c r="RG388" s="6"/>
      <c r="RH388" s="6"/>
      <c r="RI388" s="6"/>
      <c r="RJ388" s="6"/>
      <c r="RK388" s="6"/>
      <c r="RL388" s="45"/>
      <c r="RM388" s="4"/>
      <c r="RN388" s="4"/>
      <c r="RO388" s="4"/>
      <c r="RP388" s="6"/>
    </row>
    <row r="389" spans="1:484" x14ac:dyDescent="0.25">
      <c r="A389" s="46"/>
      <c r="B389" s="47"/>
      <c r="C389" s="127"/>
      <c r="D389" s="127"/>
      <c r="E389" s="127"/>
      <c r="F389" s="127"/>
      <c r="G389" s="127"/>
      <c r="H389" s="127"/>
      <c r="I389" s="127"/>
      <c r="J389" s="127"/>
      <c r="K389" s="127"/>
      <c r="L389" s="127"/>
      <c r="M389" s="127"/>
      <c r="RG389" s="6"/>
      <c r="RH389" s="6"/>
      <c r="RI389" s="6"/>
      <c r="RJ389" s="6"/>
      <c r="RK389" s="6"/>
      <c r="RL389" s="45"/>
      <c r="RM389" s="4"/>
      <c r="RN389" s="4"/>
      <c r="RO389" s="4"/>
      <c r="RP389" s="6"/>
    </row>
    <row r="390" spans="1:484" x14ac:dyDescent="0.25">
      <c r="A390" s="46"/>
      <c r="B390" s="47"/>
      <c r="C390" s="127"/>
      <c r="D390" s="127"/>
      <c r="E390" s="127"/>
      <c r="F390" s="127"/>
      <c r="G390" s="127"/>
      <c r="H390" s="127"/>
      <c r="I390" s="127"/>
      <c r="J390" s="127"/>
      <c r="K390" s="127"/>
      <c r="L390" s="127"/>
      <c r="M390" s="127"/>
      <c r="RG390" s="6"/>
      <c r="RH390" s="6"/>
      <c r="RI390" s="6"/>
      <c r="RJ390" s="6"/>
      <c r="RK390" s="6"/>
      <c r="RL390" s="45"/>
      <c r="RM390" s="4"/>
      <c r="RN390" s="4"/>
      <c r="RO390" s="4"/>
      <c r="RP390" s="6"/>
    </row>
    <row r="391" spans="1:484" x14ac:dyDescent="0.25">
      <c r="A391" s="46"/>
      <c r="B391" s="47"/>
      <c r="C391" s="127"/>
      <c r="D391" s="127"/>
      <c r="E391" s="127"/>
      <c r="F391" s="127"/>
      <c r="G391" s="127"/>
      <c r="H391" s="127"/>
      <c r="I391" s="127"/>
      <c r="J391" s="127"/>
      <c r="K391" s="127"/>
      <c r="L391" s="127"/>
      <c r="M391" s="127"/>
      <c r="RG391" s="6"/>
      <c r="RH391" s="6"/>
      <c r="RI391" s="6"/>
      <c r="RJ391" s="6"/>
      <c r="RK391" s="6"/>
      <c r="RL391" s="45"/>
      <c r="RM391" s="4"/>
      <c r="RN391" s="4"/>
      <c r="RO391" s="4"/>
      <c r="RP391" s="6"/>
    </row>
    <row r="392" spans="1:484" x14ac:dyDescent="0.25">
      <c r="A392" s="46"/>
      <c r="B392" s="47"/>
      <c r="C392" s="127"/>
      <c r="D392" s="127"/>
      <c r="E392" s="127"/>
      <c r="F392" s="127"/>
      <c r="G392" s="127"/>
      <c r="H392" s="127"/>
      <c r="I392" s="127"/>
      <c r="J392" s="127"/>
      <c r="K392" s="127"/>
      <c r="L392" s="127"/>
      <c r="M392" s="127"/>
      <c r="RG392" s="6"/>
      <c r="RH392" s="6"/>
      <c r="RI392" s="6"/>
      <c r="RJ392" s="6"/>
      <c r="RK392" s="6"/>
      <c r="RL392" s="45"/>
      <c r="RM392" s="4"/>
      <c r="RN392" s="4"/>
      <c r="RO392" s="4"/>
      <c r="RP392" s="6"/>
    </row>
    <row r="393" spans="1:484" x14ac:dyDescent="0.25">
      <c r="A393" s="46"/>
      <c r="B393" s="47"/>
      <c r="C393" s="127"/>
      <c r="D393" s="127"/>
      <c r="E393" s="127"/>
      <c r="F393" s="127"/>
      <c r="G393" s="127"/>
      <c r="H393" s="127"/>
      <c r="I393" s="127"/>
      <c r="J393" s="127"/>
      <c r="K393" s="127"/>
      <c r="L393" s="127"/>
      <c r="M393" s="127"/>
      <c r="RG393" s="6"/>
      <c r="RH393" s="6"/>
      <c r="RI393" s="6"/>
      <c r="RJ393" s="6"/>
      <c r="RK393" s="6"/>
      <c r="RL393" s="45"/>
      <c r="RM393" s="4"/>
      <c r="RN393" s="4"/>
      <c r="RO393" s="4"/>
      <c r="RP393" s="6"/>
    </row>
    <row r="394" spans="1:484" x14ac:dyDescent="0.25">
      <c r="A394" s="46"/>
      <c r="B394" s="47"/>
      <c r="C394" s="127"/>
      <c r="D394" s="127"/>
      <c r="E394" s="127"/>
      <c r="F394" s="127"/>
      <c r="G394" s="127"/>
      <c r="H394" s="127"/>
      <c r="I394" s="127"/>
      <c r="J394" s="127"/>
      <c r="K394" s="127"/>
      <c r="L394" s="127"/>
      <c r="M394" s="127"/>
      <c r="RG394" s="6"/>
      <c r="RH394" s="6"/>
      <c r="RI394" s="6"/>
      <c r="RJ394" s="6"/>
      <c r="RK394" s="6"/>
      <c r="RL394" s="45"/>
      <c r="RM394" s="4"/>
      <c r="RN394" s="4"/>
      <c r="RO394" s="4"/>
      <c r="RP394" s="6"/>
    </row>
    <row r="395" spans="1:484" x14ac:dyDescent="0.25">
      <c r="A395" s="46"/>
      <c r="B395" s="47"/>
      <c r="C395" s="127"/>
      <c r="D395" s="127"/>
      <c r="E395" s="127"/>
      <c r="F395" s="127"/>
      <c r="G395" s="127"/>
      <c r="H395" s="127"/>
      <c r="I395" s="127"/>
      <c r="J395" s="127"/>
      <c r="K395" s="127"/>
      <c r="L395" s="127"/>
      <c r="M395" s="127"/>
      <c r="RG395" s="6"/>
      <c r="RH395" s="6"/>
      <c r="RI395" s="6"/>
      <c r="RJ395" s="6"/>
      <c r="RK395" s="6"/>
      <c r="RL395" s="45"/>
      <c r="RM395" s="4"/>
      <c r="RN395" s="4"/>
      <c r="RO395" s="4"/>
      <c r="RP395" s="6"/>
    </row>
    <row r="396" spans="1:484" x14ac:dyDescent="0.25">
      <c r="A396" s="46"/>
      <c r="B396" s="47"/>
      <c r="C396" s="127"/>
      <c r="D396" s="127"/>
      <c r="E396" s="127"/>
      <c r="F396" s="127"/>
      <c r="G396" s="127"/>
      <c r="H396" s="127"/>
      <c r="I396" s="127"/>
      <c r="J396" s="127"/>
      <c r="K396" s="127"/>
      <c r="L396" s="127"/>
      <c r="M396" s="127"/>
      <c r="RG396" s="6"/>
      <c r="RH396" s="6"/>
      <c r="RI396" s="6"/>
      <c r="RJ396" s="6"/>
      <c r="RK396" s="6"/>
      <c r="RL396" s="45"/>
      <c r="RM396" s="4"/>
      <c r="RN396" s="4"/>
      <c r="RO396" s="4"/>
      <c r="RP396" s="6"/>
    </row>
    <row r="397" spans="1:484" x14ac:dyDescent="0.25">
      <c r="A397" s="46"/>
      <c r="B397" s="47"/>
      <c r="C397" s="127"/>
      <c r="D397" s="127"/>
      <c r="E397" s="127"/>
      <c r="F397" s="127"/>
      <c r="G397" s="127"/>
      <c r="H397" s="127"/>
      <c r="I397" s="127"/>
      <c r="J397" s="127"/>
      <c r="K397" s="127"/>
      <c r="L397" s="127"/>
      <c r="M397" s="127"/>
      <c r="RG397" s="6"/>
      <c r="RH397" s="6"/>
      <c r="RI397" s="6"/>
      <c r="RJ397" s="6"/>
      <c r="RK397" s="6"/>
      <c r="RL397" s="45"/>
      <c r="RM397" s="4"/>
      <c r="RN397" s="4"/>
      <c r="RO397" s="4"/>
      <c r="RP397" s="6"/>
    </row>
    <row r="398" spans="1:484" x14ac:dyDescent="0.25">
      <c r="A398" s="46"/>
      <c r="B398" s="47"/>
      <c r="C398" s="127"/>
      <c r="D398" s="127"/>
      <c r="E398" s="127"/>
      <c r="F398" s="127"/>
      <c r="G398" s="127"/>
      <c r="H398" s="127"/>
      <c r="I398" s="127"/>
      <c r="J398" s="127"/>
      <c r="K398" s="127"/>
      <c r="L398" s="127"/>
      <c r="M398" s="127"/>
      <c r="RG398" s="6"/>
      <c r="RH398" s="6"/>
      <c r="RI398" s="6"/>
      <c r="RJ398" s="6"/>
      <c r="RK398" s="6"/>
      <c r="RL398" s="45"/>
      <c r="RM398" s="4"/>
      <c r="RN398" s="4"/>
      <c r="RO398" s="4"/>
      <c r="RP398" s="6"/>
    </row>
    <row r="399" spans="1:484" x14ac:dyDescent="0.25">
      <c r="A399" s="46"/>
      <c r="B399" s="47"/>
      <c r="C399" s="127"/>
      <c r="D399" s="127"/>
      <c r="E399" s="127"/>
      <c r="F399" s="127"/>
      <c r="G399" s="127"/>
      <c r="H399" s="127"/>
      <c r="I399" s="127"/>
      <c r="J399" s="127"/>
      <c r="K399" s="127"/>
      <c r="L399" s="127"/>
      <c r="M399" s="127"/>
      <c r="RG399" s="6"/>
      <c r="RH399" s="6"/>
      <c r="RI399" s="6"/>
      <c r="RJ399" s="6"/>
      <c r="RK399" s="6"/>
      <c r="RL399" s="45"/>
      <c r="RM399" s="4"/>
      <c r="RN399" s="4"/>
      <c r="RO399" s="4"/>
      <c r="RP399" s="6"/>
    </row>
    <row r="400" spans="1:484" x14ac:dyDescent="0.25">
      <c r="A400" s="46"/>
      <c r="B400" s="4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RG400" s="6"/>
      <c r="RH400" s="6"/>
      <c r="RI400" s="6"/>
      <c r="RJ400" s="6"/>
      <c r="RK400" s="6"/>
      <c r="RL400" s="45"/>
      <c r="RM400" s="4"/>
      <c r="RN400" s="4"/>
      <c r="RO400" s="4"/>
      <c r="RP400" s="6"/>
    </row>
    <row r="401" spans="1:484" x14ac:dyDescent="0.25">
      <c r="A401" s="46"/>
      <c r="B401" s="47"/>
      <c r="C401" s="127"/>
      <c r="D401" s="127"/>
      <c r="E401" s="127"/>
      <c r="F401" s="127"/>
      <c r="G401" s="127"/>
      <c r="H401" s="127"/>
      <c r="I401" s="127"/>
      <c r="J401" s="127"/>
      <c r="K401" s="127"/>
      <c r="L401" s="127"/>
      <c r="M401" s="127"/>
      <c r="RG401" s="6"/>
      <c r="RH401" s="6"/>
      <c r="RI401" s="6"/>
      <c r="RJ401" s="6"/>
      <c r="RK401" s="6"/>
      <c r="RL401" s="45"/>
      <c r="RM401" s="4"/>
      <c r="RN401" s="4"/>
      <c r="RO401" s="4"/>
      <c r="RP401" s="6"/>
    </row>
    <row r="402" spans="1:484" x14ac:dyDescent="0.25">
      <c r="A402" s="46"/>
      <c r="B402" s="47"/>
      <c r="C402" s="127"/>
      <c r="D402" s="127"/>
      <c r="E402" s="127"/>
      <c r="F402" s="127"/>
      <c r="G402" s="127"/>
      <c r="H402" s="127"/>
      <c r="I402" s="127"/>
      <c r="J402" s="127"/>
      <c r="K402" s="127"/>
      <c r="L402" s="127"/>
      <c r="M402" s="127"/>
      <c r="RG402" s="6"/>
      <c r="RH402" s="6"/>
      <c r="RI402" s="6"/>
      <c r="RJ402" s="6"/>
      <c r="RK402" s="6"/>
      <c r="RL402" s="45"/>
      <c r="RM402" s="4"/>
      <c r="RN402" s="4"/>
      <c r="RO402" s="4"/>
      <c r="RP402" s="6"/>
    </row>
    <row r="403" spans="1:484" x14ac:dyDescent="0.25">
      <c r="A403" s="46"/>
      <c r="B403" s="47"/>
      <c r="C403" s="127"/>
      <c r="D403" s="127"/>
      <c r="E403" s="127"/>
      <c r="F403" s="127"/>
      <c r="G403" s="127"/>
      <c r="H403" s="127"/>
      <c r="I403" s="127"/>
      <c r="J403" s="127"/>
      <c r="K403" s="127"/>
      <c r="L403" s="127"/>
      <c r="M403" s="127"/>
      <c r="RG403" s="6"/>
      <c r="RH403" s="6"/>
      <c r="RI403" s="6"/>
      <c r="RJ403" s="6"/>
      <c r="RK403" s="6"/>
      <c r="RL403" s="45"/>
      <c r="RM403" s="4"/>
      <c r="RN403" s="4"/>
      <c r="RO403" s="4"/>
      <c r="RP403" s="6"/>
    </row>
    <row r="404" spans="1:484" x14ac:dyDescent="0.25">
      <c r="A404" s="46"/>
      <c r="B404" s="47"/>
      <c r="C404" s="127"/>
      <c r="D404" s="127"/>
      <c r="E404" s="127"/>
      <c r="F404" s="127"/>
      <c r="G404" s="127"/>
      <c r="H404" s="127"/>
      <c r="I404" s="127"/>
      <c r="J404" s="127"/>
      <c r="K404" s="127"/>
      <c r="L404" s="127"/>
      <c r="M404" s="127"/>
      <c r="RG404" s="6"/>
      <c r="RH404" s="6"/>
      <c r="RI404" s="6"/>
      <c r="RJ404" s="6"/>
      <c r="RK404" s="6"/>
      <c r="RL404" s="45"/>
      <c r="RM404" s="4"/>
      <c r="RN404" s="4"/>
      <c r="RO404" s="4"/>
      <c r="RP404" s="6"/>
    </row>
    <row r="405" spans="1:484" x14ac:dyDescent="0.25">
      <c r="A405" s="46"/>
      <c r="B405" s="47"/>
      <c r="C405" s="127"/>
      <c r="D405" s="127"/>
      <c r="E405" s="127"/>
      <c r="F405" s="127"/>
      <c r="G405" s="127"/>
      <c r="H405" s="127"/>
      <c r="I405" s="127"/>
      <c r="J405" s="127"/>
      <c r="K405" s="127"/>
      <c r="L405" s="127"/>
      <c r="M405" s="127"/>
      <c r="RG405" s="6"/>
      <c r="RH405" s="6"/>
      <c r="RI405" s="6"/>
      <c r="RJ405" s="6"/>
      <c r="RK405" s="6"/>
      <c r="RL405" s="45"/>
      <c r="RM405" s="4"/>
      <c r="RN405" s="4"/>
      <c r="RO405" s="4"/>
      <c r="RP405" s="6"/>
    </row>
    <row r="406" spans="1:484" x14ac:dyDescent="0.25">
      <c r="A406" s="46"/>
      <c r="B406" s="47"/>
      <c r="C406" s="127"/>
      <c r="D406" s="127"/>
      <c r="E406" s="127"/>
      <c r="F406" s="127"/>
      <c r="G406" s="127"/>
      <c r="H406" s="127"/>
      <c r="I406" s="127"/>
      <c r="J406" s="127"/>
      <c r="K406" s="127"/>
      <c r="L406" s="127"/>
      <c r="M406" s="127"/>
      <c r="RG406" s="6"/>
      <c r="RH406" s="6"/>
      <c r="RI406" s="6"/>
      <c r="RJ406" s="6"/>
      <c r="RK406" s="6"/>
      <c r="RL406" s="45"/>
      <c r="RM406" s="4"/>
      <c r="RN406" s="4"/>
      <c r="RO406" s="4"/>
      <c r="RP406" s="6"/>
    </row>
    <row r="407" spans="1:484" x14ac:dyDescent="0.25">
      <c r="A407" s="46"/>
      <c r="B407" s="47"/>
      <c r="C407" s="127"/>
      <c r="D407" s="127"/>
      <c r="E407" s="127"/>
      <c r="F407" s="127"/>
      <c r="G407" s="127"/>
      <c r="H407" s="127"/>
      <c r="I407" s="127"/>
      <c r="J407" s="127"/>
      <c r="K407" s="127"/>
      <c r="L407" s="127"/>
      <c r="M407" s="127"/>
      <c r="RG407" s="6"/>
      <c r="RH407" s="6"/>
      <c r="RI407" s="6"/>
      <c r="RJ407" s="6"/>
      <c r="RK407" s="6"/>
      <c r="RL407" s="45"/>
      <c r="RM407" s="4"/>
      <c r="RN407" s="4"/>
      <c r="RO407" s="4"/>
      <c r="RP407" s="6"/>
    </row>
    <row r="408" spans="1:484" x14ac:dyDescent="0.25">
      <c r="A408" s="46"/>
      <c r="B408" s="47"/>
      <c r="C408" s="127"/>
      <c r="D408" s="127"/>
      <c r="E408" s="127"/>
      <c r="F408" s="127"/>
      <c r="G408" s="127"/>
      <c r="H408" s="127"/>
      <c r="I408" s="127"/>
      <c r="J408" s="127"/>
      <c r="K408" s="127"/>
      <c r="L408" s="127"/>
      <c r="M408" s="127"/>
      <c r="RG408" s="6"/>
      <c r="RH408" s="6"/>
      <c r="RI408" s="6"/>
      <c r="RJ408" s="6"/>
      <c r="RK408" s="6"/>
      <c r="RL408" s="45"/>
      <c r="RM408" s="4"/>
      <c r="RN408" s="4"/>
      <c r="RO408" s="4"/>
      <c r="RP408" s="6"/>
    </row>
    <row r="409" spans="1:484" x14ac:dyDescent="0.25">
      <c r="A409" s="46"/>
      <c r="B409" s="47"/>
      <c r="C409" s="127"/>
      <c r="D409" s="127"/>
      <c r="E409" s="127"/>
      <c r="F409" s="127"/>
      <c r="G409" s="127"/>
      <c r="H409" s="127"/>
      <c r="I409" s="127"/>
      <c r="J409" s="127"/>
      <c r="K409" s="127"/>
      <c r="L409" s="127"/>
      <c r="M409" s="127"/>
      <c r="RG409" s="6"/>
      <c r="RH409" s="6"/>
      <c r="RI409" s="6"/>
      <c r="RJ409" s="6"/>
      <c r="RK409" s="6"/>
      <c r="RL409" s="45"/>
      <c r="RM409" s="4"/>
      <c r="RN409" s="4"/>
      <c r="RO409" s="4"/>
      <c r="RP409" s="6"/>
    </row>
    <row r="410" spans="1:484" x14ac:dyDescent="0.25">
      <c r="A410" s="46"/>
      <c r="B410" s="47"/>
      <c r="C410" s="127"/>
      <c r="D410" s="127"/>
      <c r="E410" s="127"/>
      <c r="F410" s="127"/>
      <c r="G410" s="127"/>
      <c r="H410" s="127"/>
      <c r="I410" s="127"/>
      <c r="J410" s="127"/>
      <c r="K410" s="127"/>
      <c r="L410" s="127"/>
      <c r="M410" s="127"/>
      <c r="RG410" s="6"/>
      <c r="RH410" s="6"/>
      <c r="RI410" s="6"/>
      <c r="RJ410" s="6"/>
      <c r="RK410" s="6"/>
      <c r="RL410" s="45"/>
      <c r="RM410" s="4"/>
      <c r="RN410" s="4"/>
      <c r="RO410" s="4"/>
      <c r="RP410" s="6"/>
    </row>
    <row r="411" spans="1:484" x14ac:dyDescent="0.25">
      <c r="A411" s="46"/>
      <c r="B411" s="47"/>
      <c r="C411" s="127"/>
      <c r="D411" s="127"/>
      <c r="E411" s="127"/>
      <c r="F411" s="127"/>
      <c r="G411" s="127"/>
      <c r="H411" s="127"/>
      <c r="I411" s="127"/>
      <c r="J411" s="127"/>
      <c r="K411" s="127"/>
      <c r="L411" s="127"/>
      <c r="M411" s="127"/>
      <c r="RG411" s="6"/>
      <c r="RH411" s="6"/>
      <c r="RI411" s="6"/>
      <c r="RJ411" s="6"/>
      <c r="RK411" s="6"/>
      <c r="RL411" s="45"/>
      <c r="RM411" s="4"/>
      <c r="RN411" s="4"/>
      <c r="RO411" s="4"/>
      <c r="RP411" s="6"/>
    </row>
    <row r="412" spans="1:484" x14ac:dyDescent="0.25">
      <c r="A412" s="46"/>
      <c r="B412" s="47"/>
      <c r="C412" s="127"/>
      <c r="D412" s="127"/>
      <c r="E412" s="127"/>
      <c r="F412" s="127"/>
      <c r="G412" s="127"/>
      <c r="H412" s="127"/>
      <c r="I412" s="127"/>
      <c r="J412" s="127"/>
      <c r="K412" s="127"/>
      <c r="L412" s="127"/>
      <c r="M412" s="127"/>
      <c r="RG412" s="6"/>
      <c r="RH412" s="6"/>
      <c r="RI412" s="6"/>
      <c r="RJ412" s="6"/>
      <c r="RK412" s="6"/>
      <c r="RL412" s="45"/>
      <c r="RM412" s="4"/>
      <c r="RN412" s="4"/>
      <c r="RO412" s="4"/>
      <c r="RP412" s="6"/>
    </row>
    <row r="413" spans="1:484" x14ac:dyDescent="0.25">
      <c r="A413" s="46"/>
      <c r="B413" s="47"/>
      <c r="C413" s="127"/>
      <c r="D413" s="127"/>
      <c r="E413" s="127"/>
      <c r="F413" s="127"/>
      <c r="G413" s="127"/>
      <c r="H413" s="127"/>
      <c r="I413" s="127"/>
      <c r="J413" s="127"/>
      <c r="K413" s="127"/>
      <c r="L413" s="127"/>
      <c r="M413" s="127"/>
      <c r="RG413" s="6"/>
      <c r="RH413" s="6"/>
      <c r="RI413" s="6"/>
      <c r="RJ413" s="6"/>
      <c r="RK413" s="6"/>
      <c r="RL413" s="45"/>
      <c r="RM413" s="4"/>
      <c r="RN413" s="4"/>
      <c r="RO413" s="4"/>
      <c r="RP413" s="6"/>
    </row>
    <row r="414" spans="1:484" x14ac:dyDescent="0.25">
      <c r="A414" s="46"/>
      <c r="B414" s="47"/>
      <c r="C414" s="127"/>
      <c r="D414" s="127"/>
      <c r="E414" s="127"/>
      <c r="F414" s="127"/>
      <c r="G414" s="127"/>
      <c r="H414" s="127"/>
      <c r="I414" s="127"/>
      <c r="J414" s="127"/>
      <c r="K414" s="127"/>
      <c r="L414" s="127"/>
      <c r="M414" s="127"/>
      <c r="RG414" s="6"/>
      <c r="RH414" s="6"/>
      <c r="RI414" s="6"/>
      <c r="RJ414" s="6"/>
      <c r="RK414" s="6"/>
      <c r="RL414" s="45"/>
      <c r="RM414" s="4"/>
      <c r="RN414" s="4"/>
      <c r="RO414" s="4"/>
      <c r="RP414" s="6"/>
    </row>
    <row r="415" spans="1:484" x14ac:dyDescent="0.25">
      <c r="A415" s="46"/>
      <c r="B415" s="4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RG415" s="6"/>
      <c r="RH415" s="6"/>
      <c r="RI415" s="6"/>
      <c r="RJ415" s="6"/>
      <c r="RK415" s="6"/>
      <c r="RL415" s="45"/>
      <c r="RM415" s="4"/>
      <c r="RN415" s="4"/>
      <c r="RO415" s="4"/>
      <c r="RP415" s="6"/>
    </row>
    <row r="416" spans="1:484" x14ac:dyDescent="0.25">
      <c r="A416" s="46"/>
      <c r="B416" s="47"/>
      <c r="C416" s="127"/>
      <c r="D416" s="127"/>
      <c r="E416" s="127"/>
      <c r="F416" s="127"/>
      <c r="G416" s="127"/>
      <c r="H416" s="127"/>
      <c r="I416" s="127"/>
      <c r="J416" s="127"/>
      <c r="K416" s="127"/>
      <c r="L416" s="127"/>
      <c r="M416" s="127"/>
      <c r="RG416" s="6"/>
      <c r="RH416" s="6"/>
      <c r="RI416" s="6"/>
      <c r="RJ416" s="6"/>
      <c r="RK416" s="6"/>
      <c r="RL416" s="45"/>
      <c r="RM416" s="4"/>
      <c r="RN416" s="4"/>
      <c r="RO416" s="4"/>
      <c r="RP416" s="6"/>
    </row>
    <row r="417" spans="1:484" x14ac:dyDescent="0.25">
      <c r="A417" s="46"/>
      <c r="B417" s="47"/>
      <c r="C417" s="127"/>
      <c r="D417" s="127"/>
      <c r="E417" s="127"/>
      <c r="F417" s="127"/>
      <c r="G417" s="127"/>
      <c r="H417" s="127"/>
      <c r="I417" s="127"/>
      <c r="J417" s="127"/>
      <c r="K417" s="127"/>
      <c r="L417" s="127"/>
      <c r="M417" s="127"/>
      <c r="RG417" s="6"/>
      <c r="RH417" s="6"/>
      <c r="RI417" s="6"/>
      <c r="RJ417" s="6"/>
      <c r="RK417" s="6"/>
      <c r="RL417" s="45"/>
      <c r="RM417" s="4"/>
      <c r="RN417" s="4"/>
      <c r="RO417" s="4"/>
      <c r="RP417" s="6"/>
    </row>
    <row r="418" spans="1:484" x14ac:dyDescent="0.25">
      <c r="A418" s="46"/>
      <c r="B418" s="47"/>
      <c r="C418" s="127"/>
      <c r="D418" s="127"/>
      <c r="E418" s="127"/>
      <c r="F418" s="127"/>
      <c r="G418" s="127"/>
      <c r="H418" s="127"/>
      <c r="I418" s="127"/>
      <c r="J418" s="127"/>
      <c r="K418" s="127"/>
      <c r="L418" s="127"/>
      <c r="M418" s="127"/>
      <c r="RG418" s="6"/>
      <c r="RH418" s="6"/>
      <c r="RI418" s="6"/>
      <c r="RJ418" s="6"/>
      <c r="RK418" s="6"/>
      <c r="RL418" s="45"/>
      <c r="RM418" s="4"/>
      <c r="RN418" s="4"/>
      <c r="RO418" s="4"/>
      <c r="RP418" s="6"/>
    </row>
    <row r="419" spans="1:484" x14ac:dyDescent="0.25">
      <c r="A419" s="46"/>
      <c r="B419" s="47"/>
      <c r="C419" s="127"/>
      <c r="D419" s="127"/>
      <c r="E419" s="127"/>
      <c r="F419" s="127"/>
      <c r="G419" s="127"/>
      <c r="H419" s="127"/>
      <c r="I419" s="127"/>
      <c r="J419" s="127"/>
      <c r="K419" s="127"/>
      <c r="L419" s="127"/>
      <c r="M419" s="127"/>
      <c r="RG419" s="6"/>
      <c r="RH419" s="6"/>
      <c r="RI419" s="6"/>
      <c r="RJ419" s="6"/>
      <c r="RK419" s="6"/>
      <c r="RL419" s="45"/>
      <c r="RM419" s="4"/>
      <c r="RN419" s="4"/>
      <c r="RO419" s="4"/>
      <c r="RP419" s="6"/>
    </row>
    <row r="420" spans="1:484" x14ac:dyDescent="0.25">
      <c r="A420" s="46"/>
      <c r="B420" s="47"/>
      <c r="C420" s="127"/>
      <c r="D420" s="127"/>
      <c r="E420" s="127"/>
      <c r="F420" s="127"/>
      <c r="G420" s="127"/>
      <c r="H420" s="127"/>
      <c r="I420" s="127"/>
      <c r="J420" s="127"/>
      <c r="K420" s="127"/>
      <c r="L420" s="127"/>
      <c r="M420" s="127"/>
      <c r="RG420" s="6"/>
      <c r="RH420" s="6"/>
      <c r="RI420" s="6"/>
      <c r="RJ420" s="6"/>
      <c r="RK420" s="6"/>
      <c r="RL420" s="45"/>
      <c r="RM420" s="4"/>
      <c r="RN420" s="4"/>
      <c r="RO420" s="4"/>
      <c r="RP420" s="6"/>
    </row>
    <row r="421" spans="1:484" x14ac:dyDescent="0.25">
      <c r="A421" s="46"/>
      <c r="B421" s="47"/>
      <c r="C421" s="127"/>
      <c r="D421" s="127"/>
      <c r="E421" s="127"/>
      <c r="F421" s="127"/>
      <c r="G421" s="127"/>
      <c r="H421" s="127"/>
      <c r="I421" s="127"/>
      <c r="J421" s="127"/>
      <c r="K421" s="127"/>
      <c r="L421" s="127"/>
      <c r="M421" s="127"/>
      <c r="RG421" s="6"/>
      <c r="RH421" s="6"/>
      <c r="RI421" s="6"/>
      <c r="RJ421" s="6"/>
      <c r="RK421" s="6"/>
      <c r="RL421" s="45"/>
      <c r="RM421" s="4"/>
      <c r="RN421" s="4"/>
      <c r="RO421" s="4"/>
      <c r="RP421" s="6"/>
    </row>
    <row r="422" spans="1:484" x14ac:dyDescent="0.25">
      <c r="A422" s="46"/>
      <c r="B422" s="47"/>
      <c r="C422" s="127"/>
      <c r="D422" s="127"/>
      <c r="E422" s="127"/>
      <c r="F422" s="127"/>
      <c r="G422" s="127"/>
      <c r="H422" s="127"/>
      <c r="I422" s="127"/>
      <c r="J422" s="127"/>
      <c r="K422" s="127"/>
      <c r="L422" s="127"/>
      <c r="M422" s="127"/>
      <c r="RG422" s="6"/>
      <c r="RH422" s="6"/>
      <c r="RI422" s="6"/>
      <c r="RJ422" s="6"/>
      <c r="RK422" s="6"/>
      <c r="RL422" s="45"/>
      <c r="RM422" s="4"/>
      <c r="RN422" s="4"/>
      <c r="RO422" s="4"/>
      <c r="RP422" s="6"/>
    </row>
    <row r="423" spans="1:484" x14ac:dyDescent="0.25">
      <c r="A423" s="46"/>
      <c r="B423" s="47"/>
      <c r="C423" s="127"/>
      <c r="D423" s="127"/>
      <c r="E423" s="127"/>
      <c r="F423" s="127"/>
      <c r="G423" s="127"/>
      <c r="H423" s="127"/>
      <c r="I423" s="127"/>
      <c r="J423" s="127"/>
      <c r="K423" s="127"/>
      <c r="L423" s="127"/>
      <c r="M423" s="127"/>
      <c r="RG423" s="6"/>
      <c r="RH423" s="6"/>
      <c r="RI423" s="6"/>
      <c r="RJ423" s="6"/>
      <c r="RK423" s="6"/>
      <c r="RL423" s="45"/>
      <c r="RM423" s="4"/>
      <c r="RN423" s="4"/>
      <c r="RO423" s="4"/>
      <c r="RP423" s="6"/>
    </row>
    <row r="424" spans="1:484" x14ac:dyDescent="0.25">
      <c r="A424" s="46"/>
      <c r="B424" s="47"/>
      <c r="C424" s="127"/>
      <c r="D424" s="127"/>
      <c r="E424" s="127"/>
      <c r="F424" s="127"/>
      <c r="G424" s="127"/>
      <c r="H424" s="127"/>
      <c r="I424" s="127"/>
      <c r="J424" s="127"/>
      <c r="K424" s="127"/>
      <c r="L424" s="127"/>
      <c r="M424" s="127"/>
      <c r="RG424" s="6"/>
      <c r="RH424" s="6"/>
      <c r="RI424" s="6"/>
      <c r="RJ424" s="6"/>
      <c r="RK424" s="6"/>
      <c r="RL424" s="45"/>
      <c r="RM424" s="4"/>
      <c r="RN424" s="4"/>
      <c r="RO424" s="4"/>
      <c r="RP424" s="6"/>
    </row>
    <row r="425" spans="1:484" x14ac:dyDescent="0.25">
      <c r="A425" s="46"/>
      <c r="B425" s="47"/>
      <c r="C425" s="127"/>
      <c r="D425" s="127"/>
      <c r="E425" s="127"/>
      <c r="F425" s="127"/>
      <c r="G425" s="127"/>
      <c r="H425" s="127"/>
      <c r="I425" s="127"/>
      <c r="J425" s="127"/>
      <c r="K425" s="127"/>
      <c r="L425" s="127"/>
      <c r="M425" s="127"/>
      <c r="RG425" s="6"/>
      <c r="RH425" s="6"/>
      <c r="RI425" s="6"/>
      <c r="RJ425" s="6"/>
      <c r="RK425" s="6"/>
      <c r="RL425" s="45"/>
      <c r="RM425" s="4"/>
      <c r="RN425" s="4"/>
      <c r="RO425" s="4"/>
      <c r="RP425" s="6"/>
    </row>
    <row r="426" spans="1:484" x14ac:dyDescent="0.25">
      <c r="A426" s="46"/>
      <c r="B426" s="47"/>
      <c r="C426" s="127"/>
      <c r="D426" s="127"/>
      <c r="E426" s="127"/>
      <c r="F426" s="127"/>
      <c r="G426" s="127"/>
      <c r="H426" s="127"/>
      <c r="I426" s="127"/>
      <c r="J426" s="127"/>
      <c r="K426" s="127"/>
      <c r="L426" s="127"/>
      <c r="M426" s="127"/>
      <c r="RG426" s="6"/>
      <c r="RH426" s="6"/>
      <c r="RI426" s="6"/>
      <c r="RJ426" s="6"/>
      <c r="RK426" s="6"/>
      <c r="RL426" s="45"/>
      <c r="RM426" s="4"/>
      <c r="RN426" s="4"/>
      <c r="RO426" s="4"/>
      <c r="RP426" s="6"/>
    </row>
    <row r="427" spans="1:484" x14ac:dyDescent="0.25">
      <c r="A427" s="46"/>
      <c r="B427" s="47"/>
      <c r="C427" s="127"/>
      <c r="D427" s="127"/>
      <c r="E427" s="127"/>
      <c r="F427" s="127"/>
      <c r="G427" s="127"/>
      <c r="H427" s="127"/>
      <c r="I427" s="127"/>
      <c r="J427" s="127"/>
      <c r="K427" s="127"/>
      <c r="L427" s="127"/>
      <c r="M427" s="127"/>
      <c r="RG427" s="6"/>
      <c r="RH427" s="6"/>
      <c r="RI427" s="6"/>
      <c r="RJ427" s="6"/>
      <c r="RK427" s="6"/>
      <c r="RL427" s="45"/>
      <c r="RM427" s="4"/>
      <c r="RN427" s="4"/>
      <c r="RO427" s="4"/>
      <c r="RP427" s="6"/>
    </row>
    <row r="428" spans="1:484" x14ac:dyDescent="0.25">
      <c r="A428" s="46"/>
      <c r="B428" s="47"/>
      <c r="C428" s="127"/>
      <c r="D428" s="127"/>
      <c r="E428" s="127"/>
      <c r="F428" s="127"/>
      <c r="G428" s="127"/>
      <c r="H428" s="127"/>
      <c r="I428" s="127"/>
      <c r="J428" s="127"/>
      <c r="K428" s="127"/>
      <c r="L428" s="127"/>
      <c r="M428" s="127"/>
      <c r="RG428" s="6"/>
      <c r="RH428" s="6"/>
      <c r="RI428" s="6"/>
      <c r="RJ428" s="6"/>
      <c r="RK428" s="6"/>
      <c r="RL428" s="45"/>
      <c r="RM428" s="4"/>
      <c r="RN428" s="4"/>
      <c r="RO428" s="4"/>
      <c r="RP428" s="6"/>
    </row>
    <row r="429" spans="1:484" x14ac:dyDescent="0.25">
      <c r="A429" s="46"/>
      <c r="B429" s="47"/>
      <c r="C429" s="127"/>
      <c r="D429" s="127"/>
      <c r="E429" s="127"/>
      <c r="F429" s="127"/>
      <c r="G429" s="127"/>
      <c r="H429" s="127"/>
      <c r="I429" s="127"/>
      <c r="J429" s="127"/>
      <c r="K429" s="127"/>
      <c r="L429" s="127"/>
      <c r="M429" s="127"/>
      <c r="RG429" s="6"/>
      <c r="RH429" s="6"/>
      <c r="RI429" s="6"/>
      <c r="RJ429" s="6"/>
      <c r="RK429" s="6"/>
      <c r="RL429" s="45"/>
      <c r="RM429" s="4"/>
      <c r="RN429" s="4"/>
      <c r="RO429" s="4"/>
      <c r="RP429" s="6"/>
    </row>
    <row r="430" spans="1:484" x14ac:dyDescent="0.25">
      <c r="A430" s="46"/>
      <c r="B430" s="4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RG430" s="6"/>
      <c r="RH430" s="6"/>
      <c r="RI430" s="6"/>
      <c r="RJ430" s="6"/>
      <c r="RK430" s="6"/>
      <c r="RL430" s="45"/>
      <c r="RM430" s="4"/>
      <c r="RN430" s="4"/>
      <c r="RO430" s="4"/>
      <c r="RP430" s="6"/>
    </row>
    <row r="431" spans="1:484" x14ac:dyDescent="0.25">
      <c r="A431" s="46"/>
      <c r="B431" s="47"/>
      <c r="C431" s="127"/>
      <c r="D431" s="127"/>
      <c r="E431" s="127"/>
      <c r="F431" s="127"/>
      <c r="G431" s="127"/>
      <c r="H431" s="127"/>
      <c r="I431" s="127"/>
      <c r="J431" s="127"/>
      <c r="K431" s="127"/>
      <c r="L431" s="127"/>
      <c r="M431" s="127"/>
      <c r="RG431" s="6"/>
      <c r="RH431" s="6"/>
      <c r="RI431" s="6"/>
      <c r="RJ431" s="6"/>
      <c r="RK431" s="6"/>
      <c r="RL431" s="45"/>
      <c r="RM431" s="4"/>
      <c r="RN431" s="4"/>
      <c r="RO431" s="4"/>
      <c r="RP431" s="6"/>
    </row>
    <row r="432" spans="1:484" x14ac:dyDescent="0.25">
      <c r="A432" s="46"/>
      <c r="B432" s="47"/>
      <c r="C432" s="127"/>
      <c r="D432" s="127"/>
      <c r="E432" s="127"/>
      <c r="F432" s="127"/>
      <c r="G432" s="127"/>
      <c r="H432" s="127"/>
      <c r="I432" s="127"/>
      <c r="J432" s="127"/>
      <c r="K432" s="127"/>
      <c r="L432" s="127"/>
      <c r="M432" s="127"/>
      <c r="RG432" s="6"/>
      <c r="RH432" s="6"/>
      <c r="RI432" s="6"/>
      <c r="RJ432" s="6"/>
      <c r="RK432" s="6"/>
      <c r="RL432" s="45"/>
      <c r="RM432" s="4"/>
      <c r="RN432" s="4"/>
      <c r="RO432" s="4"/>
      <c r="RP432" s="6"/>
    </row>
    <row r="433" spans="1:484" x14ac:dyDescent="0.25">
      <c r="A433" s="46"/>
      <c r="B433" s="47"/>
      <c r="C433" s="127"/>
      <c r="D433" s="127"/>
      <c r="E433" s="127"/>
      <c r="F433" s="127"/>
      <c r="G433" s="127"/>
      <c r="H433" s="127"/>
      <c r="I433" s="127"/>
      <c r="J433" s="127"/>
      <c r="K433" s="127"/>
      <c r="L433" s="127"/>
      <c r="M433" s="127"/>
      <c r="RG433" s="6"/>
      <c r="RH433" s="6"/>
      <c r="RI433" s="6"/>
      <c r="RJ433" s="6"/>
      <c r="RK433" s="6"/>
      <c r="RL433" s="45"/>
      <c r="RM433" s="4"/>
      <c r="RN433" s="4"/>
      <c r="RO433" s="4"/>
      <c r="RP433" s="6"/>
    </row>
    <row r="434" spans="1:484" x14ac:dyDescent="0.25">
      <c r="A434" s="46"/>
      <c r="B434" s="47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RG434" s="6"/>
      <c r="RH434" s="6"/>
      <c r="RI434" s="6"/>
      <c r="RJ434" s="6"/>
      <c r="RK434" s="6"/>
      <c r="RL434" s="45"/>
      <c r="RM434" s="4"/>
      <c r="RN434" s="4"/>
      <c r="RO434" s="4"/>
      <c r="RP434" s="6"/>
    </row>
    <row r="435" spans="1:484" x14ac:dyDescent="0.25">
      <c r="A435" s="46"/>
      <c r="B435" s="47"/>
      <c r="C435" s="127"/>
      <c r="D435" s="127"/>
      <c r="E435" s="127"/>
      <c r="F435" s="127"/>
      <c r="G435" s="127"/>
      <c r="H435" s="127"/>
      <c r="I435" s="127"/>
      <c r="J435" s="127"/>
      <c r="K435" s="127"/>
      <c r="L435" s="127"/>
      <c r="M435" s="127"/>
      <c r="RG435" s="6"/>
      <c r="RH435" s="6"/>
      <c r="RI435" s="6"/>
      <c r="RJ435" s="6"/>
      <c r="RK435" s="6"/>
      <c r="RL435" s="45"/>
      <c r="RM435" s="4"/>
      <c r="RN435" s="4"/>
      <c r="RO435" s="4"/>
      <c r="RP435" s="6"/>
    </row>
    <row r="436" spans="1:484" x14ac:dyDescent="0.25">
      <c r="A436" s="46"/>
      <c r="B436" s="47"/>
      <c r="C436" s="127"/>
      <c r="D436" s="127"/>
      <c r="E436" s="127"/>
      <c r="F436" s="127"/>
      <c r="G436" s="127"/>
      <c r="H436" s="127"/>
      <c r="I436" s="127"/>
      <c r="J436" s="127"/>
      <c r="K436" s="127"/>
      <c r="L436" s="127"/>
      <c r="M436" s="127"/>
      <c r="RG436" s="6"/>
      <c r="RH436" s="6"/>
      <c r="RI436" s="6"/>
      <c r="RJ436" s="6"/>
      <c r="RK436" s="6"/>
      <c r="RL436" s="45"/>
      <c r="RM436" s="4"/>
      <c r="RN436" s="4"/>
      <c r="RO436" s="4"/>
      <c r="RP436" s="6"/>
    </row>
    <row r="437" spans="1:484" x14ac:dyDescent="0.25">
      <c r="A437" s="46"/>
      <c r="B437" s="47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RG437" s="6"/>
      <c r="RH437" s="6"/>
      <c r="RI437" s="6"/>
      <c r="RJ437" s="6"/>
      <c r="RK437" s="6"/>
      <c r="RL437" s="45"/>
      <c r="RM437" s="4"/>
      <c r="RN437" s="4"/>
      <c r="RO437" s="4"/>
      <c r="RP437" s="6"/>
    </row>
    <row r="438" spans="1:484" x14ac:dyDescent="0.25">
      <c r="A438" s="46"/>
      <c r="B438" s="47"/>
      <c r="C438" s="127"/>
      <c r="D438" s="127"/>
      <c r="E438" s="127"/>
      <c r="F438" s="127"/>
      <c r="G438" s="127"/>
      <c r="H438" s="127"/>
      <c r="I438" s="127"/>
      <c r="J438" s="127"/>
      <c r="K438" s="127"/>
      <c r="L438" s="127"/>
      <c r="M438" s="127"/>
      <c r="RG438" s="6"/>
      <c r="RH438" s="6"/>
      <c r="RI438" s="6"/>
      <c r="RJ438" s="6"/>
      <c r="RK438" s="6"/>
      <c r="RL438" s="45"/>
      <c r="RM438" s="4"/>
      <c r="RN438" s="4"/>
      <c r="RO438" s="4"/>
      <c r="RP438" s="6"/>
    </row>
    <row r="439" spans="1:484" x14ac:dyDescent="0.25">
      <c r="A439" s="46"/>
      <c r="B439" s="47"/>
      <c r="C439" s="127"/>
      <c r="D439" s="127"/>
      <c r="E439" s="127"/>
      <c r="F439" s="127"/>
      <c r="G439" s="127"/>
      <c r="H439" s="127"/>
      <c r="I439" s="127"/>
      <c r="J439" s="127"/>
      <c r="K439" s="127"/>
      <c r="L439" s="127"/>
      <c r="M439" s="127"/>
      <c r="RG439" s="6"/>
      <c r="RH439" s="6"/>
      <c r="RI439" s="6"/>
      <c r="RJ439" s="6"/>
      <c r="RK439" s="6"/>
      <c r="RL439" s="45"/>
      <c r="RM439" s="4"/>
      <c r="RN439" s="4"/>
      <c r="RO439" s="4"/>
      <c r="RP439" s="6"/>
    </row>
    <row r="440" spans="1:484" x14ac:dyDescent="0.25">
      <c r="A440" s="46"/>
      <c r="B440" s="47"/>
      <c r="C440" s="127"/>
      <c r="D440" s="127"/>
      <c r="E440" s="127"/>
      <c r="F440" s="127"/>
      <c r="G440" s="127"/>
      <c r="H440" s="127"/>
      <c r="I440" s="127"/>
      <c r="J440" s="127"/>
      <c r="K440" s="127"/>
      <c r="L440" s="127"/>
      <c r="M440" s="127"/>
      <c r="RG440" s="6"/>
      <c r="RH440" s="6"/>
      <c r="RI440" s="6"/>
      <c r="RJ440" s="6"/>
      <c r="RK440" s="6"/>
      <c r="RL440" s="45"/>
      <c r="RM440" s="4"/>
      <c r="RN440" s="4"/>
      <c r="RO440" s="4"/>
      <c r="RP440" s="6"/>
    </row>
    <row r="441" spans="1:484" x14ac:dyDescent="0.25">
      <c r="A441" s="46"/>
      <c r="B441" s="47"/>
      <c r="C441" s="127"/>
      <c r="D441" s="127"/>
      <c r="E441" s="127"/>
      <c r="F441" s="127"/>
      <c r="G441" s="127"/>
      <c r="H441" s="127"/>
      <c r="I441" s="127"/>
      <c r="J441" s="127"/>
      <c r="K441" s="127"/>
      <c r="L441" s="127"/>
      <c r="M441" s="127"/>
      <c r="RG441" s="6"/>
      <c r="RH441" s="6"/>
      <c r="RI441" s="6"/>
      <c r="RJ441" s="6"/>
      <c r="RK441" s="6"/>
      <c r="RL441" s="45"/>
      <c r="RM441" s="4"/>
      <c r="RN441" s="4"/>
      <c r="RO441" s="4"/>
      <c r="RP441" s="6"/>
    </row>
    <row r="442" spans="1:484" x14ac:dyDescent="0.25">
      <c r="A442" s="46"/>
      <c r="B442" s="47"/>
      <c r="C442" s="127"/>
      <c r="D442" s="127"/>
      <c r="E442" s="127"/>
      <c r="F442" s="127"/>
      <c r="G442" s="127"/>
      <c r="H442" s="127"/>
      <c r="I442" s="127"/>
      <c r="J442" s="127"/>
      <c r="K442" s="127"/>
      <c r="L442" s="127"/>
      <c r="M442" s="127"/>
      <c r="RG442" s="6"/>
      <c r="RH442" s="6"/>
      <c r="RI442" s="6"/>
      <c r="RJ442" s="6"/>
      <c r="RK442" s="6"/>
      <c r="RL442" s="45"/>
      <c r="RM442" s="4"/>
      <c r="RN442" s="4"/>
      <c r="RO442" s="4"/>
      <c r="RP442" s="6"/>
    </row>
    <row r="443" spans="1:484" x14ac:dyDescent="0.25">
      <c r="A443" s="46"/>
      <c r="B443" s="47"/>
      <c r="C443" s="127"/>
      <c r="D443" s="127"/>
      <c r="E443" s="127"/>
      <c r="F443" s="127"/>
      <c r="G443" s="127"/>
      <c r="H443" s="127"/>
      <c r="I443" s="127"/>
      <c r="J443" s="127"/>
      <c r="K443" s="127"/>
      <c r="L443" s="127"/>
      <c r="M443" s="127"/>
      <c r="RG443" s="6"/>
      <c r="RH443" s="6"/>
      <c r="RI443" s="6"/>
      <c r="RJ443" s="6"/>
      <c r="RK443" s="6"/>
      <c r="RL443" s="45"/>
      <c r="RM443" s="4"/>
      <c r="RN443" s="4"/>
      <c r="RO443" s="4"/>
      <c r="RP443" s="6"/>
    </row>
    <row r="444" spans="1:484" x14ac:dyDescent="0.25">
      <c r="A444" s="46"/>
      <c r="B444" s="47"/>
      <c r="C444" s="127"/>
      <c r="D444" s="127"/>
      <c r="E444" s="127"/>
      <c r="F444" s="127"/>
      <c r="G444" s="127"/>
      <c r="H444" s="127"/>
      <c r="I444" s="127"/>
      <c r="J444" s="127"/>
      <c r="K444" s="127"/>
      <c r="L444" s="127"/>
      <c r="M444" s="127"/>
      <c r="RG444" s="6"/>
      <c r="RH444" s="6"/>
      <c r="RI444" s="6"/>
      <c r="RJ444" s="6"/>
      <c r="RK444" s="6"/>
      <c r="RL444" s="45"/>
      <c r="RM444" s="4"/>
      <c r="RN444" s="4"/>
      <c r="RO444" s="4"/>
      <c r="RP444" s="6"/>
    </row>
    <row r="445" spans="1:484" x14ac:dyDescent="0.25">
      <c r="A445" s="46"/>
      <c r="B445" s="4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RG445" s="6"/>
      <c r="RH445" s="6"/>
      <c r="RI445" s="6"/>
      <c r="RJ445" s="6"/>
      <c r="RK445" s="6"/>
      <c r="RL445" s="45"/>
      <c r="RM445" s="4"/>
      <c r="RN445" s="4"/>
      <c r="RO445" s="4"/>
      <c r="RP445" s="6"/>
    </row>
    <row r="446" spans="1:484" x14ac:dyDescent="0.25">
      <c r="A446" s="46"/>
      <c r="B446" s="47"/>
      <c r="C446" s="127"/>
      <c r="D446" s="127"/>
      <c r="E446" s="127"/>
      <c r="F446" s="127"/>
      <c r="G446" s="127"/>
      <c r="H446" s="127"/>
      <c r="I446" s="127"/>
      <c r="J446" s="127"/>
      <c r="K446" s="127"/>
      <c r="L446" s="127"/>
      <c r="M446" s="127"/>
      <c r="RG446" s="6"/>
      <c r="RH446" s="6"/>
      <c r="RI446" s="6"/>
      <c r="RJ446" s="6"/>
      <c r="RK446" s="6"/>
      <c r="RL446" s="45"/>
      <c r="RM446" s="4"/>
      <c r="RN446" s="4"/>
      <c r="RO446" s="4"/>
      <c r="RP446" s="6"/>
    </row>
    <row r="447" spans="1:484" x14ac:dyDescent="0.25">
      <c r="A447" s="46"/>
      <c r="B447" s="47"/>
      <c r="C447" s="127"/>
      <c r="D447" s="127"/>
      <c r="E447" s="127"/>
      <c r="F447" s="127"/>
      <c r="G447" s="127"/>
      <c r="H447" s="127"/>
      <c r="I447" s="127"/>
      <c r="J447" s="127"/>
      <c r="K447" s="127"/>
      <c r="L447" s="127"/>
      <c r="M447" s="127"/>
      <c r="RG447" s="6"/>
      <c r="RH447" s="6"/>
      <c r="RI447" s="6"/>
      <c r="RJ447" s="6"/>
      <c r="RK447" s="6"/>
      <c r="RL447" s="45"/>
      <c r="RM447" s="4"/>
      <c r="RN447" s="4"/>
      <c r="RO447" s="4"/>
      <c r="RP447" s="6"/>
    </row>
    <row r="448" spans="1:484" x14ac:dyDescent="0.25">
      <c r="A448" s="46"/>
      <c r="B448" s="47"/>
      <c r="C448" s="127"/>
      <c r="D448" s="127"/>
      <c r="E448" s="127"/>
      <c r="F448" s="127"/>
      <c r="G448" s="127"/>
      <c r="H448" s="127"/>
      <c r="I448" s="127"/>
      <c r="J448" s="127"/>
      <c r="K448" s="127"/>
      <c r="L448" s="127"/>
      <c r="M448" s="127"/>
      <c r="RG448" s="6"/>
      <c r="RH448" s="6"/>
      <c r="RI448" s="6"/>
      <c r="RJ448" s="6"/>
      <c r="RK448" s="6"/>
      <c r="RL448" s="45"/>
      <c r="RM448" s="4"/>
      <c r="RN448" s="4"/>
      <c r="RO448" s="4"/>
      <c r="RP448" s="6"/>
    </row>
    <row r="449" spans="1:484" x14ac:dyDescent="0.25">
      <c r="A449" s="46"/>
      <c r="B449" s="47"/>
      <c r="C449" s="127"/>
      <c r="D449" s="127"/>
      <c r="E449" s="127"/>
      <c r="F449" s="127"/>
      <c r="G449" s="127"/>
      <c r="H449" s="127"/>
      <c r="I449" s="127"/>
      <c r="J449" s="127"/>
      <c r="K449" s="127"/>
      <c r="L449" s="127"/>
      <c r="M449" s="127"/>
      <c r="RG449" s="6"/>
      <c r="RH449" s="6"/>
      <c r="RI449" s="6"/>
      <c r="RJ449" s="6"/>
      <c r="RK449" s="6"/>
      <c r="RL449" s="45"/>
      <c r="RM449" s="4"/>
      <c r="RN449" s="4"/>
      <c r="RO449" s="4"/>
      <c r="RP449" s="6"/>
    </row>
    <row r="450" spans="1:484" x14ac:dyDescent="0.25">
      <c r="A450" s="46"/>
      <c r="B450" s="47"/>
      <c r="C450" s="127"/>
      <c r="D450" s="127"/>
      <c r="E450" s="127"/>
      <c r="F450" s="127"/>
      <c r="G450" s="127"/>
      <c r="H450" s="127"/>
      <c r="I450" s="127"/>
      <c r="J450" s="127"/>
      <c r="K450" s="127"/>
      <c r="L450" s="127"/>
      <c r="M450" s="127"/>
      <c r="RG450" s="6"/>
      <c r="RH450" s="6"/>
      <c r="RI450" s="6"/>
      <c r="RJ450" s="6"/>
      <c r="RK450" s="6"/>
      <c r="RL450" s="45"/>
      <c r="RM450" s="4"/>
      <c r="RN450" s="4"/>
      <c r="RO450" s="4"/>
      <c r="RP450" s="6"/>
    </row>
    <row r="451" spans="1:484" x14ac:dyDescent="0.25">
      <c r="A451" s="46"/>
      <c r="B451" s="47"/>
      <c r="C451" s="127"/>
      <c r="D451" s="127"/>
      <c r="E451" s="127"/>
      <c r="F451" s="127"/>
      <c r="G451" s="127"/>
      <c r="H451" s="127"/>
      <c r="I451" s="127"/>
      <c r="J451" s="127"/>
      <c r="K451" s="127"/>
      <c r="L451" s="127"/>
      <c r="M451" s="127"/>
      <c r="RG451" s="6"/>
      <c r="RH451" s="6"/>
      <c r="RI451" s="6"/>
      <c r="RJ451" s="6"/>
      <c r="RK451" s="6"/>
      <c r="RL451" s="45"/>
      <c r="RM451" s="4"/>
      <c r="RN451" s="4"/>
      <c r="RO451" s="4"/>
      <c r="RP451" s="6"/>
    </row>
    <row r="452" spans="1:484" x14ac:dyDescent="0.25">
      <c r="A452" s="46"/>
      <c r="B452" s="47"/>
      <c r="C452" s="127"/>
      <c r="D452" s="127"/>
      <c r="E452" s="127"/>
      <c r="F452" s="127"/>
      <c r="G452" s="127"/>
      <c r="H452" s="127"/>
      <c r="I452" s="127"/>
      <c r="J452" s="127"/>
      <c r="K452" s="127"/>
      <c r="L452" s="127"/>
      <c r="M452" s="127"/>
      <c r="RG452" s="6"/>
      <c r="RH452" s="6"/>
      <c r="RI452" s="6"/>
      <c r="RJ452" s="6"/>
      <c r="RK452" s="6"/>
      <c r="RL452" s="45"/>
      <c r="RM452" s="4"/>
      <c r="RN452" s="4"/>
      <c r="RO452" s="4"/>
      <c r="RP452" s="6"/>
    </row>
    <row r="453" spans="1:484" x14ac:dyDescent="0.25">
      <c r="A453" s="46"/>
      <c r="B453" s="47"/>
      <c r="C453" s="127"/>
      <c r="D453" s="127"/>
      <c r="E453" s="127"/>
      <c r="F453" s="127"/>
      <c r="G453" s="127"/>
      <c r="H453" s="127"/>
      <c r="I453" s="127"/>
      <c r="J453" s="127"/>
      <c r="K453" s="127"/>
      <c r="L453" s="127"/>
      <c r="M453" s="127"/>
      <c r="RG453" s="6"/>
      <c r="RH453" s="6"/>
      <c r="RI453" s="6"/>
      <c r="RJ453" s="6"/>
      <c r="RK453" s="6"/>
      <c r="RL453" s="45"/>
      <c r="RM453" s="4"/>
      <c r="RN453" s="4"/>
      <c r="RO453" s="4"/>
      <c r="RP453" s="6"/>
    </row>
    <row r="454" spans="1:484" x14ac:dyDescent="0.25">
      <c r="A454" s="46"/>
      <c r="B454" s="47"/>
      <c r="C454" s="127"/>
      <c r="D454" s="127"/>
      <c r="E454" s="127"/>
      <c r="F454" s="127"/>
      <c r="G454" s="127"/>
      <c r="H454" s="127"/>
      <c r="I454" s="127"/>
      <c r="J454" s="127"/>
      <c r="K454" s="127"/>
      <c r="L454" s="127"/>
      <c r="M454" s="127"/>
      <c r="RG454" s="6"/>
      <c r="RH454" s="6"/>
      <c r="RI454" s="6"/>
      <c r="RJ454" s="6"/>
      <c r="RK454" s="6"/>
      <c r="RL454" s="45"/>
      <c r="RM454" s="4"/>
      <c r="RN454" s="4"/>
      <c r="RO454" s="4"/>
      <c r="RP454" s="6"/>
    </row>
    <row r="455" spans="1:484" x14ac:dyDescent="0.25">
      <c r="A455" s="46"/>
      <c r="B455" s="47"/>
      <c r="C455" s="127"/>
      <c r="D455" s="127"/>
      <c r="E455" s="127"/>
      <c r="F455" s="127"/>
      <c r="G455" s="127"/>
      <c r="H455" s="127"/>
      <c r="I455" s="127"/>
      <c r="J455" s="127"/>
      <c r="K455" s="127"/>
      <c r="L455" s="127"/>
      <c r="M455" s="127"/>
      <c r="RG455" s="6"/>
      <c r="RH455" s="6"/>
      <c r="RI455" s="6"/>
      <c r="RJ455" s="6"/>
      <c r="RK455" s="6"/>
      <c r="RL455" s="45"/>
      <c r="RM455" s="4"/>
      <c r="RN455" s="4"/>
      <c r="RO455" s="4"/>
      <c r="RP455" s="6"/>
    </row>
    <row r="456" spans="1:484" x14ac:dyDescent="0.25">
      <c r="A456" s="46"/>
      <c r="B456" s="47"/>
      <c r="C456" s="127"/>
      <c r="D456" s="127"/>
      <c r="E456" s="127"/>
      <c r="F456" s="127"/>
      <c r="G456" s="127"/>
      <c r="H456" s="127"/>
      <c r="I456" s="127"/>
      <c r="J456" s="127"/>
      <c r="K456" s="127"/>
      <c r="L456" s="127"/>
      <c r="M456" s="127"/>
      <c r="RG456" s="6"/>
      <c r="RH456" s="6"/>
      <c r="RI456" s="6"/>
      <c r="RJ456" s="6"/>
      <c r="RK456" s="6"/>
      <c r="RL456" s="45"/>
      <c r="RM456" s="4"/>
      <c r="RN456" s="4"/>
      <c r="RO456" s="4"/>
      <c r="RP456" s="6"/>
    </row>
    <row r="457" spans="1:484" x14ac:dyDescent="0.25">
      <c r="A457" s="46"/>
      <c r="B457" s="47"/>
      <c r="C457" s="127"/>
      <c r="D457" s="127"/>
      <c r="E457" s="127"/>
      <c r="F457" s="127"/>
      <c r="G457" s="127"/>
      <c r="H457" s="127"/>
      <c r="I457" s="127"/>
      <c r="J457" s="127"/>
      <c r="K457" s="127"/>
      <c r="L457" s="127"/>
      <c r="M457" s="127"/>
      <c r="RG457" s="6"/>
      <c r="RH457" s="6"/>
      <c r="RI457" s="6"/>
      <c r="RJ457" s="6"/>
      <c r="RK457" s="6"/>
      <c r="RL457" s="45"/>
      <c r="RM457" s="4"/>
      <c r="RN457" s="4"/>
      <c r="RO457" s="4"/>
      <c r="RP457" s="6"/>
    </row>
    <row r="458" spans="1:484" x14ac:dyDescent="0.25">
      <c r="A458" s="46"/>
      <c r="B458" s="47"/>
      <c r="C458" s="127"/>
      <c r="D458" s="127"/>
      <c r="E458" s="127"/>
      <c r="F458" s="127"/>
      <c r="G458" s="127"/>
      <c r="H458" s="127"/>
      <c r="I458" s="127"/>
      <c r="J458" s="127"/>
      <c r="K458" s="127"/>
      <c r="L458" s="127"/>
      <c r="M458" s="127"/>
      <c r="RG458" s="6"/>
      <c r="RH458" s="6"/>
      <c r="RI458" s="6"/>
      <c r="RJ458" s="6"/>
      <c r="RK458" s="6"/>
      <c r="RL458" s="45"/>
      <c r="RM458" s="4"/>
      <c r="RN458" s="4"/>
      <c r="RO458" s="4"/>
      <c r="RP458" s="6"/>
    </row>
    <row r="459" spans="1:484" x14ac:dyDescent="0.25">
      <c r="A459" s="46"/>
      <c r="B459" s="47"/>
      <c r="C459" s="127"/>
      <c r="D459" s="127"/>
      <c r="E459" s="127"/>
      <c r="F459" s="127"/>
      <c r="G459" s="127"/>
      <c r="H459" s="127"/>
      <c r="I459" s="127"/>
      <c r="J459" s="127"/>
      <c r="K459" s="127"/>
      <c r="L459" s="127"/>
      <c r="M459" s="127"/>
      <c r="RG459" s="6"/>
      <c r="RH459" s="6"/>
      <c r="RI459" s="6"/>
      <c r="RJ459" s="6"/>
      <c r="RK459" s="6"/>
      <c r="RL459" s="45"/>
      <c r="RM459" s="4"/>
      <c r="RN459" s="4"/>
      <c r="RO459" s="4"/>
      <c r="RP459" s="6"/>
    </row>
    <row r="460" spans="1:484" x14ac:dyDescent="0.25">
      <c r="A460" s="46"/>
      <c r="B460" s="47"/>
      <c r="C460" s="127"/>
      <c r="D460" s="127"/>
      <c r="E460" s="127"/>
      <c r="F460" s="127"/>
      <c r="G460" s="127"/>
      <c r="H460" s="127"/>
      <c r="I460" s="127"/>
      <c r="J460" s="127"/>
      <c r="K460" s="127"/>
      <c r="L460" s="127"/>
      <c r="M460" s="127"/>
      <c r="RG460" s="6"/>
      <c r="RH460" s="6"/>
      <c r="RI460" s="6"/>
      <c r="RJ460" s="6"/>
      <c r="RK460" s="6"/>
      <c r="RL460" s="45"/>
      <c r="RM460" s="4"/>
      <c r="RN460" s="4"/>
      <c r="RO460" s="4"/>
      <c r="RP460" s="6"/>
    </row>
    <row r="461" spans="1:484" x14ac:dyDescent="0.25">
      <c r="A461" s="46"/>
      <c r="B461" s="47"/>
      <c r="C461" s="127"/>
      <c r="D461" s="127"/>
      <c r="E461" s="127"/>
      <c r="F461" s="127"/>
      <c r="G461" s="127"/>
      <c r="H461" s="127"/>
      <c r="I461" s="127"/>
      <c r="J461" s="127"/>
      <c r="K461" s="127"/>
      <c r="L461" s="127"/>
      <c r="M461" s="127"/>
      <c r="RG461" s="6"/>
      <c r="RH461" s="6"/>
      <c r="RI461" s="6"/>
      <c r="RJ461" s="6"/>
      <c r="RK461" s="6"/>
      <c r="RL461" s="45"/>
      <c r="RM461" s="4"/>
      <c r="RN461" s="4"/>
      <c r="RO461" s="4"/>
      <c r="RP461" s="6"/>
    </row>
    <row r="462" spans="1:484" x14ac:dyDescent="0.25">
      <c r="A462" s="46"/>
      <c r="B462" s="47"/>
      <c r="C462" s="127"/>
      <c r="D462" s="127"/>
      <c r="E462" s="127"/>
      <c r="F462" s="127"/>
      <c r="G462" s="127"/>
      <c r="H462" s="127"/>
      <c r="I462" s="127"/>
      <c r="J462" s="127"/>
      <c r="K462" s="127"/>
      <c r="L462" s="127"/>
      <c r="M462" s="127"/>
      <c r="RG462" s="6"/>
      <c r="RH462" s="6"/>
      <c r="RI462" s="6"/>
      <c r="RJ462" s="6"/>
      <c r="RK462" s="6"/>
      <c r="RL462" s="45"/>
      <c r="RM462" s="4"/>
      <c r="RN462" s="4"/>
      <c r="RO462" s="4"/>
      <c r="RP462" s="6"/>
    </row>
    <row r="463" spans="1:484" x14ac:dyDescent="0.25">
      <c r="A463" s="46"/>
      <c r="B463" s="4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RG463" s="6"/>
      <c r="RH463" s="6"/>
      <c r="RI463" s="6"/>
      <c r="RJ463" s="6"/>
      <c r="RK463" s="6"/>
      <c r="RL463" s="45"/>
      <c r="RM463" s="4"/>
      <c r="RN463" s="4"/>
      <c r="RO463" s="4"/>
      <c r="RP463" s="6"/>
    </row>
    <row r="464" spans="1:484" x14ac:dyDescent="0.25">
      <c r="A464" s="46"/>
      <c r="B464" s="47"/>
      <c r="C464" s="127"/>
      <c r="D464" s="127"/>
      <c r="E464" s="127"/>
      <c r="F464" s="127"/>
      <c r="G464" s="127"/>
      <c r="H464" s="127"/>
      <c r="I464" s="127"/>
      <c r="J464" s="127"/>
      <c r="K464" s="127"/>
      <c r="L464" s="127"/>
      <c r="M464" s="127"/>
      <c r="RG464" s="6"/>
      <c r="RH464" s="6"/>
      <c r="RI464" s="6"/>
      <c r="RJ464" s="6"/>
      <c r="RK464" s="6"/>
      <c r="RL464" s="45"/>
      <c r="RM464" s="4"/>
      <c r="RN464" s="4"/>
      <c r="RO464" s="4"/>
      <c r="RP464" s="6"/>
    </row>
    <row r="465" spans="1:484" x14ac:dyDescent="0.25">
      <c r="A465" s="46"/>
      <c r="B465" s="47"/>
      <c r="C465" s="127"/>
      <c r="D465" s="127"/>
      <c r="E465" s="127"/>
      <c r="F465" s="127"/>
      <c r="G465" s="127"/>
      <c r="H465" s="127"/>
      <c r="I465" s="127"/>
      <c r="J465" s="127"/>
      <c r="K465" s="127"/>
      <c r="L465" s="127"/>
      <c r="M465" s="127"/>
      <c r="RG465" s="6"/>
      <c r="RH465" s="6"/>
      <c r="RI465" s="6"/>
      <c r="RJ465" s="6"/>
      <c r="RK465" s="6"/>
      <c r="RL465" s="45"/>
      <c r="RM465" s="4"/>
      <c r="RN465" s="4"/>
      <c r="RO465" s="4"/>
      <c r="RP465" s="6"/>
    </row>
    <row r="466" spans="1:484" x14ac:dyDescent="0.25">
      <c r="A466" s="46"/>
      <c r="B466" s="47"/>
      <c r="C466" s="127"/>
      <c r="D466" s="127"/>
      <c r="E466" s="127"/>
      <c r="F466" s="127"/>
      <c r="G466" s="127"/>
      <c r="H466" s="127"/>
      <c r="I466" s="127"/>
      <c r="J466" s="127"/>
      <c r="K466" s="127"/>
      <c r="L466" s="127"/>
      <c r="M466" s="127"/>
      <c r="RG466" s="6"/>
      <c r="RH466" s="6"/>
      <c r="RI466" s="6"/>
      <c r="RJ466" s="6"/>
      <c r="RK466" s="6"/>
      <c r="RL466" s="45"/>
      <c r="RM466" s="4"/>
      <c r="RN466" s="4"/>
      <c r="RO466" s="4"/>
      <c r="RP466" s="6"/>
    </row>
    <row r="467" spans="1:484" x14ac:dyDescent="0.25">
      <c r="A467" s="46"/>
      <c r="B467" s="47"/>
      <c r="C467" s="127"/>
      <c r="D467" s="127"/>
      <c r="E467" s="127"/>
      <c r="F467" s="127"/>
      <c r="G467" s="127"/>
      <c r="H467" s="127"/>
      <c r="I467" s="127"/>
      <c r="J467" s="127"/>
      <c r="K467" s="127"/>
      <c r="L467" s="127"/>
      <c r="M467" s="127"/>
      <c r="RG467" s="6"/>
      <c r="RH467" s="6"/>
      <c r="RI467" s="6"/>
      <c r="RJ467" s="6"/>
      <c r="RK467" s="6"/>
      <c r="RL467" s="45"/>
      <c r="RM467" s="4"/>
      <c r="RN467" s="4"/>
      <c r="RO467" s="4"/>
      <c r="RP467" s="6"/>
    </row>
    <row r="468" spans="1:484" x14ac:dyDescent="0.25">
      <c r="A468" s="46"/>
      <c r="B468" s="47"/>
      <c r="C468" s="127"/>
      <c r="D468" s="127"/>
      <c r="E468" s="127"/>
      <c r="F468" s="127"/>
      <c r="G468" s="127"/>
      <c r="H468" s="127"/>
      <c r="I468" s="127"/>
      <c r="J468" s="127"/>
      <c r="K468" s="127"/>
      <c r="L468" s="127"/>
      <c r="M468" s="127"/>
      <c r="RG468" s="6"/>
      <c r="RH468" s="6"/>
      <c r="RI468" s="6"/>
      <c r="RJ468" s="6"/>
      <c r="RK468" s="6"/>
      <c r="RL468" s="45"/>
      <c r="RM468" s="4"/>
      <c r="RN468" s="4"/>
      <c r="RO468" s="4"/>
      <c r="RP468" s="6"/>
    </row>
    <row r="469" spans="1:484" x14ac:dyDescent="0.25">
      <c r="A469" s="46"/>
      <c r="B469" s="47"/>
      <c r="C469" s="127"/>
      <c r="D469" s="127"/>
      <c r="E469" s="127"/>
      <c r="F469" s="127"/>
      <c r="G469" s="127"/>
      <c r="H469" s="127"/>
      <c r="I469" s="127"/>
      <c r="J469" s="127"/>
      <c r="K469" s="127"/>
      <c r="L469" s="127"/>
      <c r="M469" s="127"/>
      <c r="RG469" s="6"/>
      <c r="RH469" s="6"/>
      <c r="RI469" s="6"/>
      <c r="RJ469" s="6"/>
      <c r="RK469" s="6"/>
      <c r="RL469" s="45"/>
      <c r="RM469" s="4"/>
      <c r="RN469" s="4"/>
      <c r="RO469" s="4"/>
      <c r="RP469" s="6"/>
    </row>
    <row r="470" spans="1:484" x14ac:dyDescent="0.25">
      <c r="A470" s="46"/>
      <c r="B470" s="47"/>
      <c r="C470" s="127"/>
      <c r="D470" s="127"/>
      <c r="E470" s="127"/>
      <c r="F470" s="127"/>
      <c r="G470" s="127"/>
      <c r="H470" s="127"/>
      <c r="I470" s="127"/>
      <c r="J470" s="127"/>
      <c r="K470" s="127"/>
      <c r="L470" s="127"/>
      <c r="M470" s="127"/>
      <c r="RG470" s="6"/>
      <c r="RH470" s="6"/>
      <c r="RI470" s="6"/>
      <c r="RJ470" s="6"/>
      <c r="RK470" s="6"/>
      <c r="RL470" s="45"/>
      <c r="RM470" s="4"/>
      <c r="RN470" s="4"/>
      <c r="RO470" s="4"/>
      <c r="RP470" s="6"/>
    </row>
    <row r="471" spans="1:484" x14ac:dyDescent="0.25">
      <c r="A471" s="46"/>
      <c r="B471" s="47"/>
      <c r="C471" s="127"/>
      <c r="D471" s="127"/>
      <c r="E471" s="127"/>
      <c r="F471" s="127"/>
      <c r="G471" s="127"/>
      <c r="H471" s="127"/>
      <c r="I471" s="127"/>
      <c r="J471" s="127"/>
      <c r="K471" s="127"/>
      <c r="L471" s="127"/>
      <c r="M471" s="127"/>
      <c r="RG471" s="6"/>
      <c r="RH471" s="6"/>
      <c r="RI471" s="6"/>
      <c r="RJ471" s="6"/>
      <c r="RK471" s="6"/>
      <c r="RL471" s="45"/>
      <c r="RM471" s="4"/>
      <c r="RN471" s="4"/>
      <c r="RO471" s="4"/>
      <c r="RP471" s="6"/>
    </row>
    <row r="472" spans="1:484" x14ac:dyDescent="0.25">
      <c r="A472" s="46"/>
      <c r="B472" s="47"/>
      <c r="C472" s="127"/>
      <c r="D472" s="127"/>
      <c r="E472" s="127"/>
      <c r="F472" s="127"/>
      <c r="G472" s="127"/>
      <c r="H472" s="127"/>
      <c r="I472" s="127"/>
      <c r="J472" s="127"/>
      <c r="K472" s="127"/>
      <c r="L472" s="127"/>
      <c r="M472" s="127"/>
      <c r="RG472" s="6"/>
      <c r="RH472" s="6"/>
      <c r="RI472" s="6"/>
      <c r="RJ472" s="6"/>
      <c r="RK472" s="6"/>
      <c r="RL472" s="45"/>
      <c r="RM472" s="4"/>
      <c r="RN472" s="4"/>
      <c r="RO472" s="4"/>
      <c r="RP472" s="6"/>
    </row>
    <row r="473" spans="1:484" x14ac:dyDescent="0.25">
      <c r="A473" s="46"/>
      <c r="B473" s="47"/>
      <c r="C473" s="127"/>
      <c r="D473" s="127"/>
      <c r="E473" s="127"/>
      <c r="F473" s="127"/>
      <c r="G473" s="127"/>
      <c r="H473" s="127"/>
      <c r="I473" s="127"/>
      <c r="J473" s="127"/>
      <c r="K473" s="127"/>
      <c r="L473" s="127"/>
      <c r="M473" s="127"/>
      <c r="RG473" s="6"/>
      <c r="RH473" s="6"/>
      <c r="RI473" s="6"/>
      <c r="RJ473" s="6"/>
      <c r="RK473" s="6"/>
      <c r="RL473" s="45"/>
      <c r="RM473" s="4"/>
      <c r="RN473" s="4"/>
      <c r="RO473" s="4"/>
      <c r="RP473" s="6"/>
    </row>
    <row r="474" spans="1:484" x14ac:dyDescent="0.25">
      <c r="A474" s="46"/>
      <c r="B474" s="47"/>
      <c r="C474" s="127"/>
      <c r="D474" s="127"/>
      <c r="E474" s="127"/>
      <c r="F474" s="127"/>
      <c r="G474" s="127"/>
      <c r="H474" s="127"/>
      <c r="I474" s="127"/>
      <c r="J474" s="127"/>
      <c r="K474" s="127"/>
      <c r="L474" s="127"/>
      <c r="M474" s="127"/>
      <c r="RG474" s="6"/>
      <c r="RH474" s="6"/>
      <c r="RI474" s="6"/>
      <c r="RJ474" s="6"/>
      <c r="RK474" s="6"/>
      <c r="RL474" s="45"/>
      <c r="RM474" s="4"/>
      <c r="RN474" s="4"/>
      <c r="RO474" s="4"/>
      <c r="RP474" s="6"/>
    </row>
    <row r="475" spans="1:484" x14ac:dyDescent="0.25">
      <c r="A475" s="46"/>
      <c r="B475" s="47"/>
      <c r="C475" s="127"/>
      <c r="D475" s="127"/>
      <c r="E475" s="127"/>
      <c r="F475" s="127"/>
      <c r="G475" s="127"/>
      <c r="H475" s="127"/>
      <c r="I475" s="127"/>
      <c r="J475" s="127"/>
      <c r="K475" s="127"/>
      <c r="L475" s="127"/>
      <c r="M475" s="127"/>
      <c r="RG475" s="6"/>
      <c r="RH475" s="6"/>
      <c r="RI475" s="6"/>
      <c r="RJ475" s="6"/>
      <c r="RK475" s="6"/>
      <c r="RL475" s="45"/>
      <c r="RM475" s="4"/>
      <c r="RN475" s="4"/>
      <c r="RO475" s="4"/>
      <c r="RP475" s="6"/>
    </row>
    <row r="476" spans="1:484" x14ac:dyDescent="0.25">
      <c r="A476" s="46"/>
      <c r="B476" s="47"/>
      <c r="C476" s="127"/>
      <c r="D476" s="127"/>
      <c r="E476" s="127"/>
      <c r="F476" s="127"/>
      <c r="G476" s="127"/>
      <c r="H476" s="127"/>
      <c r="I476" s="127"/>
      <c r="J476" s="127"/>
      <c r="K476" s="127"/>
      <c r="L476" s="127"/>
      <c r="M476" s="127"/>
      <c r="RG476" s="6"/>
      <c r="RH476" s="6"/>
      <c r="RI476" s="6"/>
      <c r="RJ476" s="6"/>
      <c r="RK476" s="6"/>
      <c r="RL476" s="45"/>
      <c r="RM476" s="4"/>
      <c r="RN476" s="4"/>
      <c r="RO476" s="4"/>
      <c r="RP476" s="6"/>
    </row>
    <row r="477" spans="1:484" x14ac:dyDescent="0.25">
      <c r="A477" s="46"/>
      <c r="B477" s="47"/>
      <c r="C477" s="127"/>
      <c r="D477" s="127"/>
      <c r="E477" s="127"/>
      <c r="F477" s="127"/>
      <c r="G477" s="127"/>
      <c r="H477" s="127"/>
      <c r="I477" s="127"/>
      <c r="J477" s="127"/>
      <c r="K477" s="127"/>
      <c r="L477" s="127"/>
      <c r="M477" s="127"/>
      <c r="RG477" s="6"/>
      <c r="RH477" s="6"/>
      <c r="RI477" s="6"/>
      <c r="RJ477" s="6"/>
      <c r="RK477" s="6"/>
      <c r="RL477" s="45"/>
      <c r="RM477" s="4"/>
      <c r="RN477" s="4"/>
      <c r="RO477" s="4"/>
      <c r="RP477" s="6"/>
    </row>
    <row r="478" spans="1:484" x14ac:dyDescent="0.25">
      <c r="A478" s="46"/>
      <c r="B478" s="47"/>
      <c r="C478" s="127"/>
      <c r="D478" s="127"/>
      <c r="E478" s="127"/>
      <c r="F478" s="127"/>
      <c r="G478" s="127"/>
      <c r="H478" s="127"/>
      <c r="I478" s="127"/>
      <c r="J478" s="127"/>
      <c r="K478" s="127"/>
      <c r="L478" s="127"/>
      <c r="M478" s="127"/>
      <c r="RG478" s="6"/>
      <c r="RH478" s="6"/>
      <c r="RI478" s="6"/>
      <c r="RJ478" s="6"/>
      <c r="RK478" s="6"/>
      <c r="RL478" s="45"/>
      <c r="RM478" s="4"/>
      <c r="RN478" s="4"/>
      <c r="RO478" s="4"/>
      <c r="RP478" s="6"/>
    </row>
    <row r="479" spans="1:484" x14ac:dyDescent="0.25">
      <c r="A479" s="46"/>
      <c r="B479" s="4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RG479" s="6"/>
      <c r="RH479" s="6"/>
      <c r="RI479" s="6"/>
      <c r="RJ479" s="6"/>
      <c r="RK479" s="6"/>
      <c r="RL479" s="45"/>
      <c r="RM479" s="4"/>
      <c r="RN479" s="4"/>
      <c r="RO479" s="4"/>
      <c r="RP479" s="6"/>
    </row>
    <row r="480" spans="1:484" x14ac:dyDescent="0.25">
      <c r="A480" s="46"/>
      <c r="B480" s="47"/>
      <c r="C480" s="127"/>
      <c r="D480" s="127"/>
      <c r="E480" s="127"/>
      <c r="F480" s="127"/>
      <c r="G480" s="127"/>
      <c r="H480" s="127"/>
      <c r="I480" s="127"/>
      <c r="J480" s="127"/>
      <c r="K480" s="127"/>
      <c r="L480" s="127"/>
      <c r="M480" s="127"/>
      <c r="RG480" s="6"/>
      <c r="RH480" s="6"/>
      <c r="RI480" s="6"/>
      <c r="RJ480" s="6"/>
      <c r="RK480" s="6"/>
      <c r="RL480" s="45"/>
      <c r="RM480" s="4"/>
      <c r="RN480" s="4"/>
      <c r="RO480" s="4"/>
      <c r="RP480" s="6"/>
    </row>
    <row r="481" spans="1:484" x14ac:dyDescent="0.25">
      <c r="A481" s="46"/>
      <c r="B481" s="47"/>
      <c r="C481" s="127"/>
      <c r="D481" s="127"/>
      <c r="E481" s="127"/>
      <c r="F481" s="127"/>
      <c r="G481" s="127"/>
      <c r="H481" s="127"/>
      <c r="I481" s="127"/>
      <c r="J481" s="127"/>
      <c r="K481" s="127"/>
      <c r="L481" s="127"/>
      <c r="M481" s="127"/>
      <c r="RG481" s="6"/>
      <c r="RH481" s="6"/>
      <c r="RI481" s="6"/>
      <c r="RJ481" s="6"/>
      <c r="RK481" s="6"/>
      <c r="RL481" s="45"/>
      <c r="RM481" s="4"/>
      <c r="RN481" s="4"/>
      <c r="RO481" s="4"/>
      <c r="RP481" s="6"/>
    </row>
    <row r="482" spans="1:484" x14ac:dyDescent="0.25">
      <c r="A482" s="46"/>
      <c r="B482" s="47"/>
      <c r="C482" s="127"/>
      <c r="D482" s="127"/>
      <c r="E482" s="127"/>
      <c r="F482" s="127"/>
      <c r="G482" s="127"/>
      <c r="H482" s="127"/>
      <c r="I482" s="127"/>
      <c r="J482" s="127"/>
      <c r="K482" s="127"/>
      <c r="L482" s="127"/>
      <c r="M482" s="127"/>
      <c r="RG482" s="6"/>
      <c r="RH482" s="6"/>
      <c r="RI482" s="6"/>
      <c r="RJ482" s="6"/>
      <c r="RK482" s="6"/>
      <c r="RL482" s="45"/>
      <c r="RM482" s="4"/>
      <c r="RN482" s="4"/>
      <c r="RO482" s="4"/>
      <c r="RP482" s="6"/>
    </row>
    <row r="483" spans="1:484" x14ac:dyDescent="0.25">
      <c r="A483" s="46"/>
      <c r="B483" s="47"/>
      <c r="C483" s="127"/>
      <c r="D483" s="127"/>
      <c r="E483" s="127"/>
      <c r="F483" s="127"/>
      <c r="G483" s="127"/>
      <c r="H483" s="127"/>
      <c r="I483" s="127"/>
      <c r="J483" s="127"/>
      <c r="K483" s="127"/>
      <c r="L483" s="127"/>
      <c r="M483" s="127"/>
      <c r="RG483" s="6"/>
      <c r="RH483" s="6"/>
      <c r="RI483" s="6"/>
      <c r="RJ483" s="6"/>
      <c r="RK483" s="6"/>
      <c r="RL483" s="45"/>
      <c r="RM483" s="4"/>
      <c r="RN483" s="4"/>
      <c r="RO483" s="4"/>
      <c r="RP483" s="6"/>
    </row>
    <row r="484" spans="1:484" x14ac:dyDescent="0.25">
      <c r="A484" s="46"/>
      <c r="B484" s="47"/>
      <c r="C484" s="127"/>
      <c r="D484" s="127"/>
      <c r="E484" s="127"/>
      <c r="F484" s="127"/>
      <c r="G484" s="127"/>
      <c r="H484" s="127"/>
      <c r="I484" s="127"/>
      <c r="J484" s="127"/>
      <c r="K484" s="127"/>
      <c r="L484" s="127"/>
      <c r="M484" s="127"/>
      <c r="RG484" s="6"/>
      <c r="RH484" s="6"/>
      <c r="RI484" s="6"/>
      <c r="RJ484" s="6"/>
      <c r="RK484" s="6"/>
      <c r="RL484" s="45"/>
      <c r="RM484" s="4"/>
      <c r="RN484" s="4"/>
      <c r="RO484" s="4"/>
      <c r="RP484" s="6"/>
    </row>
    <row r="485" spans="1:484" x14ac:dyDescent="0.25">
      <c r="A485" s="46"/>
      <c r="B485" s="47"/>
      <c r="C485" s="127"/>
      <c r="D485" s="127"/>
      <c r="E485" s="127"/>
      <c r="F485" s="127"/>
      <c r="G485" s="127"/>
      <c r="H485" s="127"/>
      <c r="I485" s="127"/>
      <c r="J485" s="127"/>
      <c r="K485" s="127"/>
      <c r="L485" s="127"/>
      <c r="M485" s="127"/>
      <c r="RG485" s="6"/>
      <c r="RH485" s="6"/>
      <c r="RI485" s="6"/>
      <c r="RJ485" s="6"/>
      <c r="RK485" s="6"/>
      <c r="RL485" s="45"/>
      <c r="RM485" s="4"/>
      <c r="RN485" s="4"/>
      <c r="RO485" s="4"/>
      <c r="RP485" s="6"/>
    </row>
    <row r="486" spans="1:484" x14ac:dyDescent="0.25">
      <c r="A486" s="46"/>
      <c r="B486" s="47"/>
      <c r="C486" s="127"/>
      <c r="D486" s="127"/>
      <c r="E486" s="127"/>
      <c r="F486" s="127"/>
      <c r="G486" s="127"/>
      <c r="H486" s="127"/>
      <c r="I486" s="127"/>
      <c r="J486" s="127"/>
      <c r="K486" s="127"/>
      <c r="L486" s="127"/>
      <c r="M486" s="127"/>
      <c r="RG486" s="6"/>
      <c r="RH486" s="6"/>
      <c r="RI486" s="6"/>
      <c r="RJ486" s="6"/>
      <c r="RK486" s="6"/>
      <c r="RL486" s="45"/>
      <c r="RM486" s="4"/>
      <c r="RN486" s="4"/>
      <c r="RO486" s="4"/>
      <c r="RP486" s="6"/>
    </row>
    <row r="487" spans="1:484" x14ac:dyDescent="0.25">
      <c r="A487" s="46"/>
      <c r="B487" s="47"/>
      <c r="C487" s="127"/>
      <c r="D487" s="127"/>
      <c r="E487" s="127"/>
      <c r="F487" s="127"/>
      <c r="G487" s="127"/>
      <c r="H487" s="127"/>
      <c r="I487" s="127"/>
      <c r="J487" s="127"/>
      <c r="K487" s="127"/>
      <c r="L487" s="127"/>
      <c r="M487" s="127"/>
      <c r="RG487" s="6"/>
      <c r="RH487" s="6"/>
      <c r="RI487" s="6"/>
      <c r="RJ487" s="6"/>
      <c r="RK487" s="6"/>
      <c r="RL487" s="45"/>
      <c r="RM487" s="4"/>
      <c r="RN487" s="4"/>
      <c r="RO487" s="4"/>
      <c r="RP487" s="6"/>
    </row>
    <row r="488" spans="1:484" x14ac:dyDescent="0.25">
      <c r="A488" s="46"/>
      <c r="B488" s="47"/>
      <c r="C488" s="127"/>
      <c r="D488" s="127"/>
      <c r="E488" s="127"/>
      <c r="F488" s="127"/>
      <c r="G488" s="127"/>
      <c r="H488" s="127"/>
      <c r="I488" s="127"/>
      <c r="J488" s="127"/>
      <c r="K488" s="127"/>
      <c r="L488" s="127"/>
      <c r="M488" s="127"/>
      <c r="RG488" s="6"/>
      <c r="RH488" s="6"/>
      <c r="RI488" s="6"/>
      <c r="RJ488" s="6"/>
      <c r="RK488" s="6"/>
      <c r="RL488" s="45"/>
      <c r="RM488" s="4"/>
      <c r="RN488" s="4"/>
      <c r="RO488" s="4"/>
      <c r="RP488" s="6"/>
    </row>
    <row r="489" spans="1:484" x14ac:dyDescent="0.25">
      <c r="A489" s="46"/>
      <c r="B489" s="47"/>
      <c r="C489" s="127"/>
      <c r="D489" s="127"/>
      <c r="E489" s="127"/>
      <c r="F489" s="127"/>
      <c r="G489" s="127"/>
      <c r="H489" s="127"/>
      <c r="I489" s="127"/>
      <c r="J489" s="127"/>
      <c r="K489" s="127"/>
      <c r="L489" s="127"/>
      <c r="M489" s="127"/>
      <c r="RG489" s="6"/>
      <c r="RH489" s="6"/>
      <c r="RI489" s="6"/>
      <c r="RJ489" s="6"/>
      <c r="RK489" s="6"/>
      <c r="RL489" s="45"/>
      <c r="RM489" s="4"/>
      <c r="RN489" s="4"/>
      <c r="RO489" s="4"/>
      <c r="RP489" s="6"/>
    </row>
    <row r="490" spans="1:484" x14ac:dyDescent="0.25">
      <c r="A490" s="46"/>
      <c r="B490" s="47"/>
      <c r="C490" s="127"/>
      <c r="D490" s="127"/>
      <c r="E490" s="127"/>
      <c r="F490" s="127"/>
      <c r="G490" s="127"/>
      <c r="H490" s="127"/>
      <c r="I490" s="127"/>
      <c r="J490" s="127"/>
      <c r="K490" s="127"/>
      <c r="L490" s="127"/>
      <c r="M490" s="127"/>
      <c r="RG490" s="6"/>
      <c r="RH490" s="6"/>
      <c r="RI490" s="6"/>
      <c r="RJ490" s="6"/>
      <c r="RK490" s="6"/>
      <c r="RL490" s="45"/>
      <c r="RM490" s="4"/>
      <c r="RN490" s="4"/>
      <c r="RO490" s="4"/>
      <c r="RP490" s="6"/>
    </row>
    <row r="491" spans="1:484" x14ac:dyDescent="0.25">
      <c r="A491" s="46"/>
      <c r="B491" s="47"/>
      <c r="C491" s="127"/>
      <c r="D491" s="127"/>
      <c r="E491" s="127"/>
      <c r="F491" s="127"/>
      <c r="G491" s="127"/>
      <c r="H491" s="127"/>
      <c r="I491" s="127"/>
      <c r="J491" s="127"/>
      <c r="K491" s="127"/>
      <c r="L491" s="127"/>
      <c r="M491" s="127"/>
      <c r="RG491" s="6"/>
      <c r="RH491" s="6"/>
      <c r="RI491" s="6"/>
      <c r="RJ491" s="6"/>
      <c r="RK491" s="6"/>
      <c r="RL491" s="45"/>
      <c r="RM491" s="4"/>
      <c r="RN491" s="4"/>
      <c r="RO491" s="4"/>
      <c r="RP491" s="6"/>
    </row>
    <row r="492" spans="1:484" x14ac:dyDescent="0.25">
      <c r="A492" s="46"/>
      <c r="B492" s="47"/>
      <c r="C492" s="127"/>
      <c r="D492" s="127"/>
      <c r="E492" s="127"/>
      <c r="F492" s="127"/>
      <c r="G492" s="127"/>
      <c r="H492" s="127"/>
      <c r="I492" s="127"/>
      <c r="J492" s="127"/>
      <c r="K492" s="127"/>
      <c r="L492" s="127"/>
      <c r="M492" s="127"/>
      <c r="RG492" s="6"/>
      <c r="RH492" s="6"/>
      <c r="RI492" s="6"/>
      <c r="RJ492" s="6"/>
      <c r="RK492" s="6"/>
      <c r="RL492" s="45"/>
      <c r="RM492" s="4"/>
      <c r="RN492" s="4"/>
      <c r="RO492" s="4"/>
      <c r="RP492" s="6"/>
    </row>
    <row r="493" spans="1:484" x14ac:dyDescent="0.25">
      <c r="A493" s="46"/>
      <c r="B493" s="47"/>
      <c r="C493" s="127"/>
      <c r="D493" s="127"/>
      <c r="E493" s="127"/>
      <c r="F493" s="127"/>
      <c r="G493" s="127"/>
      <c r="H493" s="127"/>
      <c r="I493" s="127"/>
      <c r="J493" s="127"/>
      <c r="K493" s="127"/>
      <c r="L493" s="127"/>
      <c r="M493" s="127"/>
      <c r="RG493" s="6"/>
      <c r="RH493" s="6"/>
      <c r="RI493" s="6"/>
      <c r="RJ493" s="6"/>
      <c r="RK493" s="6"/>
      <c r="RL493" s="45"/>
      <c r="RM493" s="4"/>
      <c r="RN493" s="4"/>
      <c r="RO493" s="4"/>
      <c r="RP493" s="6"/>
    </row>
    <row r="494" spans="1:484" x14ac:dyDescent="0.25">
      <c r="A494" s="46"/>
      <c r="B494" s="4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RG494" s="6"/>
      <c r="RH494" s="6"/>
      <c r="RI494" s="6"/>
      <c r="RJ494" s="6"/>
      <c r="RK494" s="6"/>
      <c r="RL494" s="45"/>
      <c r="RM494" s="4"/>
      <c r="RN494" s="4"/>
      <c r="RO494" s="4"/>
      <c r="RP494" s="6"/>
    </row>
    <row r="495" spans="1:484" x14ac:dyDescent="0.25">
      <c r="A495" s="46"/>
      <c r="B495" s="47"/>
      <c r="C495" s="127"/>
      <c r="D495" s="127"/>
      <c r="E495" s="127"/>
      <c r="F495" s="127"/>
      <c r="G495" s="127"/>
      <c r="H495" s="127"/>
      <c r="I495" s="127"/>
      <c r="J495" s="127"/>
      <c r="K495" s="127"/>
      <c r="L495" s="127"/>
      <c r="M495" s="127"/>
      <c r="RG495" s="6"/>
      <c r="RH495" s="6"/>
      <c r="RI495" s="6"/>
      <c r="RJ495" s="6"/>
      <c r="RK495" s="6"/>
      <c r="RL495" s="45"/>
      <c r="RM495" s="4"/>
      <c r="RN495" s="4"/>
      <c r="RO495" s="4"/>
      <c r="RP495" s="6"/>
    </row>
    <row r="496" spans="1:484" x14ac:dyDescent="0.25">
      <c r="A496" s="46"/>
      <c r="B496" s="47"/>
      <c r="C496" s="127"/>
      <c r="D496" s="127"/>
      <c r="E496" s="127"/>
      <c r="F496" s="127"/>
      <c r="G496" s="127"/>
      <c r="H496" s="127"/>
      <c r="I496" s="127"/>
      <c r="J496" s="127"/>
      <c r="K496" s="127"/>
      <c r="L496" s="127"/>
      <c r="M496" s="127"/>
      <c r="RG496" s="6"/>
      <c r="RH496" s="6"/>
      <c r="RI496" s="6"/>
      <c r="RJ496" s="6"/>
      <c r="RK496" s="6"/>
      <c r="RL496" s="45"/>
      <c r="RM496" s="4"/>
      <c r="RN496" s="4"/>
      <c r="RO496" s="4"/>
      <c r="RP496" s="6"/>
    </row>
    <row r="497" spans="1:484" x14ac:dyDescent="0.25">
      <c r="A497" s="46"/>
      <c r="B497" s="47"/>
      <c r="C497" s="127"/>
      <c r="D497" s="127"/>
      <c r="E497" s="127"/>
      <c r="F497" s="127"/>
      <c r="G497" s="127"/>
      <c r="H497" s="127"/>
      <c r="I497" s="127"/>
      <c r="J497" s="127"/>
      <c r="K497" s="127"/>
      <c r="L497" s="127"/>
      <c r="M497" s="127"/>
      <c r="RG497" s="6"/>
      <c r="RH497" s="6"/>
      <c r="RI497" s="6"/>
      <c r="RJ497" s="6"/>
      <c r="RK497" s="6"/>
      <c r="RL497" s="45"/>
      <c r="RM497" s="4"/>
      <c r="RN497" s="4"/>
      <c r="RO497" s="4"/>
      <c r="RP497" s="6"/>
    </row>
    <row r="498" spans="1:484" x14ac:dyDescent="0.25">
      <c r="A498" s="46"/>
      <c r="B498" s="47"/>
      <c r="C498" s="127"/>
      <c r="D498" s="127"/>
      <c r="E498" s="127"/>
      <c r="F498" s="127"/>
      <c r="G498" s="127"/>
      <c r="H498" s="127"/>
      <c r="I498" s="127"/>
      <c r="J498" s="127"/>
      <c r="K498" s="127"/>
      <c r="L498" s="127"/>
      <c r="M498" s="127"/>
      <c r="RG498" s="6"/>
      <c r="RH498" s="6"/>
      <c r="RI498" s="6"/>
      <c r="RJ498" s="6"/>
      <c r="RK498" s="6"/>
      <c r="RL498" s="45"/>
      <c r="RM498" s="4"/>
      <c r="RN498" s="4"/>
      <c r="RO498" s="4"/>
      <c r="RP498" s="6"/>
    </row>
    <row r="499" spans="1:484" x14ac:dyDescent="0.25">
      <c r="A499" s="46"/>
      <c r="B499" s="47"/>
      <c r="C499" s="127"/>
      <c r="D499" s="127"/>
      <c r="E499" s="127"/>
      <c r="F499" s="127"/>
      <c r="G499" s="127"/>
      <c r="H499" s="127"/>
      <c r="I499" s="127"/>
      <c r="J499" s="127"/>
      <c r="K499" s="127"/>
      <c r="L499" s="127"/>
      <c r="M499" s="127"/>
      <c r="RG499" s="6"/>
      <c r="RH499" s="6"/>
      <c r="RI499" s="6"/>
      <c r="RJ499" s="6"/>
      <c r="RK499" s="6"/>
      <c r="RL499" s="45"/>
      <c r="RM499" s="4"/>
      <c r="RN499" s="4"/>
      <c r="RO499" s="4"/>
      <c r="RP499" s="6"/>
    </row>
    <row r="500" spans="1:484" x14ac:dyDescent="0.25">
      <c r="A500" s="46"/>
      <c r="B500" s="47"/>
      <c r="C500" s="127"/>
      <c r="D500" s="127"/>
      <c r="E500" s="127"/>
      <c r="F500" s="127"/>
      <c r="G500" s="127"/>
      <c r="H500" s="127"/>
      <c r="I500" s="127"/>
      <c r="J500" s="127"/>
      <c r="K500" s="127"/>
      <c r="L500" s="127"/>
      <c r="M500" s="127"/>
      <c r="RG500" s="6"/>
      <c r="RH500" s="6"/>
      <c r="RI500" s="6"/>
      <c r="RJ500" s="6"/>
      <c r="RK500" s="6"/>
      <c r="RL500" s="45"/>
      <c r="RM500" s="4"/>
      <c r="RN500" s="4"/>
      <c r="RO500" s="4"/>
      <c r="RP500" s="6"/>
    </row>
    <row r="501" spans="1:484" x14ac:dyDescent="0.25">
      <c r="A501" s="46"/>
      <c r="B501" s="47"/>
      <c r="C501" s="127"/>
      <c r="D501" s="127"/>
      <c r="E501" s="127"/>
      <c r="F501" s="127"/>
      <c r="G501" s="127"/>
      <c r="H501" s="127"/>
      <c r="I501" s="127"/>
      <c r="J501" s="127"/>
      <c r="K501" s="127"/>
      <c r="L501" s="127"/>
      <c r="M501" s="127"/>
      <c r="RG501" s="6"/>
      <c r="RH501" s="6"/>
      <c r="RI501" s="6"/>
      <c r="RJ501" s="6"/>
      <c r="RK501" s="6"/>
      <c r="RL501" s="45"/>
      <c r="RM501" s="4"/>
      <c r="RN501" s="4"/>
      <c r="RO501" s="4"/>
      <c r="RP501" s="6"/>
    </row>
    <row r="502" spans="1:484" x14ac:dyDescent="0.25">
      <c r="A502" s="46"/>
      <c r="B502" s="47"/>
      <c r="C502" s="127"/>
      <c r="D502" s="127"/>
      <c r="E502" s="127"/>
      <c r="F502" s="127"/>
      <c r="G502" s="127"/>
      <c r="H502" s="127"/>
      <c r="I502" s="127"/>
      <c r="J502" s="127"/>
      <c r="K502" s="127"/>
      <c r="L502" s="127"/>
      <c r="M502" s="127"/>
      <c r="RG502" s="6"/>
      <c r="RH502" s="6"/>
      <c r="RI502" s="6"/>
      <c r="RJ502" s="6"/>
      <c r="RK502" s="6"/>
      <c r="RL502" s="45"/>
      <c r="RM502" s="4"/>
      <c r="RN502" s="4"/>
      <c r="RO502" s="4"/>
      <c r="RP502" s="6"/>
    </row>
    <row r="503" spans="1:484" x14ac:dyDescent="0.25">
      <c r="A503" s="46"/>
      <c r="B503" s="47"/>
      <c r="C503" s="127"/>
      <c r="D503" s="127"/>
      <c r="E503" s="127"/>
      <c r="F503" s="127"/>
      <c r="G503" s="127"/>
      <c r="H503" s="127"/>
      <c r="I503" s="127"/>
      <c r="J503" s="127"/>
      <c r="K503" s="127"/>
      <c r="L503" s="127"/>
      <c r="M503" s="127"/>
      <c r="RG503" s="6"/>
      <c r="RH503" s="6"/>
      <c r="RI503" s="6"/>
      <c r="RJ503" s="6"/>
      <c r="RK503" s="6"/>
      <c r="RL503" s="45"/>
      <c r="RM503" s="4"/>
      <c r="RN503" s="4"/>
      <c r="RO503" s="4"/>
      <c r="RP503" s="6"/>
    </row>
    <row r="504" spans="1:484" x14ac:dyDescent="0.25">
      <c r="A504" s="46"/>
      <c r="B504" s="47"/>
      <c r="C504" s="127"/>
      <c r="D504" s="127"/>
      <c r="E504" s="127"/>
      <c r="F504" s="127"/>
      <c r="G504" s="127"/>
      <c r="H504" s="127"/>
      <c r="I504" s="127"/>
      <c r="J504" s="127"/>
      <c r="K504" s="127"/>
      <c r="L504" s="127"/>
      <c r="M504" s="127"/>
      <c r="RG504" s="6"/>
      <c r="RH504" s="6"/>
      <c r="RI504" s="6"/>
      <c r="RJ504" s="6"/>
      <c r="RK504" s="6"/>
      <c r="RL504" s="45"/>
      <c r="RM504" s="4"/>
      <c r="RN504" s="4"/>
      <c r="RO504" s="4"/>
      <c r="RP504" s="6"/>
    </row>
    <row r="505" spans="1:484" x14ac:dyDescent="0.25">
      <c r="A505" s="46"/>
      <c r="B505" s="47"/>
      <c r="C505" s="127"/>
      <c r="D505" s="127"/>
      <c r="E505" s="127"/>
      <c r="F505" s="127"/>
      <c r="G505" s="127"/>
      <c r="H505" s="127"/>
      <c r="I505" s="127"/>
      <c r="J505" s="127"/>
      <c r="K505" s="127"/>
      <c r="L505" s="127"/>
      <c r="M505" s="127"/>
      <c r="RG505" s="6"/>
      <c r="RH505" s="6"/>
      <c r="RI505" s="6"/>
      <c r="RJ505" s="6"/>
      <c r="RK505" s="6"/>
      <c r="RL505" s="45"/>
      <c r="RM505" s="4"/>
      <c r="RN505" s="4"/>
      <c r="RO505" s="4"/>
      <c r="RP505" s="6"/>
    </row>
    <row r="506" spans="1:484" x14ac:dyDescent="0.25">
      <c r="A506" s="46"/>
      <c r="B506" s="47"/>
      <c r="C506" s="127"/>
      <c r="D506" s="127"/>
      <c r="E506" s="127"/>
      <c r="F506" s="127"/>
      <c r="G506" s="127"/>
      <c r="H506" s="127"/>
      <c r="I506" s="127"/>
      <c r="J506" s="127"/>
      <c r="K506" s="127"/>
      <c r="L506" s="127"/>
      <c r="M506" s="127"/>
      <c r="RG506" s="6"/>
      <c r="RH506" s="6"/>
      <c r="RI506" s="6"/>
      <c r="RJ506" s="6"/>
      <c r="RK506" s="6"/>
      <c r="RL506" s="45"/>
      <c r="RM506" s="4"/>
      <c r="RN506" s="4"/>
      <c r="RO506" s="4"/>
      <c r="RP506" s="6"/>
    </row>
    <row r="507" spans="1:484" x14ac:dyDescent="0.25">
      <c r="A507" s="46"/>
      <c r="B507" s="47"/>
      <c r="C507" s="127"/>
      <c r="D507" s="127"/>
      <c r="E507" s="127"/>
      <c r="F507" s="127"/>
      <c r="G507" s="127"/>
      <c r="H507" s="127"/>
      <c r="I507" s="127"/>
      <c r="J507" s="127"/>
      <c r="K507" s="127"/>
      <c r="L507" s="127"/>
      <c r="M507" s="127"/>
      <c r="RG507" s="6"/>
      <c r="RH507" s="6"/>
      <c r="RI507" s="6"/>
      <c r="RJ507" s="6"/>
      <c r="RK507" s="6"/>
      <c r="RL507" s="45"/>
      <c r="RM507" s="4"/>
      <c r="RN507" s="4"/>
      <c r="RO507" s="4"/>
      <c r="RP507" s="6"/>
    </row>
    <row r="508" spans="1:484" x14ac:dyDescent="0.25">
      <c r="A508" s="46"/>
      <c r="B508" s="47"/>
      <c r="C508" s="127"/>
      <c r="D508" s="127"/>
      <c r="E508" s="127"/>
      <c r="F508" s="127"/>
      <c r="G508" s="127"/>
      <c r="H508" s="127"/>
      <c r="I508" s="127"/>
      <c r="J508" s="127"/>
      <c r="K508" s="127"/>
      <c r="L508" s="127"/>
      <c r="M508" s="127"/>
      <c r="RG508" s="6"/>
      <c r="RH508" s="6"/>
      <c r="RI508" s="6"/>
      <c r="RJ508" s="6"/>
      <c r="RK508" s="6"/>
      <c r="RL508" s="45"/>
      <c r="RM508" s="4"/>
      <c r="RN508" s="4"/>
      <c r="RO508" s="4"/>
      <c r="RP508" s="6"/>
    </row>
    <row r="509" spans="1:484" x14ac:dyDescent="0.25">
      <c r="A509" s="46"/>
      <c r="B509" s="4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RG509" s="6"/>
      <c r="RH509" s="6"/>
      <c r="RI509" s="6"/>
      <c r="RJ509" s="6"/>
      <c r="RK509" s="6"/>
      <c r="RL509" s="45"/>
      <c r="RM509" s="4"/>
      <c r="RN509" s="4"/>
      <c r="RO509" s="4"/>
      <c r="RP509" s="6"/>
    </row>
    <row r="510" spans="1:484" x14ac:dyDescent="0.25">
      <c r="A510" s="46"/>
      <c r="B510" s="47"/>
      <c r="C510" s="127"/>
      <c r="D510" s="127"/>
      <c r="E510" s="127"/>
      <c r="F510" s="127"/>
      <c r="G510" s="127"/>
      <c r="H510" s="127"/>
      <c r="I510" s="127"/>
      <c r="J510" s="127"/>
      <c r="K510" s="127"/>
      <c r="L510" s="127"/>
      <c r="M510" s="127"/>
      <c r="RG510" s="6"/>
      <c r="RH510" s="6"/>
      <c r="RI510" s="6"/>
      <c r="RJ510" s="6"/>
      <c r="RK510" s="6"/>
      <c r="RL510" s="45"/>
      <c r="RM510" s="4"/>
      <c r="RN510" s="4"/>
      <c r="RO510" s="4"/>
      <c r="RP510" s="6"/>
    </row>
    <row r="511" spans="1:484" x14ac:dyDescent="0.25">
      <c r="A511" s="46"/>
      <c r="B511" s="47"/>
      <c r="C511" s="127"/>
      <c r="D511" s="127"/>
      <c r="E511" s="127"/>
      <c r="F511" s="127"/>
      <c r="G511" s="127"/>
      <c r="H511" s="127"/>
      <c r="I511" s="127"/>
      <c r="J511" s="127"/>
      <c r="K511" s="127"/>
      <c r="L511" s="127"/>
      <c r="M511" s="127"/>
      <c r="RG511" s="6"/>
      <c r="RH511" s="6"/>
      <c r="RI511" s="6"/>
      <c r="RJ511" s="6"/>
      <c r="RK511" s="6"/>
      <c r="RL511" s="45"/>
      <c r="RM511" s="4"/>
      <c r="RN511" s="4"/>
      <c r="RO511" s="4"/>
      <c r="RP511" s="6"/>
    </row>
    <row r="512" spans="1:484" x14ac:dyDescent="0.25">
      <c r="A512" s="46"/>
      <c r="B512" s="47"/>
      <c r="C512" s="127"/>
      <c r="D512" s="127"/>
      <c r="E512" s="127"/>
      <c r="F512" s="127"/>
      <c r="G512" s="127"/>
      <c r="H512" s="127"/>
      <c r="I512" s="127"/>
      <c r="J512" s="127"/>
      <c r="K512" s="127"/>
      <c r="L512" s="127"/>
      <c r="M512" s="127"/>
      <c r="RG512" s="6"/>
      <c r="RH512" s="6"/>
      <c r="RI512" s="6"/>
      <c r="RJ512" s="6"/>
      <c r="RK512" s="6"/>
      <c r="RL512" s="45"/>
      <c r="RM512" s="4"/>
      <c r="RN512" s="4"/>
      <c r="RO512" s="4"/>
      <c r="RP512" s="6"/>
    </row>
    <row r="513" spans="1:484" x14ac:dyDescent="0.25">
      <c r="A513" s="46"/>
      <c r="B513" s="47"/>
      <c r="C513" s="127"/>
      <c r="D513" s="127"/>
      <c r="E513" s="127"/>
      <c r="F513" s="127"/>
      <c r="G513" s="127"/>
      <c r="H513" s="127"/>
      <c r="I513" s="127"/>
      <c r="J513" s="127"/>
      <c r="K513" s="127"/>
      <c r="L513" s="127"/>
      <c r="M513" s="127"/>
      <c r="RG513" s="6"/>
      <c r="RH513" s="6"/>
      <c r="RI513" s="6"/>
      <c r="RJ513" s="6"/>
      <c r="RK513" s="6"/>
      <c r="RL513" s="45"/>
      <c r="RM513" s="4"/>
      <c r="RN513" s="4"/>
      <c r="RO513" s="4"/>
      <c r="RP513" s="6"/>
    </row>
    <row r="514" spans="1:484" x14ac:dyDescent="0.25">
      <c r="A514" s="46"/>
      <c r="B514" s="47"/>
      <c r="C514" s="127"/>
      <c r="D514" s="127"/>
      <c r="E514" s="127"/>
      <c r="F514" s="127"/>
      <c r="G514" s="127"/>
      <c r="H514" s="127"/>
      <c r="I514" s="127"/>
      <c r="J514" s="127"/>
      <c r="K514" s="127"/>
      <c r="L514" s="127"/>
      <c r="M514" s="127"/>
      <c r="RG514" s="6"/>
      <c r="RH514" s="6"/>
      <c r="RI514" s="6"/>
      <c r="RJ514" s="6"/>
      <c r="RK514" s="6"/>
      <c r="RL514" s="45"/>
      <c r="RM514" s="4"/>
      <c r="RN514" s="4"/>
      <c r="RO514" s="4"/>
      <c r="RP514" s="6"/>
    </row>
    <row r="515" spans="1:484" x14ac:dyDescent="0.25">
      <c r="A515" s="46"/>
      <c r="B515" s="47"/>
      <c r="C515" s="127"/>
      <c r="D515" s="127"/>
      <c r="E515" s="127"/>
      <c r="F515" s="127"/>
      <c r="G515" s="127"/>
      <c r="H515" s="127"/>
      <c r="I515" s="127"/>
      <c r="J515" s="127"/>
      <c r="K515" s="127"/>
      <c r="L515" s="127"/>
      <c r="M515" s="127"/>
      <c r="RG515" s="6"/>
      <c r="RH515" s="6"/>
      <c r="RI515" s="6"/>
      <c r="RJ515" s="6"/>
      <c r="RK515" s="6"/>
      <c r="RL515" s="45"/>
      <c r="RM515" s="4"/>
      <c r="RN515" s="4"/>
      <c r="RO515" s="4"/>
      <c r="RP515" s="6"/>
    </row>
    <row r="516" spans="1:484" x14ac:dyDescent="0.25">
      <c r="A516" s="46"/>
      <c r="B516" s="47"/>
      <c r="C516" s="127"/>
      <c r="D516" s="127"/>
      <c r="E516" s="127"/>
      <c r="F516" s="127"/>
      <c r="G516" s="127"/>
      <c r="H516" s="127"/>
      <c r="I516" s="127"/>
      <c r="J516" s="127"/>
      <c r="K516" s="127"/>
      <c r="L516" s="127"/>
      <c r="M516" s="127"/>
      <c r="RG516" s="6"/>
      <c r="RH516" s="6"/>
      <c r="RI516" s="6"/>
      <c r="RJ516" s="6"/>
      <c r="RK516" s="6"/>
      <c r="RL516" s="45"/>
      <c r="RM516" s="4"/>
      <c r="RN516" s="4"/>
      <c r="RO516" s="4"/>
      <c r="RP516" s="6"/>
    </row>
    <row r="517" spans="1:484" x14ac:dyDescent="0.25">
      <c r="A517" s="46"/>
      <c r="B517" s="47"/>
      <c r="C517" s="127"/>
      <c r="D517" s="127"/>
      <c r="E517" s="127"/>
      <c r="F517" s="127"/>
      <c r="G517" s="127"/>
      <c r="H517" s="127"/>
      <c r="I517" s="127"/>
      <c r="J517" s="127"/>
      <c r="K517" s="127"/>
      <c r="L517" s="127"/>
      <c r="M517" s="127"/>
      <c r="RG517" s="6"/>
      <c r="RH517" s="6"/>
      <c r="RI517" s="6"/>
      <c r="RJ517" s="6"/>
      <c r="RK517" s="6"/>
      <c r="RL517" s="45"/>
      <c r="RM517" s="4"/>
      <c r="RN517" s="4"/>
      <c r="RO517" s="4"/>
      <c r="RP517" s="6"/>
    </row>
    <row r="518" spans="1:484" x14ac:dyDescent="0.25">
      <c r="A518" s="46"/>
      <c r="B518" s="47"/>
      <c r="C518" s="127"/>
      <c r="D518" s="127"/>
      <c r="E518" s="127"/>
      <c r="F518" s="127"/>
      <c r="G518" s="127"/>
      <c r="H518" s="127"/>
      <c r="I518" s="127"/>
      <c r="J518" s="127"/>
      <c r="K518" s="127"/>
      <c r="L518" s="127"/>
      <c r="M518" s="127"/>
      <c r="RG518" s="6"/>
      <c r="RH518" s="6"/>
      <c r="RI518" s="6"/>
      <c r="RJ518" s="6"/>
      <c r="RK518" s="6"/>
      <c r="RL518" s="45"/>
      <c r="RM518" s="4"/>
      <c r="RN518" s="4"/>
      <c r="RO518" s="4"/>
      <c r="RP518" s="6"/>
    </row>
    <row r="519" spans="1:484" x14ac:dyDescent="0.25">
      <c r="A519" s="46"/>
      <c r="B519" s="47"/>
      <c r="C519" s="127"/>
      <c r="D519" s="127"/>
      <c r="E519" s="127"/>
      <c r="F519" s="127"/>
      <c r="G519" s="127"/>
      <c r="H519" s="127"/>
      <c r="I519" s="127"/>
      <c r="J519" s="127"/>
      <c r="K519" s="127"/>
      <c r="L519" s="127"/>
      <c r="M519" s="127"/>
      <c r="RG519" s="6"/>
      <c r="RH519" s="6"/>
      <c r="RI519" s="6"/>
      <c r="RJ519" s="6"/>
      <c r="RK519" s="6"/>
      <c r="RL519" s="45"/>
      <c r="RM519" s="4"/>
      <c r="RN519" s="4"/>
      <c r="RO519" s="4"/>
      <c r="RP519" s="6"/>
    </row>
    <row r="520" spans="1:484" x14ac:dyDescent="0.25">
      <c r="A520" s="46"/>
      <c r="B520" s="47"/>
      <c r="C520" s="127"/>
      <c r="D520" s="127"/>
      <c r="E520" s="127"/>
      <c r="F520" s="127"/>
      <c r="G520" s="127"/>
      <c r="H520" s="127"/>
      <c r="I520" s="127"/>
      <c r="J520" s="127"/>
      <c r="K520" s="127"/>
      <c r="L520" s="127"/>
      <c r="M520" s="127"/>
      <c r="RG520" s="6"/>
      <c r="RH520" s="6"/>
      <c r="RI520" s="6"/>
      <c r="RJ520" s="6"/>
      <c r="RK520" s="6"/>
      <c r="RL520" s="45"/>
      <c r="RM520" s="4"/>
      <c r="RN520" s="4"/>
      <c r="RO520" s="4"/>
      <c r="RP520" s="6"/>
    </row>
    <row r="521" spans="1:484" x14ac:dyDescent="0.25">
      <c r="A521" s="46"/>
      <c r="B521" s="47"/>
      <c r="C521" s="127"/>
      <c r="D521" s="127"/>
      <c r="E521" s="127"/>
      <c r="F521" s="127"/>
      <c r="G521" s="127"/>
      <c r="H521" s="127"/>
      <c r="I521" s="127"/>
      <c r="J521" s="127"/>
      <c r="K521" s="127"/>
      <c r="L521" s="127"/>
      <c r="M521" s="127"/>
      <c r="RG521" s="6"/>
      <c r="RH521" s="6"/>
      <c r="RI521" s="6"/>
      <c r="RJ521" s="6"/>
      <c r="RK521" s="6"/>
      <c r="RL521" s="45"/>
      <c r="RM521" s="4"/>
      <c r="RN521" s="4"/>
      <c r="RO521" s="4"/>
      <c r="RP521" s="6"/>
    </row>
    <row r="522" spans="1:484" x14ac:dyDescent="0.25">
      <c r="A522" s="46"/>
      <c r="B522" s="47"/>
      <c r="C522" s="127"/>
      <c r="D522" s="127"/>
      <c r="E522" s="127"/>
      <c r="F522" s="127"/>
      <c r="G522" s="127"/>
      <c r="H522" s="127"/>
      <c r="I522" s="127"/>
      <c r="J522" s="127"/>
      <c r="K522" s="127"/>
      <c r="L522" s="127"/>
      <c r="M522" s="127"/>
      <c r="RG522" s="6"/>
      <c r="RH522" s="6"/>
      <c r="RI522" s="6"/>
      <c r="RJ522" s="6"/>
      <c r="RK522" s="6"/>
      <c r="RL522" s="45"/>
      <c r="RM522" s="4"/>
      <c r="RN522" s="4"/>
      <c r="RO522" s="4"/>
      <c r="RP522" s="6"/>
    </row>
    <row r="523" spans="1:484" x14ac:dyDescent="0.25">
      <c r="A523" s="46"/>
      <c r="B523" s="47"/>
      <c r="C523" s="127"/>
      <c r="D523" s="127"/>
      <c r="E523" s="127"/>
      <c r="F523" s="127"/>
      <c r="G523" s="127"/>
      <c r="H523" s="127"/>
      <c r="I523" s="127"/>
      <c r="J523" s="127"/>
      <c r="K523" s="127"/>
      <c r="L523" s="127"/>
      <c r="M523" s="127"/>
      <c r="RG523" s="6"/>
      <c r="RH523" s="6"/>
      <c r="RI523" s="6"/>
      <c r="RJ523" s="6"/>
      <c r="RK523" s="6"/>
      <c r="RL523" s="45"/>
      <c r="RM523" s="4"/>
      <c r="RN523" s="4"/>
      <c r="RO523" s="4"/>
      <c r="RP523" s="6"/>
    </row>
    <row r="524" spans="1:484" x14ac:dyDescent="0.25">
      <c r="A524" s="46"/>
      <c r="B524" s="4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RG524" s="6"/>
      <c r="RH524" s="6"/>
      <c r="RI524" s="6"/>
      <c r="RJ524" s="6"/>
      <c r="RK524" s="6"/>
      <c r="RL524" s="45"/>
      <c r="RM524" s="4"/>
      <c r="RN524" s="4"/>
      <c r="RO524" s="4"/>
      <c r="RP524" s="6"/>
    </row>
    <row r="525" spans="1:484" x14ac:dyDescent="0.25">
      <c r="A525" s="46"/>
      <c r="B525" s="47"/>
      <c r="C525" s="127"/>
      <c r="D525" s="127"/>
      <c r="E525" s="127"/>
      <c r="F525" s="127"/>
      <c r="G525" s="127"/>
      <c r="H525" s="127"/>
      <c r="I525" s="127"/>
      <c r="J525" s="127"/>
      <c r="K525" s="127"/>
      <c r="L525" s="127"/>
      <c r="M525" s="127"/>
      <c r="RG525" s="6"/>
      <c r="RH525" s="6"/>
      <c r="RI525" s="6"/>
      <c r="RJ525" s="6"/>
      <c r="RK525" s="6"/>
      <c r="RL525" s="45"/>
      <c r="RM525" s="4"/>
      <c r="RN525" s="4"/>
      <c r="RO525" s="4"/>
      <c r="RP525" s="6"/>
    </row>
    <row r="526" spans="1:484" x14ac:dyDescent="0.25">
      <c r="A526" s="46"/>
      <c r="B526" s="47"/>
      <c r="C526" s="127"/>
      <c r="D526" s="127"/>
      <c r="E526" s="127"/>
      <c r="F526" s="127"/>
      <c r="G526" s="127"/>
      <c r="H526" s="127"/>
      <c r="I526" s="127"/>
      <c r="J526" s="127"/>
      <c r="K526" s="127"/>
      <c r="L526" s="127"/>
      <c r="M526" s="127"/>
      <c r="RG526" s="6"/>
      <c r="RH526" s="6"/>
      <c r="RI526" s="6"/>
      <c r="RJ526" s="6"/>
      <c r="RK526" s="6"/>
      <c r="RL526" s="45"/>
      <c r="RM526" s="4"/>
      <c r="RN526" s="4"/>
      <c r="RO526" s="4"/>
      <c r="RP526" s="6"/>
    </row>
    <row r="527" spans="1:484" x14ac:dyDescent="0.25">
      <c r="A527" s="46"/>
      <c r="B527" s="47"/>
      <c r="C527" s="127"/>
      <c r="D527" s="127"/>
      <c r="E527" s="127"/>
      <c r="F527" s="127"/>
      <c r="G527" s="127"/>
      <c r="H527" s="127"/>
      <c r="I527" s="127"/>
      <c r="J527" s="127"/>
      <c r="K527" s="127"/>
      <c r="L527" s="127"/>
      <c r="M527" s="127"/>
      <c r="RG527" s="6"/>
      <c r="RH527" s="6"/>
      <c r="RI527" s="6"/>
      <c r="RJ527" s="6"/>
      <c r="RK527" s="6"/>
      <c r="RL527" s="45"/>
      <c r="RM527" s="4"/>
      <c r="RN527" s="4"/>
      <c r="RO527" s="4"/>
      <c r="RP527" s="6"/>
    </row>
    <row r="528" spans="1:484" x14ac:dyDescent="0.25">
      <c r="A528" s="46"/>
      <c r="B528" s="47"/>
      <c r="C528" s="127"/>
      <c r="D528" s="127"/>
      <c r="E528" s="127"/>
      <c r="F528" s="127"/>
      <c r="G528" s="127"/>
      <c r="H528" s="127"/>
      <c r="I528" s="127"/>
      <c r="J528" s="127"/>
      <c r="K528" s="127"/>
      <c r="L528" s="127"/>
      <c r="M528" s="127"/>
      <c r="RG528" s="6"/>
      <c r="RH528" s="6"/>
      <c r="RI528" s="6"/>
      <c r="RJ528" s="6"/>
      <c r="RK528" s="6"/>
      <c r="RL528" s="45"/>
      <c r="RM528" s="4"/>
      <c r="RN528" s="4"/>
      <c r="RO528" s="4"/>
      <c r="RP528" s="6"/>
    </row>
    <row r="529" spans="1:484" x14ac:dyDescent="0.25">
      <c r="A529" s="46"/>
      <c r="B529" s="47"/>
      <c r="C529" s="127"/>
      <c r="D529" s="127"/>
      <c r="E529" s="127"/>
      <c r="F529" s="127"/>
      <c r="G529" s="127"/>
      <c r="H529" s="127"/>
      <c r="I529" s="127"/>
      <c r="J529" s="127"/>
      <c r="K529" s="127"/>
      <c r="L529" s="127"/>
      <c r="M529" s="127"/>
      <c r="RG529" s="6"/>
      <c r="RH529" s="6"/>
      <c r="RI529" s="6"/>
      <c r="RJ529" s="6"/>
      <c r="RK529" s="6"/>
      <c r="RL529" s="45"/>
      <c r="RM529" s="4"/>
      <c r="RN529" s="4"/>
      <c r="RO529" s="4"/>
      <c r="RP529" s="6"/>
    </row>
    <row r="530" spans="1:484" x14ac:dyDescent="0.25">
      <c r="A530" s="46"/>
      <c r="B530" s="47"/>
      <c r="C530" s="127"/>
      <c r="D530" s="127"/>
      <c r="E530" s="127"/>
      <c r="F530" s="127"/>
      <c r="G530" s="127"/>
      <c r="H530" s="127"/>
      <c r="I530" s="127"/>
      <c r="J530" s="127"/>
      <c r="K530" s="127"/>
      <c r="L530" s="127"/>
      <c r="M530" s="127"/>
      <c r="RG530" s="6"/>
      <c r="RH530" s="6"/>
      <c r="RI530" s="6"/>
      <c r="RJ530" s="6"/>
      <c r="RK530" s="6"/>
      <c r="RL530" s="45"/>
      <c r="RM530" s="4"/>
      <c r="RN530" s="4"/>
      <c r="RO530" s="4"/>
      <c r="RP530" s="6"/>
    </row>
    <row r="531" spans="1:484" x14ac:dyDescent="0.25">
      <c r="A531" s="46"/>
      <c r="B531" s="47"/>
      <c r="C531" s="127"/>
      <c r="D531" s="127"/>
      <c r="E531" s="127"/>
      <c r="F531" s="127"/>
      <c r="G531" s="127"/>
      <c r="H531" s="127"/>
      <c r="I531" s="127"/>
      <c r="J531" s="127"/>
      <c r="K531" s="127"/>
      <c r="L531" s="127"/>
      <c r="M531" s="127"/>
      <c r="RG531" s="6"/>
      <c r="RH531" s="6"/>
      <c r="RI531" s="6"/>
      <c r="RJ531" s="6"/>
      <c r="RK531" s="6"/>
      <c r="RL531" s="45"/>
      <c r="RM531" s="4"/>
      <c r="RN531" s="4"/>
      <c r="RO531" s="4"/>
      <c r="RP531" s="6"/>
    </row>
    <row r="532" spans="1:484" x14ac:dyDescent="0.25">
      <c r="A532" s="46"/>
      <c r="B532" s="47"/>
      <c r="C532" s="127"/>
      <c r="D532" s="127"/>
      <c r="E532" s="127"/>
      <c r="F532" s="127"/>
      <c r="G532" s="127"/>
      <c r="H532" s="127"/>
      <c r="I532" s="127"/>
      <c r="J532" s="127"/>
      <c r="K532" s="127"/>
      <c r="L532" s="127"/>
      <c r="M532" s="127"/>
      <c r="RG532" s="6"/>
      <c r="RH532" s="6"/>
      <c r="RI532" s="6"/>
      <c r="RJ532" s="6"/>
      <c r="RK532" s="6"/>
      <c r="RL532" s="45"/>
      <c r="RM532" s="4"/>
      <c r="RN532" s="4"/>
      <c r="RO532" s="4"/>
      <c r="RP532" s="6"/>
    </row>
    <row r="533" spans="1:484" x14ac:dyDescent="0.25">
      <c r="A533" s="46"/>
      <c r="B533" s="47"/>
      <c r="C533" s="127"/>
      <c r="D533" s="127"/>
      <c r="E533" s="127"/>
      <c r="F533" s="127"/>
      <c r="G533" s="127"/>
      <c r="H533" s="127"/>
      <c r="I533" s="127"/>
      <c r="J533" s="127"/>
      <c r="K533" s="127"/>
      <c r="L533" s="127"/>
      <c r="M533" s="127"/>
      <c r="RG533" s="6"/>
      <c r="RH533" s="6"/>
      <c r="RI533" s="6"/>
      <c r="RJ533" s="6"/>
      <c r="RK533" s="6"/>
      <c r="RL533" s="45"/>
      <c r="RM533" s="4"/>
      <c r="RN533" s="4"/>
      <c r="RO533" s="4"/>
      <c r="RP533" s="6"/>
    </row>
    <row r="534" spans="1:484" x14ac:dyDescent="0.25">
      <c r="A534" s="46"/>
      <c r="B534" s="47"/>
      <c r="C534" s="127"/>
      <c r="D534" s="127"/>
      <c r="E534" s="127"/>
      <c r="F534" s="127"/>
      <c r="G534" s="127"/>
      <c r="H534" s="127"/>
      <c r="I534" s="127"/>
      <c r="J534" s="127"/>
      <c r="K534" s="127"/>
      <c r="L534" s="127"/>
      <c r="M534" s="127"/>
      <c r="RG534" s="6"/>
      <c r="RH534" s="6"/>
      <c r="RI534" s="6"/>
      <c r="RJ534" s="6"/>
      <c r="RK534" s="6"/>
      <c r="RL534" s="45"/>
      <c r="RM534" s="4"/>
      <c r="RN534" s="4"/>
      <c r="RO534" s="4"/>
      <c r="RP534" s="6"/>
    </row>
    <row r="535" spans="1:484" x14ac:dyDescent="0.25">
      <c r="A535" s="46"/>
      <c r="B535" s="47"/>
      <c r="C535" s="127"/>
      <c r="D535" s="127"/>
      <c r="E535" s="127"/>
      <c r="F535" s="127"/>
      <c r="G535" s="127"/>
      <c r="H535" s="127"/>
      <c r="I535" s="127"/>
      <c r="J535" s="127"/>
      <c r="K535" s="127"/>
      <c r="L535" s="127"/>
      <c r="M535" s="127"/>
      <c r="RG535" s="6"/>
      <c r="RH535" s="6"/>
      <c r="RI535" s="6"/>
      <c r="RJ535" s="6"/>
      <c r="RK535" s="6"/>
      <c r="RL535" s="45"/>
      <c r="RM535" s="4"/>
      <c r="RN535" s="4"/>
      <c r="RO535" s="4"/>
      <c r="RP535" s="6"/>
    </row>
    <row r="536" spans="1:484" x14ac:dyDescent="0.25">
      <c r="A536" s="46"/>
      <c r="B536" s="47"/>
      <c r="C536" s="127"/>
      <c r="D536" s="127"/>
      <c r="E536" s="127"/>
      <c r="F536" s="127"/>
      <c r="G536" s="127"/>
      <c r="H536" s="127"/>
      <c r="I536" s="127"/>
      <c r="J536" s="127"/>
      <c r="K536" s="127"/>
      <c r="L536" s="127"/>
      <c r="M536" s="127"/>
      <c r="RG536" s="6"/>
      <c r="RH536" s="6"/>
      <c r="RI536" s="6"/>
      <c r="RJ536" s="6"/>
      <c r="RK536" s="6"/>
      <c r="RL536" s="45"/>
      <c r="RM536" s="4"/>
      <c r="RN536" s="4"/>
      <c r="RO536" s="4"/>
      <c r="RP536" s="6"/>
    </row>
    <row r="537" spans="1:484" x14ac:dyDescent="0.25">
      <c r="A537" s="46"/>
      <c r="B537" s="47"/>
      <c r="C537" s="127"/>
      <c r="D537" s="127"/>
      <c r="E537" s="127"/>
      <c r="F537" s="127"/>
      <c r="G537" s="127"/>
      <c r="H537" s="127"/>
      <c r="I537" s="127"/>
      <c r="J537" s="127"/>
      <c r="K537" s="127"/>
      <c r="L537" s="127"/>
      <c r="M537" s="127"/>
      <c r="RG537" s="6"/>
      <c r="RH537" s="6"/>
      <c r="RI537" s="6"/>
      <c r="RJ537" s="6"/>
      <c r="RK537" s="6"/>
      <c r="RL537" s="45"/>
      <c r="RM537" s="4"/>
      <c r="RN537" s="4"/>
      <c r="RO537" s="4"/>
      <c r="RP537" s="6"/>
    </row>
    <row r="538" spans="1:484" x14ac:dyDescent="0.25">
      <c r="A538" s="46"/>
      <c r="B538" s="47"/>
      <c r="C538" s="127"/>
      <c r="D538" s="127"/>
      <c r="E538" s="127"/>
      <c r="F538" s="127"/>
      <c r="G538" s="127"/>
      <c r="H538" s="127"/>
      <c r="I538" s="127"/>
      <c r="J538" s="127"/>
      <c r="K538" s="127"/>
      <c r="L538" s="127"/>
      <c r="M538" s="127"/>
      <c r="RG538" s="6"/>
      <c r="RH538" s="6"/>
      <c r="RI538" s="6"/>
      <c r="RJ538" s="6"/>
      <c r="RK538" s="6"/>
      <c r="RL538" s="45"/>
      <c r="RM538" s="4"/>
      <c r="RN538" s="4"/>
      <c r="RO538" s="4"/>
      <c r="RP538" s="6"/>
    </row>
    <row r="539" spans="1:484" x14ac:dyDescent="0.25">
      <c r="A539" s="46"/>
      <c r="B539" s="47"/>
      <c r="C539" s="127"/>
      <c r="D539" s="127"/>
      <c r="E539" s="127"/>
      <c r="F539" s="127"/>
      <c r="G539" s="127"/>
      <c r="H539" s="127"/>
      <c r="I539" s="127"/>
      <c r="J539" s="127"/>
      <c r="K539" s="127"/>
      <c r="L539" s="127"/>
      <c r="M539" s="127"/>
      <c r="RG539" s="6"/>
      <c r="RH539" s="6"/>
      <c r="RI539" s="6"/>
      <c r="RJ539" s="6"/>
      <c r="RK539" s="6"/>
      <c r="RL539" s="45"/>
      <c r="RM539" s="4"/>
      <c r="RN539" s="4"/>
      <c r="RO539" s="4"/>
      <c r="RP539" s="6"/>
    </row>
    <row r="540" spans="1:484" x14ac:dyDescent="0.25">
      <c r="A540" s="46"/>
      <c r="B540" s="47"/>
      <c r="C540" s="127"/>
      <c r="D540" s="127"/>
      <c r="E540" s="127"/>
      <c r="F540" s="127"/>
      <c r="G540" s="127"/>
      <c r="H540" s="127"/>
      <c r="I540" s="127"/>
      <c r="J540" s="127"/>
      <c r="K540" s="127"/>
      <c r="L540" s="127"/>
      <c r="M540" s="127"/>
      <c r="RG540" s="6"/>
      <c r="RH540" s="6"/>
      <c r="RI540" s="6"/>
      <c r="RJ540" s="6"/>
      <c r="RK540" s="6"/>
      <c r="RL540" s="45"/>
      <c r="RM540" s="4"/>
      <c r="RN540" s="4"/>
      <c r="RO540" s="4"/>
      <c r="RP540" s="6"/>
    </row>
    <row r="541" spans="1:484" x14ac:dyDescent="0.25">
      <c r="A541" s="46"/>
      <c r="B541" s="4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RG541" s="6"/>
      <c r="RH541" s="6"/>
      <c r="RI541" s="6"/>
      <c r="RJ541" s="6"/>
      <c r="RK541" s="6"/>
      <c r="RL541" s="45"/>
      <c r="RM541" s="4"/>
      <c r="RN541" s="4"/>
      <c r="RO541" s="4"/>
      <c r="RP541" s="6"/>
    </row>
    <row r="542" spans="1:484" x14ac:dyDescent="0.25">
      <c r="A542" s="46"/>
      <c r="B542" s="47"/>
      <c r="C542" s="127"/>
      <c r="D542" s="127"/>
      <c r="E542" s="127"/>
      <c r="F542" s="127"/>
      <c r="G542" s="127"/>
      <c r="H542" s="127"/>
      <c r="I542" s="127"/>
      <c r="J542" s="127"/>
      <c r="K542" s="127"/>
      <c r="L542" s="127"/>
      <c r="M542" s="127"/>
      <c r="RG542" s="6"/>
      <c r="RH542" s="6"/>
      <c r="RI542" s="6"/>
      <c r="RJ542" s="6"/>
      <c r="RK542" s="6"/>
      <c r="RL542" s="45"/>
      <c r="RM542" s="4"/>
      <c r="RN542" s="4"/>
      <c r="RO542" s="4"/>
      <c r="RP542" s="6"/>
    </row>
    <row r="543" spans="1:484" x14ac:dyDescent="0.25">
      <c r="A543" s="46"/>
      <c r="B543" s="47"/>
      <c r="C543" s="127"/>
      <c r="D543" s="127"/>
      <c r="E543" s="127"/>
      <c r="F543" s="127"/>
      <c r="G543" s="127"/>
      <c r="H543" s="127"/>
      <c r="I543" s="127"/>
      <c r="J543" s="127"/>
      <c r="K543" s="127"/>
      <c r="L543" s="127"/>
      <c r="M543" s="127"/>
      <c r="RG543" s="6"/>
      <c r="RH543" s="6"/>
      <c r="RI543" s="6"/>
      <c r="RJ543" s="6"/>
      <c r="RK543" s="6"/>
      <c r="RL543" s="45"/>
      <c r="RM543" s="4"/>
      <c r="RN543" s="4"/>
      <c r="RO543" s="4"/>
      <c r="RP543" s="6"/>
    </row>
    <row r="544" spans="1:484" x14ac:dyDescent="0.25">
      <c r="A544" s="46"/>
      <c r="B544" s="47"/>
      <c r="C544" s="127"/>
      <c r="D544" s="127"/>
      <c r="E544" s="127"/>
      <c r="F544" s="127"/>
      <c r="G544" s="127"/>
      <c r="H544" s="127"/>
      <c r="I544" s="127"/>
      <c r="J544" s="127"/>
      <c r="K544" s="127"/>
      <c r="L544" s="127"/>
      <c r="M544" s="127"/>
      <c r="RG544" s="6"/>
      <c r="RH544" s="6"/>
      <c r="RI544" s="6"/>
      <c r="RJ544" s="6"/>
      <c r="RK544" s="6"/>
      <c r="RL544" s="45"/>
      <c r="RM544" s="4"/>
      <c r="RN544" s="4"/>
      <c r="RO544" s="4"/>
      <c r="RP544" s="6"/>
    </row>
    <row r="545" spans="1:484" x14ac:dyDescent="0.25">
      <c r="A545" s="46"/>
      <c r="B545" s="47"/>
      <c r="C545" s="127"/>
      <c r="D545" s="127"/>
      <c r="E545" s="127"/>
      <c r="F545" s="127"/>
      <c r="G545" s="127"/>
      <c r="H545" s="127"/>
      <c r="I545" s="127"/>
      <c r="J545" s="127"/>
      <c r="K545" s="127"/>
      <c r="L545" s="127"/>
      <c r="M545" s="127"/>
      <c r="RG545" s="6"/>
      <c r="RH545" s="6"/>
      <c r="RI545" s="6"/>
      <c r="RJ545" s="6"/>
      <c r="RK545" s="6"/>
      <c r="RL545" s="45"/>
      <c r="RM545" s="4"/>
      <c r="RN545" s="4"/>
      <c r="RO545" s="4"/>
      <c r="RP545" s="6"/>
    </row>
    <row r="546" spans="1:484" x14ac:dyDescent="0.25">
      <c r="A546" s="46"/>
      <c r="B546" s="47"/>
      <c r="C546" s="127"/>
      <c r="D546" s="127"/>
      <c r="E546" s="127"/>
      <c r="F546" s="127"/>
      <c r="G546" s="127"/>
      <c r="H546" s="127"/>
      <c r="I546" s="127"/>
      <c r="J546" s="127"/>
      <c r="K546" s="127"/>
      <c r="L546" s="127"/>
      <c r="M546" s="127"/>
      <c r="RG546" s="6"/>
      <c r="RH546" s="6"/>
      <c r="RI546" s="6"/>
      <c r="RJ546" s="6"/>
      <c r="RK546" s="6"/>
      <c r="RL546" s="45"/>
      <c r="RM546" s="4"/>
      <c r="RN546" s="4"/>
      <c r="RO546" s="4"/>
      <c r="RP546" s="6"/>
    </row>
    <row r="547" spans="1:484" x14ac:dyDescent="0.25">
      <c r="A547" s="46"/>
      <c r="B547" s="47"/>
      <c r="C547" s="127"/>
      <c r="D547" s="127"/>
      <c r="E547" s="127"/>
      <c r="F547" s="127"/>
      <c r="G547" s="127"/>
      <c r="H547" s="127"/>
      <c r="I547" s="127"/>
      <c r="J547" s="127"/>
      <c r="K547" s="127"/>
      <c r="L547" s="127"/>
      <c r="M547" s="127"/>
      <c r="RG547" s="6"/>
      <c r="RH547" s="6"/>
      <c r="RI547" s="6"/>
      <c r="RJ547" s="6"/>
      <c r="RK547" s="6"/>
      <c r="RL547" s="45"/>
      <c r="RM547" s="4"/>
      <c r="RN547" s="4"/>
      <c r="RO547" s="4"/>
      <c r="RP547" s="6"/>
    </row>
    <row r="548" spans="1:484" x14ac:dyDescent="0.25">
      <c r="A548" s="46"/>
      <c r="B548" s="47"/>
      <c r="C548" s="127"/>
      <c r="D548" s="127"/>
      <c r="E548" s="127"/>
      <c r="F548" s="127"/>
      <c r="G548" s="127"/>
      <c r="H548" s="127"/>
      <c r="I548" s="127"/>
      <c r="J548" s="127"/>
      <c r="K548" s="127"/>
      <c r="L548" s="127"/>
      <c r="M548" s="127"/>
      <c r="RG548" s="6"/>
      <c r="RH548" s="6"/>
      <c r="RI548" s="6"/>
      <c r="RJ548" s="6"/>
      <c r="RK548" s="6"/>
      <c r="RL548" s="45"/>
      <c r="RM548" s="4"/>
      <c r="RN548" s="4"/>
      <c r="RO548" s="4"/>
      <c r="RP548" s="6"/>
    </row>
    <row r="549" spans="1:484" x14ac:dyDescent="0.25">
      <c r="A549" s="46"/>
      <c r="B549" s="47"/>
      <c r="C549" s="127"/>
      <c r="D549" s="127"/>
      <c r="E549" s="127"/>
      <c r="F549" s="127"/>
      <c r="G549" s="127"/>
      <c r="H549" s="127"/>
      <c r="I549" s="127"/>
      <c r="J549" s="127"/>
      <c r="K549" s="127"/>
      <c r="L549" s="127"/>
      <c r="M549" s="127"/>
      <c r="RG549" s="6"/>
      <c r="RH549" s="6"/>
      <c r="RI549" s="6"/>
      <c r="RJ549" s="6"/>
      <c r="RK549" s="6"/>
      <c r="RL549" s="45"/>
      <c r="RM549" s="4"/>
      <c r="RN549" s="4"/>
      <c r="RO549" s="4"/>
      <c r="RP549" s="6"/>
    </row>
    <row r="550" spans="1:484" x14ac:dyDescent="0.25">
      <c r="A550" s="46"/>
      <c r="B550" s="47"/>
      <c r="C550" s="127"/>
      <c r="D550" s="127"/>
      <c r="E550" s="127"/>
      <c r="F550" s="127"/>
      <c r="G550" s="127"/>
      <c r="H550" s="127"/>
      <c r="I550" s="127"/>
      <c r="J550" s="127"/>
      <c r="K550" s="127"/>
      <c r="L550" s="127"/>
      <c r="M550" s="127"/>
      <c r="RG550" s="6"/>
      <c r="RH550" s="6"/>
      <c r="RI550" s="6"/>
      <c r="RJ550" s="6"/>
      <c r="RK550" s="6"/>
      <c r="RL550" s="45"/>
      <c r="RM550" s="4"/>
      <c r="RN550" s="4"/>
      <c r="RO550" s="4"/>
      <c r="RP550" s="6"/>
    </row>
    <row r="551" spans="1:484" x14ac:dyDescent="0.25">
      <c r="A551" s="46"/>
      <c r="B551" s="47"/>
      <c r="C551" s="127"/>
      <c r="D551" s="127"/>
      <c r="E551" s="127"/>
      <c r="F551" s="127"/>
      <c r="G551" s="127"/>
      <c r="H551" s="127"/>
      <c r="I551" s="127"/>
      <c r="J551" s="127"/>
      <c r="K551" s="127"/>
      <c r="L551" s="127"/>
      <c r="M551" s="127"/>
      <c r="RG551" s="6"/>
      <c r="RH551" s="6"/>
      <c r="RI551" s="6"/>
      <c r="RJ551" s="6"/>
      <c r="RK551" s="6"/>
      <c r="RL551" s="45"/>
      <c r="RM551" s="4"/>
      <c r="RN551" s="4"/>
      <c r="RO551" s="4"/>
      <c r="RP551" s="6"/>
    </row>
    <row r="552" spans="1:484" x14ac:dyDescent="0.25">
      <c r="A552" s="46"/>
      <c r="B552" s="47"/>
      <c r="C552" s="127"/>
      <c r="D552" s="127"/>
      <c r="E552" s="127"/>
      <c r="F552" s="127"/>
      <c r="G552" s="127"/>
      <c r="H552" s="127"/>
      <c r="I552" s="127"/>
      <c r="J552" s="127"/>
      <c r="K552" s="127"/>
      <c r="L552" s="127"/>
      <c r="M552" s="127"/>
      <c r="RG552" s="6"/>
      <c r="RH552" s="6"/>
      <c r="RI552" s="6"/>
      <c r="RJ552" s="6"/>
      <c r="RK552" s="6"/>
      <c r="RL552" s="45"/>
      <c r="RM552" s="4"/>
      <c r="RN552" s="4"/>
      <c r="RO552" s="4"/>
      <c r="RP552" s="6"/>
    </row>
    <row r="553" spans="1:484" x14ac:dyDescent="0.25">
      <c r="A553" s="46"/>
      <c r="B553" s="47"/>
      <c r="C553" s="127"/>
      <c r="D553" s="127"/>
      <c r="E553" s="127"/>
      <c r="F553" s="127"/>
      <c r="G553" s="127"/>
      <c r="H553" s="127"/>
      <c r="I553" s="127"/>
      <c r="J553" s="127"/>
      <c r="K553" s="127"/>
      <c r="L553" s="127"/>
      <c r="M553" s="127"/>
      <c r="RG553" s="6"/>
      <c r="RH553" s="6"/>
      <c r="RI553" s="6"/>
      <c r="RJ553" s="6"/>
      <c r="RK553" s="6"/>
      <c r="RL553" s="45"/>
      <c r="RM553" s="4"/>
      <c r="RN553" s="4"/>
      <c r="RO553" s="4"/>
      <c r="RP553" s="6"/>
    </row>
    <row r="554" spans="1:484" x14ac:dyDescent="0.25">
      <c r="A554" s="46"/>
      <c r="B554" s="47"/>
      <c r="C554" s="127"/>
      <c r="D554" s="127"/>
      <c r="E554" s="127"/>
      <c r="F554" s="127"/>
      <c r="G554" s="127"/>
      <c r="H554" s="127"/>
      <c r="I554" s="127"/>
      <c r="J554" s="127"/>
      <c r="K554" s="127"/>
      <c r="L554" s="127"/>
      <c r="M554" s="127"/>
      <c r="RG554" s="6"/>
      <c r="RH554" s="6"/>
      <c r="RI554" s="6"/>
      <c r="RJ554" s="6"/>
      <c r="RK554" s="6"/>
      <c r="RL554" s="45"/>
      <c r="RM554" s="4"/>
      <c r="RN554" s="4"/>
      <c r="RO554" s="4"/>
      <c r="RP554" s="6"/>
    </row>
    <row r="555" spans="1:484" x14ac:dyDescent="0.25">
      <c r="A555" s="46"/>
      <c r="B555" s="4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RG555" s="6"/>
      <c r="RH555" s="6"/>
      <c r="RI555" s="6"/>
      <c r="RJ555" s="6"/>
      <c r="RK555" s="6"/>
      <c r="RL555" s="45"/>
      <c r="RM555" s="4"/>
      <c r="RN555" s="4"/>
      <c r="RO555" s="4"/>
      <c r="RP555" s="6"/>
    </row>
    <row r="556" spans="1:484" x14ac:dyDescent="0.25">
      <c r="A556" s="46"/>
      <c r="B556" s="4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RG556" s="6"/>
      <c r="RH556" s="6"/>
      <c r="RI556" s="6"/>
      <c r="RJ556" s="6"/>
      <c r="RK556" s="6"/>
      <c r="RL556" s="45"/>
      <c r="RM556" s="4"/>
      <c r="RN556" s="4"/>
      <c r="RO556" s="4"/>
      <c r="RP556" s="6"/>
    </row>
    <row r="557" spans="1:484" x14ac:dyDescent="0.25">
      <c r="A557" s="46"/>
      <c r="B557" s="47"/>
      <c r="C557" s="127"/>
      <c r="D557" s="127"/>
      <c r="E557" s="127"/>
      <c r="F557" s="127"/>
      <c r="G557" s="127"/>
      <c r="H557" s="127"/>
      <c r="I557" s="127"/>
      <c r="J557" s="127"/>
      <c r="K557" s="127"/>
      <c r="L557" s="127"/>
      <c r="M557" s="127"/>
      <c r="RG557" s="6"/>
      <c r="RH557" s="6"/>
      <c r="RI557" s="6"/>
      <c r="RJ557" s="6"/>
      <c r="RK557" s="6"/>
      <c r="RL557" s="45"/>
      <c r="RM557" s="4"/>
      <c r="RN557" s="4"/>
      <c r="RO557" s="4"/>
      <c r="RP557" s="6"/>
    </row>
    <row r="558" spans="1:484" x14ac:dyDescent="0.25">
      <c r="A558" s="46"/>
      <c r="B558" s="47"/>
      <c r="C558" s="127"/>
      <c r="D558" s="127"/>
      <c r="E558" s="127"/>
      <c r="F558" s="127"/>
      <c r="G558" s="127"/>
      <c r="H558" s="127"/>
      <c r="I558" s="127"/>
      <c r="J558" s="127"/>
      <c r="K558" s="127"/>
      <c r="L558" s="127"/>
      <c r="M558" s="127"/>
      <c r="RG558" s="6"/>
      <c r="RH558" s="6"/>
      <c r="RI558" s="6"/>
      <c r="RJ558" s="6"/>
      <c r="RK558" s="6"/>
      <c r="RL558" s="45"/>
      <c r="RM558" s="4"/>
      <c r="RN558" s="4"/>
      <c r="RO558" s="4"/>
      <c r="RP558" s="6"/>
    </row>
    <row r="559" spans="1:484" x14ac:dyDescent="0.25">
      <c r="A559" s="46"/>
      <c r="B559" s="47"/>
      <c r="C559" s="127"/>
      <c r="D559" s="127"/>
      <c r="E559" s="127"/>
      <c r="F559" s="127"/>
      <c r="G559" s="127"/>
      <c r="H559" s="127"/>
      <c r="I559" s="127"/>
      <c r="J559" s="127"/>
      <c r="K559" s="127"/>
      <c r="L559" s="127"/>
      <c r="M559" s="127"/>
      <c r="RG559" s="6"/>
      <c r="RH559" s="6"/>
      <c r="RI559" s="6"/>
      <c r="RJ559" s="6"/>
      <c r="RK559" s="6"/>
      <c r="RL559" s="45"/>
      <c r="RM559" s="4"/>
      <c r="RN559" s="4"/>
      <c r="RO559" s="4"/>
      <c r="RP559" s="6"/>
    </row>
    <row r="560" spans="1:484" x14ac:dyDescent="0.25">
      <c r="A560" s="46"/>
      <c r="B560" s="47"/>
      <c r="C560" s="127"/>
      <c r="D560" s="127"/>
      <c r="E560" s="127"/>
      <c r="F560" s="127"/>
      <c r="G560" s="127"/>
      <c r="H560" s="127"/>
      <c r="I560" s="127"/>
      <c r="J560" s="127"/>
      <c r="K560" s="127"/>
      <c r="L560" s="127"/>
      <c r="M560" s="127"/>
      <c r="RG560" s="6"/>
      <c r="RH560" s="6"/>
      <c r="RI560" s="6"/>
      <c r="RJ560" s="6"/>
      <c r="RK560" s="6"/>
      <c r="RL560" s="45"/>
      <c r="RM560" s="4"/>
      <c r="RN560" s="4"/>
      <c r="RO560" s="4"/>
      <c r="RP560" s="6"/>
    </row>
    <row r="561" spans="1:484" x14ac:dyDescent="0.25">
      <c r="A561" s="46"/>
      <c r="B561" s="47"/>
      <c r="C561" s="127"/>
      <c r="D561" s="127"/>
      <c r="E561" s="127"/>
      <c r="F561" s="127"/>
      <c r="G561" s="127"/>
      <c r="H561" s="127"/>
      <c r="I561" s="127"/>
      <c r="J561" s="127"/>
      <c r="K561" s="127"/>
      <c r="L561" s="127"/>
      <c r="M561" s="127"/>
      <c r="RG561" s="6"/>
      <c r="RH561" s="6"/>
      <c r="RI561" s="6"/>
      <c r="RJ561" s="6"/>
      <c r="RK561" s="6"/>
      <c r="RL561" s="45"/>
      <c r="RM561" s="4"/>
      <c r="RN561" s="4"/>
      <c r="RO561" s="4"/>
      <c r="RP561" s="6"/>
    </row>
    <row r="562" spans="1:484" x14ac:dyDescent="0.25">
      <c r="A562" s="46"/>
      <c r="B562" s="47"/>
      <c r="C562" s="127"/>
      <c r="D562" s="127"/>
      <c r="E562" s="127"/>
      <c r="F562" s="127"/>
      <c r="G562" s="127"/>
      <c r="H562" s="127"/>
      <c r="I562" s="127"/>
      <c r="J562" s="127"/>
      <c r="K562" s="127"/>
      <c r="L562" s="127"/>
      <c r="M562" s="127"/>
      <c r="RG562" s="6"/>
      <c r="RH562" s="6"/>
      <c r="RI562" s="6"/>
      <c r="RJ562" s="6"/>
      <c r="RK562" s="6"/>
      <c r="RL562" s="45"/>
      <c r="RM562" s="4"/>
      <c r="RN562" s="4"/>
      <c r="RO562" s="4"/>
      <c r="RP562" s="6"/>
    </row>
    <row r="563" spans="1:484" x14ac:dyDescent="0.25">
      <c r="A563" s="46"/>
      <c r="B563" s="47"/>
      <c r="C563" s="127"/>
      <c r="D563" s="127"/>
      <c r="E563" s="127"/>
      <c r="F563" s="127"/>
      <c r="G563" s="127"/>
      <c r="H563" s="127"/>
      <c r="I563" s="127"/>
      <c r="J563" s="127"/>
      <c r="K563" s="127"/>
      <c r="L563" s="127"/>
      <c r="M563" s="127"/>
      <c r="RG563" s="6"/>
      <c r="RH563" s="6"/>
      <c r="RI563" s="6"/>
      <c r="RJ563" s="6"/>
      <c r="RK563" s="6"/>
      <c r="RL563" s="45"/>
      <c r="RM563" s="4"/>
      <c r="RN563" s="4"/>
      <c r="RO563" s="4"/>
      <c r="RP563" s="6"/>
    </row>
    <row r="564" spans="1:484" x14ac:dyDescent="0.25">
      <c r="A564" s="46"/>
      <c r="B564" s="47"/>
      <c r="C564" s="127"/>
      <c r="D564" s="127"/>
      <c r="E564" s="127"/>
      <c r="F564" s="127"/>
      <c r="G564" s="127"/>
      <c r="H564" s="127"/>
      <c r="I564" s="127"/>
      <c r="J564" s="127"/>
      <c r="K564" s="127"/>
      <c r="L564" s="127"/>
      <c r="M564" s="127"/>
      <c r="RG564" s="6"/>
      <c r="RH564" s="6"/>
      <c r="RI564" s="6"/>
      <c r="RJ564" s="6"/>
      <c r="RK564" s="6"/>
      <c r="RL564" s="45"/>
      <c r="RM564" s="4"/>
      <c r="RN564" s="4"/>
      <c r="RO564" s="4"/>
      <c r="RP564" s="6"/>
    </row>
    <row r="565" spans="1:484" x14ac:dyDescent="0.25">
      <c r="A565" s="46"/>
      <c r="B565" s="47"/>
      <c r="C565" s="127"/>
      <c r="D565" s="127"/>
      <c r="E565" s="127"/>
      <c r="F565" s="127"/>
      <c r="G565" s="127"/>
      <c r="H565" s="127"/>
      <c r="I565" s="127"/>
      <c r="J565" s="127"/>
      <c r="K565" s="127"/>
      <c r="L565" s="127"/>
      <c r="M565" s="127"/>
      <c r="RG565" s="6"/>
      <c r="RH565" s="6"/>
      <c r="RI565" s="6"/>
      <c r="RJ565" s="6"/>
      <c r="RK565" s="6"/>
      <c r="RL565" s="45"/>
      <c r="RM565" s="4"/>
      <c r="RN565" s="4"/>
      <c r="RO565" s="4"/>
      <c r="RP565" s="6"/>
    </row>
    <row r="566" spans="1:484" x14ac:dyDescent="0.25">
      <c r="A566" s="46"/>
      <c r="B566" s="47"/>
      <c r="C566" s="127"/>
      <c r="D566" s="127"/>
      <c r="E566" s="127"/>
      <c r="F566" s="127"/>
      <c r="G566" s="127"/>
      <c r="H566" s="127"/>
      <c r="I566" s="127"/>
      <c r="J566" s="127"/>
      <c r="K566" s="127"/>
      <c r="L566" s="127"/>
      <c r="M566" s="127"/>
      <c r="RG566" s="6"/>
      <c r="RH566" s="6"/>
      <c r="RI566" s="6"/>
      <c r="RJ566" s="6"/>
      <c r="RK566" s="6"/>
      <c r="RL566" s="45"/>
      <c r="RM566" s="4"/>
      <c r="RN566" s="4"/>
      <c r="RO566" s="4"/>
      <c r="RP566" s="6"/>
    </row>
    <row r="567" spans="1:484" x14ac:dyDescent="0.25">
      <c r="A567" s="46"/>
      <c r="B567" s="47"/>
      <c r="C567" s="127"/>
      <c r="D567" s="127"/>
      <c r="E567" s="127"/>
      <c r="F567" s="127"/>
      <c r="G567" s="127"/>
      <c r="H567" s="127"/>
      <c r="I567" s="127"/>
      <c r="J567" s="127"/>
      <c r="K567" s="127"/>
      <c r="L567" s="127"/>
      <c r="M567" s="127"/>
      <c r="RG567" s="6"/>
      <c r="RH567" s="6"/>
      <c r="RI567" s="6"/>
      <c r="RJ567" s="6"/>
      <c r="RK567" s="6"/>
      <c r="RL567" s="45"/>
      <c r="RM567" s="4"/>
      <c r="RN567" s="4"/>
      <c r="RO567" s="4"/>
      <c r="RP567" s="6"/>
    </row>
    <row r="568" spans="1:484" x14ac:dyDescent="0.25">
      <c r="A568" s="46"/>
      <c r="B568" s="47"/>
      <c r="C568" s="127"/>
      <c r="D568" s="127"/>
      <c r="E568" s="127"/>
      <c r="F568" s="127"/>
      <c r="G568" s="127"/>
      <c r="H568" s="127"/>
      <c r="I568" s="127"/>
      <c r="J568" s="127"/>
      <c r="K568" s="127"/>
      <c r="L568" s="127"/>
      <c r="M568" s="127"/>
      <c r="RG568" s="6"/>
      <c r="RH568" s="6"/>
      <c r="RI568" s="6"/>
      <c r="RJ568" s="6"/>
      <c r="RK568" s="6"/>
      <c r="RL568" s="45"/>
      <c r="RM568" s="4"/>
      <c r="RN568" s="4"/>
      <c r="RO568" s="4"/>
      <c r="RP568" s="6"/>
    </row>
    <row r="569" spans="1:484" x14ac:dyDescent="0.25">
      <c r="A569" s="46"/>
      <c r="B569" s="47"/>
      <c r="C569" s="127"/>
      <c r="D569" s="127"/>
      <c r="E569" s="127"/>
      <c r="F569" s="127"/>
      <c r="G569" s="127"/>
      <c r="H569" s="127"/>
      <c r="I569" s="127"/>
      <c r="J569" s="127"/>
      <c r="K569" s="127"/>
      <c r="L569" s="127"/>
      <c r="M569" s="127"/>
      <c r="RG569" s="6"/>
      <c r="RH569" s="6"/>
      <c r="RI569" s="6"/>
      <c r="RJ569" s="6"/>
      <c r="RK569" s="6"/>
      <c r="RL569" s="45"/>
      <c r="RM569" s="4"/>
      <c r="RN569" s="4"/>
      <c r="RO569" s="4"/>
      <c r="RP569" s="6"/>
    </row>
    <row r="570" spans="1:484" x14ac:dyDescent="0.25">
      <c r="A570" s="46"/>
      <c r="B570" s="47"/>
      <c r="C570" s="127"/>
      <c r="D570" s="127"/>
      <c r="E570" s="127"/>
      <c r="F570" s="127"/>
      <c r="G570" s="127"/>
      <c r="H570" s="127"/>
      <c r="I570" s="127"/>
      <c r="J570" s="127"/>
      <c r="K570" s="127"/>
      <c r="L570" s="127"/>
      <c r="M570" s="127"/>
      <c r="RG570" s="6"/>
      <c r="RH570" s="6"/>
      <c r="RI570" s="6"/>
      <c r="RJ570" s="6"/>
      <c r="RK570" s="6"/>
      <c r="RL570" s="45"/>
      <c r="RM570" s="4"/>
      <c r="RN570" s="4"/>
      <c r="RO570" s="4"/>
      <c r="RP570" s="6"/>
    </row>
    <row r="571" spans="1:484" x14ac:dyDescent="0.25">
      <c r="A571" s="46"/>
      <c r="B571" s="47"/>
      <c r="C571" s="127"/>
      <c r="D571" s="127"/>
      <c r="E571" s="127"/>
      <c r="F571" s="127"/>
      <c r="G571" s="127"/>
      <c r="H571" s="127"/>
      <c r="I571" s="127"/>
      <c r="J571" s="127"/>
      <c r="K571" s="127"/>
      <c r="L571" s="127"/>
      <c r="M571" s="127"/>
      <c r="RG571" s="6"/>
      <c r="RH571" s="6"/>
      <c r="RI571" s="6"/>
      <c r="RJ571" s="6"/>
      <c r="RK571" s="6"/>
      <c r="RL571" s="45"/>
      <c r="RM571" s="4"/>
      <c r="RN571" s="4"/>
      <c r="RO571" s="4"/>
      <c r="RP571" s="6"/>
    </row>
    <row r="572" spans="1:484" x14ac:dyDescent="0.25">
      <c r="A572" s="46"/>
      <c r="B572" s="47"/>
      <c r="C572" s="127"/>
      <c r="D572" s="127"/>
      <c r="E572" s="127"/>
      <c r="F572" s="127"/>
      <c r="G572" s="127"/>
      <c r="H572" s="127"/>
      <c r="I572" s="127"/>
      <c r="J572" s="127"/>
      <c r="K572" s="127"/>
      <c r="L572" s="127"/>
      <c r="M572" s="127"/>
      <c r="RG572" s="6"/>
      <c r="RH572" s="6"/>
      <c r="RI572" s="6"/>
      <c r="RJ572" s="6"/>
      <c r="RK572" s="6"/>
      <c r="RL572" s="45"/>
      <c r="RM572" s="4"/>
      <c r="RN572" s="4"/>
      <c r="RO572" s="4"/>
      <c r="RP572" s="6"/>
    </row>
    <row r="573" spans="1:484" x14ac:dyDescent="0.25">
      <c r="A573" s="46"/>
      <c r="B573" s="47"/>
      <c r="C573" s="127"/>
      <c r="D573" s="127"/>
      <c r="E573" s="127"/>
      <c r="F573" s="127"/>
      <c r="G573" s="127"/>
      <c r="H573" s="127"/>
      <c r="I573" s="127"/>
      <c r="J573" s="127"/>
      <c r="K573" s="127"/>
      <c r="L573" s="127"/>
      <c r="M573" s="127"/>
      <c r="RG573" s="6"/>
      <c r="RH573" s="6"/>
      <c r="RI573" s="6"/>
      <c r="RJ573" s="6"/>
      <c r="RK573" s="6"/>
      <c r="RL573" s="45"/>
      <c r="RM573" s="4"/>
      <c r="RN573" s="4"/>
      <c r="RO573" s="4"/>
      <c r="RP573" s="6"/>
    </row>
    <row r="574" spans="1:484" x14ac:dyDescent="0.25">
      <c r="A574" s="46"/>
      <c r="B574" s="47"/>
      <c r="C574" s="127"/>
      <c r="D574" s="127"/>
      <c r="E574" s="127"/>
      <c r="F574" s="127"/>
      <c r="G574" s="127"/>
      <c r="H574" s="127"/>
      <c r="I574" s="127"/>
      <c r="J574" s="127"/>
      <c r="K574" s="127"/>
      <c r="L574" s="127"/>
      <c r="M574" s="127"/>
      <c r="RG574" s="6"/>
      <c r="RH574" s="6"/>
      <c r="RI574" s="6"/>
      <c r="RJ574" s="6"/>
      <c r="RK574" s="6"/>
      <c r="RL574" s="45"/>
      <c r="RM574" s="4"/>
      <c r="RN574" s="4"/>
      <c r="RO574" s="4"/>
      <c r="RP574" s="6"/>
    </row>
    <row r="575" spans="1:484" x14ac:dyDescent="0.25">
      <c r="A575" s="46"/>
      <c r="B575" s="47"/>
      <c r="C575" s="127"/>
      <c r="D575" s="127"/>
      <c r="E575" s="127"/>
      <c r="F575" s="127"/>
      <c r="G575" s="127"/>
      <c r="H575" s="127"/>
      <c r="I575" s="127"/>
      <c r="J575" s="127"/>
      <c r="K575" s="127"/>
      <c r="L575" s="127"/>
      <c r="M575" s="127"/>
      <c r="RG575" s="6"/>
      <c r="RH575" s="6"/>
      <c r="RI575" s="6"/>
      <c r="RJ575" s="6"/>
      <c r="RK575" s="6"/>
      <c r="RL575" s="45"/>
      <c r="RM575" s="4"/>
      <c r="RN575" s="4"/>
      <c r="RO575" s="4"/>
      <c r="RP575" s="6"/>
    </row>
    <row r="576" spans="1:484" x14ac:dyDescent="0.25">
      <c r="A576" s="46"/>
      <c r="B576" s="47"/>
      <c r="C576" s="127"/>
      <c r="D576" s="127"/>
      <c r="E576" s="127"/>
      <c r="F576" s="127"/>
      <c r="G576" s="127"/>
      <c r="H576" s="127"/>
      <c r="I576" s="127"/>
      <c r="J576" s="127"/>
      <c r="K576" s="127"/>
      <c r="L576" s="127"/>
      <c r="M576" s="127"/>
      <c r="RG576" s="6"/>
      <c r="RH576" s="6"/>
      <c r="RI576" s="6"/>
      <c r="RJ576" s="6"/>
      <c r="RK576" s="6"/>
      <c r="RL576" s="45"/>
      <c r="RM576" s="4"/>
      <c r="RN576" s="4"/>
      <c r="RO576" s="4"/>
      <c r="RP576" s="6"/>
    </row>
    <row r="577" spans="1:484" x14ac:dyDescent="0.25">
      <c r="A577" s="46"/>
      <c r="B577" s="47"/>
      <c r="C577" s="127"/>
      <c r="D577" s="127"/>
      <c r="E577" s="127"/>
      <c r="F577" s="127"/>
      <c r="G577" s="127"/>
      <c r="H577" s="127"/>
      <c r="I577" s="127"/>
      <c r="J577" s="127"/>
      <c r="K577" s="127"/>
      <c r="L577" s="127"/>
      <c r="M577" s="127"/>
      <c r="RG577" s="6"/>
      <c r="RH577" s="6"/>
      <c r="RI577" s="6"/>
      <c r="RJ577" s="6"/>
      <c r="RK577" s="6"/>
      <c r="RL577" s="45"/>
      <c r="RM577" s="4"/>
      <c r="RN577" s="4"/>
      <c r="RO577" s="4"/>
      <c r="RP577" s="6"/>
    </row>
    <row r="578" spans="1:484" x14ac:dyDescent="0.25">
      <c r="A578" s="46"/>
      <c r="B578" s="47"/>
      <c r="C578" s="127"/>
      <c r="D578" s="127"/>
      <c r="E578" s="127"/>
      <c r="F578" s="127"/>
      <c r="G578" s="127"/>
      <c r="H578" s="127"/>
      <c r="I578" s="127"/>
      <c r="J578" s="127"/>
      <c r="K578" s="127"/>
      <c r="L578" s="127"/>
      <c r="M578" s="127"/>
      <c r="RG578" s="6"/>
      <c r="RH578" s="6"/>
      <c r="RI578" s="6"/>
      <c r="RJ578" s="6"/>
      <c r="RK578" s="6"/>
      <c r="RL578" s="45"/>
      <c r="RM578" s="4"/>
      <c r="RN578" s="4"/>
      <c r="RO578" s="4"/>
      <c r="RP578" s="6"/>
    </row>
    <row r="579" spans="1:484" x14ac:dyDescent="0.25">
      <c r="A579" s="46"/>
      <c r="B579" s="47"/>
      <c r="C579" s="127"/>
      <c r="D579" s="127"/>
      <c r="E579" s="127"/>
      <c r="F579" s="127"/>
      <c r="G579" s="127"/>
      <c r="H579" s="127"/>
      <c r="I579" s="127"/>
      <c r="J579" s="127"/>
      <c r="K579" s="127"/>
      <c r="L579" s="127"/>
      <c r="M579" s="127"/>
      <c r="RG579" s="6"/>
      <c r="RH579" s="6"/>
      <c r="RI579" s="6"/>
      <c r="RJ579" s="6"/>
      <c r="RK579" s="6"/>
      <c r="RL579" s="45"/>
      <c r="RM579" s="4"/>
      <c r="RN579" s="4"/>
      <c r="RO579" s="4"/>
      <c r="RP579" s="6"/>
    </row>
    <row r="580" spans="1:484" x14ac:dyDescent="0.25">
      <c r="A580" s="46"/>
      <c r="B580" s="47"/>
      <c r="C580" s="127"/>
      <c r="D580" s="127"/>
      <c r="E580" s="127"/>
      <c r="F580" s="127"/>
      <c r="G580" s="127"/>
      <c r="H580" s="127"/>
      <c r="I580" s="127"/>
      <c r="J580" s="127"/>
      <c r="K580" s="127"/>
      <c r="L580" s="127"/>
      <c r="M580" s="127"/>
      <c r="RG580" s="6"/>
      <c r="RH580" s="6"/>
      <c r="RI580" s="6"/>
      <c r="RJ580" s="6"/>
      <c r="RK580" s="6"/>
      <c r="RL580" s="45"/>
      <c r="RM580" s="4"/>
      <c r="RN580" s="4"/>
      <c r="RO580" s="4"/>
      <c r="RP580" s="6"/>
    </row>
    <row r="581" spans="1:484" x14ac:dyDescent="0.25">
      <c r="A581" s="46"/>
      <c r="B581" s="47"/>
      <c r="C581" s="127"/>
      <c r="D581" s="127"/>
      <c r="E581" s="127"/>
      <c r="F581" s="127"/>
      <c r="G581" s="127"/>
      <c r="H581" s="127"/>
      <c r="I581" s="127"/>
      <c r="J581" s="127"/>
      <c r="K581" s="127"/>
      <c r="L581" s="127"/>
      <c r="M581" s="127"/>
      <c r="RG581" s="6"/>
      <c r="RH581" s="6"/>
      <c r="RI581" s="6"/>
      <c r="RJ581" s="6"/>
      <c r="RK581" s="6"/>
      <c r="RL581" s="45"/>
      <c r="RM581" s="4"/>
      <c r="RN581" s="4"/>
      <c r="RO581" s="4"/>
      <c r="RP581" s="6"/>
    </row>
    <row r="582" spans="1:484" x14ac:dyDescent="0.25">
      <c r="A582" s="46"/>
      <c r="B582" s="47"/>
      <c r="C582" s="127"/>
      <c r="D582" s="127"/>
      <c r="E582" s="127"/>
      <c r="F582" s="127"/>
      <c r="G582" s="127"/>
      <c r="H582" s="127"/>
      <c r="I582" s="127"/>
      <c r="J582" s="127"/>
      <c r="K582" s="127"/>
      <c r="L582" s="127"/>
      <c r="M582" s="127"/>
      <c r="RG582" s="6"/>
      <c r="RH582" s="6"/>
      <c r="RI582" s="6"/>
      <c r="RJ582" s="6"/>
      <c r="RK582" s="6"/>
      <c r="RL582" s="45"/>
      <c r="RM582" s="4"/>
      <c r="RN582" s="4"/>
      <c r="RO582" s="4"/>
      <c r="RP582" s="6"/>
    </row>
    <row r="583" spans="1:484" x14ac:dyDescent="0.25">
      <c r="A583" s="46"/>
      <c r="B583" s="47"/>
      <c r="C583" s="127"/>
      <c r="D583" s="127"/>
      <c r="E583" s="127"/>
      <c r="F583" s="127"/>
      <c r="G583" s="127"/>
      <c r="H583" s="127"/>
      <c r="I583" s="127"/>
      <c r="J583" s="127"/>
      <c r="K583" s="127"/>
      <c r="L583" s="127"/>
      <c r="M583" s="127"/>
      <c r="RG583" s="6"/>
      <c r="RH583" s="6"/>
      <c r="RI583" s="6"/>
      <c r="RJ583" s="6"/>
      <c r="RK583" s="6"/>
      <c r="RL583" s="45"/>
      <c r="RM583" s="4"/>
      <c r="RN583" s="4"/>
      <c r="RO583" s="4"/>
      <c r="RP583" s="6"/>
    </row>
    <row r="584" spans="1:484" x14ac:dyDescent="0.25">
      <c r="A584" s="46"/>
      <c r="B584" s="47"/>
      <c r="C584" s="127"/>
      <c r="D584" s="127"/>
      <c r="E584" s="127"/>
      <c r="F584" s="127"/>
      <c r="G584" s="127"/>
      <c r="H584" s="127"/>
      <c r="I584" s="127"/>
      <c r="J584" s="127"/>
      <c r="K584" s="127"/>
      <c r="L584" s="127"/>
      <c r="M584" s="127"/>
      <c r="RG584" s="6"/>
      <c r="RH584" s="6"/>
      <c r="RI584" s="6"/>
      <c r="RJ584" s="6"/>
      <c r="RK584" s="6"/>
      <c r="RL584" s="45"/>
      <c r="RM584" s="4"/>
      <c r="RN584" s="4"/>
      <c r="RO584" s="4"/>
      <c r="RP584" s="6"/>
    </row>
    <row r="585" spans="1:484" x14ac:dyDescent="0.25">
      <c r="A585" s="46"/>
      <c r="B585" s="47"/>
      <c r="C585" s="127"/>
      <c r="D585" s="127"/>
      <c r="E585" s="127"/>
      <c r="F585" s="127"/>
      <c r="G585" s="127"/>
      <c r="H585" s="127"/>
      <c r="I585" s="127"/>
      <c r="J585" s="127"/>
      <c r="K585" s="127"/>
      <c r="L585" s="127"/>
      <c r="M585" s="127"/>
      <c r="RG585" s="6"/>
      <c r="RH585" s="6"/>
      <c r="RI585" s="6"/>
      <c r="RJ585" s="6"/>
      <c r="RK585" s="6"/>
      <c r="RL585" s="45"/>
      <c r="RM585" s="4"/>
      <c r="RN585" s="4"/>
      <c r="RO585" s="4"/>
      <c r="RP585" s="6"/>
    </row>
    <row r="586" spans="1:484" x14ac:dyDescent="0.25">
      <c r="A586" s="46"/>
      <c r="B586" s="47"/>
      <c r="C586" s="127"/>
      <c r="D586" s="127"/>
      <c r="E586" s="127"/>
      <c r="F586" s="127"/>
      <c r="G586" s="127"/>
      <c r="H586" s="127"/>
      <c r="I586" s="127"/>
      <c r="J586" s="127"/>
      <c r="K586" s="127"/>
      <c r="L586" s="127"/>
      <c r="M586" s="127"/>
      <c r="RG586" s="6"/>
      <c r="RH586" s="6"/>
      <c r="RI586" s="6"/>
      <c r="RJ586" s="6"/>
      <c r="RK586" s="6"/>
      <c r="RL586" s="45"/>
      <c r="RM586" s="4"/>
      <c r="RN586" s="4"/>
      <c r="RO586" s="4"/>
      <c r="RP586" s="6"/>
    </row>
    <row r="587" spans="1:484" x14ac:dyDescent="0.25">
      <c r="A587" s="46"/>
      <c r="B587" s="47"/>
      <c r="C587" s="127"/>
      <c r="D587" s="127"/>
      <c r="E587" s="127"/>
      <c r="F587" s="127"/>
      <c r="G587" s="127"/>
      <c r="H587" s="127"/>
      <c r="I587" s="127"/>
      <c r="J587" s="127"/>
      <c r="K587" s="127"/>
      <c r="L587" s="127"/>
      <c r="M587" s="127"/>
      <c r="RG587" s="6"/>
      <c r="RH587" s="6"/>
      <c r="RI587" s="6"/>
      <c r="RJ587" s="6"/>
      <c r="RK587" s="6"/>
      <c r="RL587" s="45"/>
      <c r="RM587" s="4"/>
      <c r="RN587" s="4"/>
      <c r="RO587" s="4"/>
      <c r="RP587" s="6"/>
    </row>
    <row r="588" spans="1:484" x14ac:dyDescent="0.25">
      <c r="A588" s="46"/>
      <c r="B588" s="47"/>
      <c r="C588" s="127"/>
      <c r="D588" s="127"/>
      <c r="E588" s="127"/>
      <c r="F588" s="127"/>
      <c r="G588" s="127"/>
      <c r="H588" s="127"/>
      <c r="I588" s="127"/>
      <c r="J588" s="127"/>
      <c r="K588" s="127"/>
      <c r="L588" s="127"/>
      <c r="M588" s="127"/>
      <c r="RG588" s="6"/>
      <c r="RH588" s="6"/>
      <c r="RI588" s="6"/>
      <c r="RJ588" s="6"/>
      <c r="RK588" s="6"/>
      <c r="RL588" s="45"/>
      <c r="RM588" s="4"/>
      <c r="RN588" s="4"/>
      <c r="RO588" s="4"/>
      <c r="RP588" s="6"/>
    </row>
    <row r="589" spans="1:484" x14ac:dyDescent="0.25">
      <c r="A589" s="46"/>
      <c r="B589" s="47"/>
      <c r="C589" s="127"/>
      <c r="D589" s="127"/>
      <c r="E589" s="127"/>
      <c r="F589" s="127"/>
      <c r="G589" s="127"/>
      <c r="H589" s="127"/>
      <c r="I589" s="127"/>
      <c r="J589" s="127"/>
      <c r="K589" s="127"/>
      <c r="L589" s="127"/>
      <c r="M589" s="127"/>
      <c r="RG589" s="6"/>
      <c r="RH589" s="6"/>
      <c r="RI589" s="6"/>
      <c r="RJ589" s="6"/>
      <c r="RK589" s="6"/>
      <c r="RL589" s="45"/>
      <c r="RM589" s="4"/>
      <c r="RN589" s="4"/>
      <c r="RO589" s="4"/>
      <c r="RP589" s="6"/>
    </row>
    <row r="590" spans="1:484" x14ac:dyDescent="0.25">
      <c r="A590" s="46"/>
      <c r="B590" s="47"/>
      <c r="C590" s="127"/>
      <c r="D590" s="127"/>
      <c r="E590" s="127"/>
      <c r="F590" s="127"/>
      <c r="G590" s="127"/>
      <c r="H590" s="127"/>
      <c r="I590" s="127"/>
      <c r="J590" s="127"/>
      <c r="K590" s="127"/>
      <c r="L590" s="127"/>
      <c r="M590" s="127"/>
      <c r="RG590" s="6"/>
      <c r="RH590" s="6"/>
      <c r="RI590" s="6"/>
      <c r="RJ590" s="6"/>
      <c r="RK590" s="6"/>
      <c r="RL590" s="45"/>
      <c r="RM590" s="4"/>
      <c r="RN590" s="4"/>
      <c r="RO590" s="4"/>
      <c r="RP590" s="6"/>
    </row>
    <row r="591" spans="1:484" x14ac:dyDescent="0.25">
      <c r="A591" s="46"/>
      <c r="B591" s="47"/>
      <c r="C591" s="127"/>
      <c r="D591" s="127"/>
      <c r="E591" s="127"/>
      <c r="F591" s="127"/>
      <c r="G591" s="127"/>
      <c r="H591" s="127"/>
      <c r="I591" s="127"/>
      <c r="J591" s="127"/>
      <c r="K591" s="127"/>
      <c r="L591" s="127"/>
      <c r="M591" s="127"/>
      <c r="RG591" s="6"/>
      <c r="RH591" s="6"/>
      <c r="RI591" s="6"/>
      <c r="RJ591" s="6"/>
      <c r="RK591" s="6"/>
      <c r="RL591" s="45"/>
      <c r="RM591" s="4"/>
      <c r="RN591" s="4"/>
      <c r="RO591" s="4"/>
      <c r="RP591" s="6"/>
    </row>
    <row r="592" spans="1:484" x14ac:dyDescent="0.25">
      <c r="A592" s="46"/>
      <c r="B592" s="47"/>
      <c r="C592" s="127"/>
      <c r="D592" s="127"/>
      <c r="E592" s="127"/>
      <c r="F592" s="127"/>
      <c r="G592" s="127"/>
      <c r="H592" s="127"/>
      <c r="I592" s="127"/>
      <c r="J592" s="127"/>
      <c r="K592" s="127"/>
      <c r="L592" s="127"/>
      <c r="M592" s="127"/>
      <c r="RG592" s="6"/>
      <c r="RH592" s="6"/>
      <c r="RI592" s="6"/>
      <c r="RJ592" s="6"/>
      <c r="RK592" s="6"/>
      <c r="RL592" s="45"/>
      <c r="RM592" s="4"/>
      <c r="RN592" s="4"/>
      <c r="RO592" s="4"/>
      <c r="RP592" s="6"/>
    </row>
    <row r="593" spans="1:484" x14ac:dyDescent="0.25">
      <c r="A593" s="46"/>
      <c r="B593" s="47"/>
      <c r="C593" s="127"/>
      <c r="D593" s="127"/>
      <c r="E593" s="127"/>
      <c r="F593" s="127"/>
      <c r="G593" s="127"/>
      <c r="H593" s="127"/>
      <c r="I593" s="127"/>
      <c r="J593" s="127"/>
      <c r="K593" s="127"/>
      <c r="L593" s="127"/>
      <c r="M593" s="127"/>
      <c r="RG593" s="6"/>
      <c r="RH593" s="6"/>
      <c r="RI593" s="6"/>
      <c r="RJ593" s="6"/>
      <c r="RK593" s="6"/>
      <c r="RL593" s="45"/>
      <c r="RM593" s="4"/>
      <c r="RN593" s="4"/>
      <c r="RO593" s="4"/>
      <c r="RP593" s="6"/>
    </row>
    <row r="594" spans="1:484" x14ac:dyDescent="0.25">
      <c r="A594" s="46"/>
      <c r="B594" s="47"/>
      <c r="C594" s="127"/>
      <c r="D594" s="127"/>
      <c r="E594" s="127"/>
      <c r="F594" s="127"/>
      <c r="G594" s="127"/>
      <c r="H594" s="127"/>
      <c r="I594" s="127"/>
      <c r="J594" s="127"/>
      <c r="K594" s="127"/>
      <c r="L594" s="127"/>
      <c r="M594" s="127"/>
      <c r="RG594" s="6"/>
      <c r="RH594" s="6"/>
      <c r="RI594" s="6"/>
      <c r="RJ594" s="6"/>
      <c r="RK594" s="6"/>
      <c r="RL594" s="45"/>
      <c r="RM594" s="4"/>
      <c r="RN594" s="4"/>
      <c r="RO594" s="4"/>
      <c r="RP594" s="6"/>
    </row>
    <row r="595" spans="1:484" x14ac:dyDescent="0.25">
      <c r="A595" s="46"/>
      <c r="B595" s="47"/>
      <c r="C595" s="127"/>
      <c r="D595" s="127"/>
      <c r="E595" s="127"/>
      <c r="F595" s="127"/>
      <c r="G595" s="127"/>
      <c r="H595" s="127"/>
      <c r="I595" s="127"/>
      <c r="J595" s="127"/>
      <c r="K595" s="127"/>
      <c r="L595" s="127"/>
      <c r="M595" s="127"/>
      <c r="RG595" s="6"/>
      <c r="RH595" s="6"/>
      <c r="RI595" s="6"/>
      <c r="RJ595" s="6"/>
      <c r="RK595" s="6"/>
      <c r="RL595" s="45"/>
      <c r="RM595" s="4"/>
      <c r="RN595" s="4"/>
      <c r="RO595" s="4"/>
      <c r="RP595" s="6"/>
    </row>
    <row r="596" spans="1:484" x14ac:dyDescent="0.25">
      <c r="A596" s="46"/>
      <c r="B596" s="47"/>
      <c r="C596" s="127"/>
      <c r="D596" s="127"/>
      <c r="E596" s="127"/>
      <c r="F596" s="127"/>
      <c r="G596" s="127"/>
      <c r="H596" s="127"/>
      <c r="I596" s="127"/>
      <c r="J596" s="127"/>
      <c r="K596" s="127"/>
      <c r="L596" s="127"/>
      <c r="M596" s="127"/>
      <c r="RG596" s="6"/>
      <c r="RH596" s="6"/>
      <c r="RI596" s="6"/>
      <c r="RJ596" s="6"/>
      <c r="RK596" s="6"/>
      <c r="RL596" s="45"/>
      <c r="RM596" s="4"/>
      <c r="RN596" s="4"/>
      <c r="RO596" s="4"/>
      <c r="RP596" s="6"/>
    </row>
    <row r="597" spans="1:484" x14ac:dyDescent="0.25">
      <c r="A597" s="46"/>
      <c r="B597" s="47"/>
      <c r="C597" s="127"/>
      <c r="D597" s="127"/>
      <c r="E597" s="127"/>
      <c r="F597" s="127"/>
      <c r="G597" s="127"/>
      <c r="H597" s="127"/>
      <c r="I597" s="127"/>
      <c r="J597" s="127"/>
      <c r="K597" s="127"/>
      <c r="L597" s="127"/>
      <c r="M597" s="127"/>
      <c r="RG597" s="6"/>
      <c r="RH597" s="6"/>
      <c r="RI597" s="6"/>
      <c r="RJ597" s="6"/>
      <c r="RK597" s="6"/>
      <c r="RL597" s="45"/>
      <c r="RM597" s="4"/>
      <c r="RN597" s="4"/>
      <c r="RO597" s="4"/>
      <c r="RP597" s="6"/>
    </row>
    <row r="598" spans="1:484" x14ac:dyDescent="0.25">
      <c r="A598" s="46"/>
      <c r="B598" s="47"/>
      <c r="C598" s="127"/>
      <c r="D598" s="127"/>
      <c r="E598" s="127"/>
      <c r="F598" s="127"/>
      <c r="G598" s="127"/>
      <c r="H598" s="127"/>
      <c r="I598" s="127"/>
      <c r="J598" s="127"/>
      <c r="K598" s="127"/>
      <c r="L598" s="127"/>
      <c r="M598" s="127"/>
      <c r="RG598" s="6"/>
      <c r="RH598" s="6"/>
      <c r="RI598" s="6"/>
      <c r="RJ598" s="6"/>
      <c r="RK598" s="6"/>
      <c r="RL598" s="45"/>
      <c r="RM598" s="4"/>
      <c r="RN598" s="4"/>
      <c r="RO598" s="4"/>
      <c r="RP598" s="6"/>
    </row>
    <row r="599" spans="1:484" x14ac:dyDescent="0.25">
      <c r="A599" s="46"/>
      <c r="B599" s="47"/>
      <c r="C599" s="127"/>
      <c r="D599" s="127"/>
      <c r="E599" s="127"/>
      <c r="F599" s="127"/>
      <c r="G599" s="127"/>
      <c r="H599" s="127"/>
      <c r="I599" s="127"/>
      <c r="J599" s="127"/>
      <c r="K599" s="127"/>
      <c r="L599" s="127"/>
      <c r="M599" s="127"/>
      <c r="RG599" s="6"/>
      <c r="RH599" s="6"/>
      <c r="RI599" s="6"/>
      <c r="RJ599" s="6"/>
      <c r="RK599" s="6"/>
      <c r="RL599" s="45"/>
      <c r="RM599" s="4"/>
      <c r="RN599" s="4"/>
      <c r="RO599" s="4"/>
      <c r="RP599" s="6"/>
    </row>
    <row r="600" spans="1:484" x14ac:dyDescent="0.25">
      <c r="A600" s="46"/>
      <c r="B600" s="47"/>
      <c r="C600" s="127"/>
      <c r="D600" s="127"/>
      <c r="E600" s="127"/>
      <c r="F600" s="127"/>
      <c r="G600" s="127"/>
      <c r="H600" s="127"/>
      <c r="I600" s="127"/>
      <c r="J600" s="127"/>
      <c r="K600" s="127"/>
      <c r="L600" s="127"/>
      <c r="M600" s="127"/>
      <c r="RG600" s="6"/>
      <c r="RH600" s="6"/>
      <c r="RI600" s="6"/>
      <c r="RJ600" s="6"/>
      <c r="RK600" s="6"/>
      <c r="RL600" s="45"/>
      <c r="RM600" s="4"/>
      <c r="RN600" s="4"/>
      <c r="RO600" s="4"/>
      <c r="RP600" s="6"/>
    </row>
    <row r="601" spans="1:484" x14ac:dyDescent="0.25">
      <c r="A601" s="46"/>
      <c r="B601" s="47"/>
      <c r="C601" s="127"/>
      <c r="D601" s="127"/>
      <c r="E601" s="127"/>
      <c r="F601" s="127"/>
      <c r="G601" s="127"/>
      <c r="H601" s="127"/>
      <c r="I601" s="127"/>
      <c r="J601" s="127"/>
      <c r="K601" s="127"/>
      <c r="L601" s="127"/>
      <c r="M601" s="127"/>
      <c r="RG601" s="6"/>
      <c r="RH601" s="6"/>
      <c r="RI601" s="6"/>
      <c r="RJ601" s="6"/>
      <c r="RK601" s="6"/>
      <c r="RL601" s="45"/>
      <c r="RM601" s="4"/>
      <c r="RN601" s="4"/>
      <c r="RO601" s="4"/>
      <c r="RP601" s="6"/>
    </row>
    <row r="602" spans="1:484" x14ac:dyDescent="0.25">
      <c r="A602" s="46"/>
      <c r="B602" s="47"/>
      <c r="C602" s="127"/>
      <c r="D602" s="127"/>
      <c r="E602" s="127"/>
      <c r="F602" s="127"/>
      <c r="G602" s="127"/>
      <c r="H602" s="127"/>
      <c r="I602" s="127"/>
      <c r="J602" s="127"/>
      <c r="K602" s="127"/>
      <c r="L602" s="127"/>
      <c r="M602" s="127"/>
      <c r="RG602" s="6"/>
      <c r="RH602" s="6"/>
      <c r="RI602" s="6"/>
      <c r="RJ602" s="6"/>
      <c r="RK602" s="6"/>
      <c r="RL602" s="45"/>
      <c r="RM602" s="4"/>
      <c r="RN602" s="4"/>
      <c r="RO602" s="4"/>
      <c r="RP602" s="6"/>
    </row>
    <row r="603" spans="1:484" x14ac:dyDescent="0.25">
      <c r="A603" s="46"/>
      <c r="B603" s="47"/>
      <c r="C603" s="127"/>
      <c r="D603" s="127"/>
      <c r="E603" s="127"/>
      <c r="F603" s="127"/>
      <c r="G603" s="127"/>
      <c r="H603" s="127"/>
      <c r="I603" s="127"/>
      <c r="J603" s="127"/>
      <c r="K603" s="127"/>
      <c r="L603" s="127"/>
      <c r="M603" s="127"/>
      <c r="RG603" s="6"/>
      <c r="RH603" s="6"/>
      <c r="RI603" s="6"/>
      <c r="RJ603" s="6"/>
      <c r="RK603" s="6"/>
      <c r="RL603" s="45"/>
      <c r="RM603" s="4"/>
      <c r="RN603" s="4"/>
      <c r="RO603" s="4"/>
      <c r="RP603" s="6"/>
    </row>
    <row r="604" spans="1:484" x14ac:dyDescent="0.25">
      <c r="A604" s="46"/>
      <c r="B604" s="47"/>
      <c r="C604" s="127"/>
      <c r="D604" s="127"/>
      <c r="E604" s="127"/>
      <c r="F604" s="127"/>
      <c r="G604" s="127"/>
      <c r="H604" s="127"/>
      <c r="I604" s="127"/>
      <c r="J604" s="127"/>
      <c r="K604" s="127"/>
      <c r="L604" s="127"/>
      <c r="M604" s="127"/>
      <c r="RG604" s="6"/>
      <c r="RH604" s="6"/>
      <c r="RI604" s="6"/>
      <c r="RJ604" s="6"/>
      <c r="RK604" s="6"/>
      <c r="RL604" s="45"/>
      <c r="RM604" s="4"/>
      <c r="RN604" s="4"/>
      <c r="RO604" s="4"/>
      <c r="RP604" s="6"/>
    </row>
    <row r="605" spans="1:484" x14ac:dyDescent="0.25">
      <c r="A605" s="46"/>
      <c r="B605" s="47"/>
      <c r="C605" s="127"/>
      <c r="D605" s="127"/>
      <c r="E605" s="127"/>
      <c r="F605" s="127"/>
      <c r="G605" s="127"/>
      <c r="H605" s="127"/>
      <c r="I605" s="127"/>
      <c r="J605" s="127"/>
      <c r="K605" s="127"/>
      <c r="L605" s="127"/>
      <c r="M605" s="127"/>
      <c r="RG605" s="6"/>
      <c r="RH605" s="6"/>
      <c r="RI605" s="6"/>
      <c r="RJ605" s="6"/>
      <c r="RK605" s="6"/>
      <c r="RL605" s="45"/>
      <c r="RM605" s="4"/>
      <c r="RN605" s="4"/>
      <c r="RO605" s="4"/>
      <c r="RP605" s="6"/>
    </row>
    <row r="606" spans="1:484" x14ac:dyDescent="0.25">
      <c r="A606" s="46"/>
      <c r="B606" s="47"/>
      <c r="C606" s="127"/>
      <c r="D606" s="127"/>
      <c r="E606" s="127"/>
      <c r="F606" s="127"/>
      <c r="G606" s="127"/>
      <c r="H606" s="127"/>
      <c r="I606" s="127"/>
      <c r="J606" s="127"/>
      <c r="K606" s="127"/>
      <c r="L606" s="127"/>
      <c r="M606" s="127"/>
      <c r="RG606" s="6"/>
      <c r="RH606" s="6"/>
      <c r="RI606" s="6"/>
      <c r="RJ606" s="6"/>
      <c r="RK606" s="6"/>
      <c r="RL606" s="45"/>
      <c r="RM606" s="4"/>
      <c r="RN606" s="4"/>
      <c r="RO606" s="4"/>
      <c r="RP606" s="6"/>
    </row>
    <row r="607" spans="1:484" x14ac:dyDescent="0.25">
      <c r="A607" s="46"/>
      <c r="B607" s="47"/>
      <c r="C607" s="127"/>
      <c r="D607" s="127"/>
      <c r="E607" s="127"/>
      <c r="F607" s="127"/>
      <c r="G607" s="127"/>
      <c r="H607" s="127"/>
      <c r="I607" s="127"/>
      <c r="J607" s="127"/>
      <c r="K607" s="127"/>
      <c r="L607" s="127"/>
      <c r="M607" s="127"/>
      <c r="RG607" s="6"/>
      <c r="RH607" s="6"/>
      <c r="RI607" s="6"/>
      <c r="RJ607" s="6"/>
      <c r="RK607" s="6"/>
      <c r="RL607" s="45"/>
      <c r="RM607" s="4"/>
      <c r="RN607" s="4"/>
      <c r="RO607" s="4"/>
      <c r="RP607" s="6"/>
    </row>
    <row r="608" spans="1:484" x14ac:dyDescent="0.25">
      <c r="A608" s="46"/>
      <c r="B608" s="47"/>
      <c r="C608" s="127"/>
      <c r="D608" s="127"/>
      <c r="E608" s="127"/>
      <c r="F608" s="127"/>
      <c r="G608" s="127"/>
      <c r="H608" s="127"/>
      <c r="I608" s="127"/>
      <c r="J608" s="127"/>
      <c r="K608" s="127"/>
      <c r="L608" s="127"/>
      <c r="M608" s="127"/>
      <c r="RG608" s="6"/>
      <c r="RH608" s="6"/>
      <c r="RI608" s="6"/>
      <c r="RJ608" s="6"/>
      <c r="RK608" s="6"/>
      <c r="RL608" s="45"/>
      <c r="RM608" s="4"/>
      <c r="RN608" s="4"/>
      <c r="RO608" s="4"/>
      <c r="RP608" s="6"/>
    </row>
    <row r="609" spans="1:484" x14ac:dyDescent="0.25">
      <c r="A609" s="46"/>
      <c r="B609" s="47"/>
      <c r="C609" s="127"/>
      <c r="D609" s="127"/>
      <c r="E609" s="127"/>
      <c r="F609" s="127"/>
      <c r="G609" s="127"/>
      <c r="H609" s="127"/>
      <c r="I609" s="127"/>
      <c r="J609" s="127"/>
      <c r="K609" s="127"/>
      <c r="L609" s="127"/>
      <c r="M609" s="127"/>
      <c r="RG609" s="6"/>
      <c r="RH609" s="6"/>
      <c r="RI609" s="6"/>
      <c r="RJ609" s="6"/>
      <c r="RK609" s="6"/>
      <c r="RL609" s="45"/>
      <c r="RM609" s="4"/>
      <c r="RN609" s="4"/>
      <c r="RO609" s="4"/>
      <c r="RP609" s="6"/>
    </row>
    <row r="610" spans="1:484" x14ac:dyDescent="0.25">
      <c r="A610" s="46"/>
      <c r="B610" s="47"/>
      <c r="C610" s="127"/>
      <c r="D610" s="127"/>
      <c r="E610" s="127"/>
      <c r="F610" s="127"/>
      <c r="G610" s="127"/>
      <c r="H610" s="127"/>
      <c r="I610" s="127"/>
      <c r="J610" s="127"/>
      <c r="K610" s="127"/>
      <c r="L610" s="127"/>
      <c r="M610" s="127"/>
      <c r="RG610" s="6"/>
      <c r="RH610" s="6"/>
      <c r="RI610" s="6"/>
      <c r="RJ610" s="6"/>
      <c r="RK610" s="6"/>
      <c r="RL610" s="45"/>
      <c r="RM610" s="4"/>
      <c r="RN610" s="4"/>
      <c r="RO610" s="4"/>
      <c r="RP610" s="6"/>
    </row>
    <row r="611" spans="1:484" x14ac:dyDescent="0.25">
      <c r="A611" s="46"/>
      <c r="B611" s="47"/>
      <c r="C611" s="127"/>
      <c r="D611" s="127"/>
      <c r="E611" s="127"/>
      <c r="F611" s="127"/>
      <c r="G611" s="127"/>
      <c r="H611" s="127"/>
      <c r="I611" s="127"/>
      <c r="J611" s="127"/>
      <c r="K611" s="127"/>
      <c r="L611" s="127"/>
      <c r="M611" s="127"/>
      <c r="RG611" s="6"/>
      <c r="RH611" s="6"/>
      <c r="RI611" s="6"/>
      <c r="RJ611" s="6"/>
      <c r="RK611" s="6"/>
      <c r="RL611" s="45"/>
      <c r="RM611" s="4"/>
      <c r="RN611" s="4"/>
      <c r="RO611" s="4"/>
      <c r="RP611" s="6"/>
    </row>
    <row r="612" spans="1:484" x14ac:dyDescent="0.25">
      <c r="A612" s="46"/>
      <c r="B612" s="47"/>
      <c r="C612" s="127"/>
      <c r="D612" s="127"/>
      <c r="E612" s="127"/>
      <c r="F612" s="127"/>
      <c r="G612" s="127"/>
      <c r="H612" s="127"/>
      <c r="I612" s="127"/>
      <c r="J612" s="127"/>
      <c r="K612" s="127"/>
      <c r="L612" s="127"/>
      <c r="M612" s="127"/>
      <c r="RG612" s="6"/>
      <c r="RH612" s="6"/>
      <c r="RI612" s="6"/>
      <c r="RJ612" s="6"/>
      <c r="RK612" s="6"/>
      <c r="RL612" s="45"/>
      <c r="RM612" s="4"/>
      <c r="RN612" s="4"/>
      <c r="RO612" s="4"/>
      <c r="RP612" s="6"/>
    </row>
    <row r="613" spans="1:484" x14ac:dyDescent="0.25">
      <c r="A613" s="46"/>
      <c r="B613" s="47"/>
      <c r="C613" s="127"/>
      <c r="D613" s="127"/>
      <c r="E613" s="127"/>
      <c r="F613" s="127"/>
      <c r="G613" s="127"/>
      <c r="H613" s="127"/>
      <c r="I613" s="127"/>
      <c r="J613" s="127"/>
      <c r="K613" s="127"/>
      <c r="L613" s="127"/>
      <c r="M613" s="127"/>
      <c r="RG613" s="6"/>
      <c r="RH613" s="6"/>
      <c r="RI613" s="6"/>
      <c r="RJ613" s="6"/>
      <c r="RK613" s="6"/>
      <c r="RL613" s="45"/>
      <c r="RM613" s="4"/>
      <c r="RN613" s="4"/>
      <c r="RO613" s="4"/>
      <c r="RP613" s="6"/>
    </row>
    <row r="614" spans="1:484" x14ac:dyDescent="0.25">
      <c r="A614" s="46"/>
      <c r="B614" s="47"/>
      <c r="C614" s="127"/>
      <c r="D614" s="127"/>
      <c r="E614" s="127"/>
      <c r="F614" s="127"/>
      <c r="G614" s="127"/>
      <c r="H614" s="127"/>
      <c r="I614" s="127"/>
      <c r="J614" s="127"/>
      <c r="K614" s="127"/>
      <c r="L614" s="127"/>
      <c r="M614" s="127"/>
      <c r="RG614" s="6"/>
      <c r="RH614" s="6"/>
      <c r="RI614" s="6"/>
      <c r="RJ614" s="6"/>
      <c r="RK614" s="6"/>
      <c r="RL614" s="45"/>
      <c r="RM614" s="4"/>
      <c r="RN614" s="4"/>
      <c r="RO614" s="4"/>
      <c r="RP614" s="6"/>
    </row>
    <row r="615" spans="1:484" x14ac:dyDescent="0.25">
      <c r="A615" s="46"/>
      <c r="B615" s="47"/>
      <c r="C615" s="127"/>
      <c r="D615" s="127"/>
      <c r="E615" s="127"/>
      <c r="F615" s="127"/>
      <c r="G615" s="127"/>
      <c r="H615" s="127"/>
      <c r="I615" s="127"/>
      <c r="J615" s="127"/>
      <c r="K615" s="127"/>
      <c r="L615" s="127"/>
      <c r="M615" s="127"/>
      <c r="RG615" s="6"/>
      <c r="RH615" s="6"/>
      <c r="RI615" s="6"/>
      <c r="RJ615" s="6"/>
      <c r="RK615" s="6"/>
      <c r="RL615" s="45"/>
      <c r="RM615" s="4"/>
      <c r="RN615" s="4"/>
      <c r="RO615" s="4"/>
      <c r="RP615" s="6"/>
    </row>
    <row r="616" spans="1:484" x14ac:dyDescent="0.25">
      <c r="A616" s="46"/>
      <c r="B616" s="47"/>
      <c r="C616" s="127"/>
      <c r="D616" s="127"/>
      <c r="E616" s="127"/>
      <c r="F616" s="127"/>
      <c r="G616" s="127"/>
      <c r="H616" s="127"/>
      <c r="I616" s="127"/>
      <c r="J616" s="127"/>
      <c r="K616" s="127"/>
      <c r="L616" s="127"/>
      <c r="M616" s="127"/>
      <c r="RG616" s="6"/>
      <c r="RH616" s="6"/>
      <c r="RI616" s="6"/>
      <c r="RJ616" s="6"/>
      <c r="RK616" s="6"/>
      <c r="RL616" s="45"/>
      <c r="RM616" s="4"/>
      <c r="RN616" s="4"/>
      <c r="RO616" s="4"/>
      <c r="RP616" s="6"/>
    </row>
    <row r="617" spans="1:484" x14ac:dyDescent="0.25">
      <c r="A617" s="46"/>
      <c r="B617" s="47"/>
      <c r="C617" s="127"/>
      <c r="D617" s="127"/>
      <c r="E617" s="127"/>
      <c r="F617" s="127"/>
      <c r="G617" s="127"/>
      <c r="H617" s="127"/>
      <c r="I617" s="127"/>
      <c r="J617" s="127"/>
      <c r="K617" s="127"/>
      <c r="L617" s="127"/>
      <c r="M617" s="127"/>
      <c r="RG617" s="6"/>
      <c r="RH617" s="6"/>
      <c r="RI617" s="6"/>
      <c r="RJ617" s="6"/>
      <c r="RK617" s="6"/>
      <c r="RL617" s="45"/>
      <c r="RM617" s="4"/>
      <c r="RN617" s="4"/>
      <c r="RO617" s="4"/>
      <c r="RP617" s="6"/>
    </row>
    <row r="618" spans="1:484" x14ac:dyDescent="0.25">
      <c r="A618" s="46"/>
      <c r="B618" s="47"/>
      <c r="C618" s="127"/>
      <c r="D618" s="127"/>
      <c r="E618" s="127"/>
      <c r="F618" s="127"/>
      <c r="G618" s="127"/>
      <c r="H618" s="127"/>
      <c r="I618" s="127"/>
      <c r="J618" s="127"/>
      <c r="K618" s="127"/>
      <c r="L618" s="127"/>
      <c r="M618" s="127"/>
      <c r="RG618" s="6"/>
      <c r="RH618" s="6"/>
      <c r="RI618" s="6"/>
      <c r="RJ618" s="6"/>
      <c r="RK618" s="6"/>
      <c r="RL618" s="45"/>
      <c r="RM618" s="4"/>
      <c r="RN618" s="4"/>
      <c r="RO618" s="4"/>
      <c r="RP618" s="6"/>
    </row>
    <row r="619" spans="1:484" x14ac:dyDescent="0.25">
      <c r="A619" s="46"/>
      <c r="B619" s="47"/>
      <c r="C619" s="127"/>
      <c r="D619" s="127"/>
      <c r="E619" s="127"/>
      <c r="F619" s="127"/>
      <c r="G619" s="127"/>
      <c r="H619" s="127"/>
      <c r="I619" s="127"/>
      <c r="J619" s="127"/>
      <c r="K619" s="127"/>
      <c r="L619" s="127"/>
      <c r="M619" s="127"/>
      <c r="RG619" s="6"/>
      <c r="RH619" s="6"/>
      <c r="RI619" s="6"/>
      <c r="RJ619" s="6"/>
      <c r="RK619" s="6"/>
      <c r="RL619" s="45"/>
      <c r="RM619" s="4"/>
      <c r="RN619" s="4"/>
      <c r="RO619" s="4"/>
      <c r="RP619" s="6"/>
    </row>
    <row r="620" spans="1:484" x14ac:dyDescent="0.25">
      <c r="A620" s="46"/>
      <c r="B620" s="47"/>
      <c r="C620" s="127"/>
      <c r="D620" s="127"/>
      <c r="E620" s="127"/>
      <c r="F620" s="127"/>
      <c r="G620" s="127"/>
      <c r="H620" s="127"/>
      <c r="I620" s="127"/>
      <c r="J620" s="127"/>
      <c r="K620" s="127"/>
      <c r="L620" s="127"/>
      <c r="M620" s="127"/>
      <c r="RG620" s="6"/>
      <c r="RH620" s="6"/>
      <c r="RI620" s="6"/>
      <c r="RJ620" s="6"/>
      <c r="RK620" s="6"/>
      <c r="RL620" s="45"/>
      <c r="RM620" s="4"/>
      <c r="RN620" s="4"/>
      <c r="RO620" s="4"/>
      <c r="RP620" s="6"/>
    </row>
    <row r="621" spans="1:484" x14ac:dyDescent="0.25">
      <c r="A621" s="46"/>
      <c r="B621" s="47"/>
      <c r="C621" s="127"/>
      <c r="D621" s="127"/>
      <c r="E621" s="127"/>
      <c r="F621" s="127"/>
      <c r="G621" s="127"/>
      <c r="H621" s="127"/>
      <c r="I621" s="127"/>
      <c r="J621" s="127"/>
      <c r="K621" s="127"/>
      <c r="L621" s="127"/>
      <c r="M621" s="127"/>
      <c r="RG621" s="6"/>
      <c r="RH621" s="6"/>
      <c r="RI621" s="6"/>
      <c r="RJ621" s="6"/>
      <c r="RK621" s="6"/>
      <c r="RL621" s="45"/>
      <c r="RM621" s="4"/>
      <c r="RN621" s="4"/>
      <c r="RO621" s="4"/>
      <c r="RP621" s="6"/>
    </row>
    <row r="622" spans="1:484" x14ac:dyDescent="0.25">
      <c r="A622" s="46"/>
      <c r="B622" s="47"/>
      <c r="C622" s="127"/>
      <c r="D622" s="127"/>
      <c r="E622" s="127"/>
      <c r="F622" s="127"/>
      <c r="G622" s="127"/>
      <c r="H622" s="127"/>
      <c r="I622" s="127"/>
      <c r="J622" s="127"/>
      <c r="K622" s="127"/>
      <c r="L622" s="127"/>
      <c r="M622" s="127"/>
      <c r="RG622" s="6"/>
      <c r="RH622" s="6"/>
      <c r="RI622" s="6"/>
      <c r="RJ622" s="6"/>
      <c r="RK622" s="6"/>
      <c r="RL622" s="45"/>
      <c r="RM622" s="4"/>
      <c r="RN622" s="4"/>
      <c r="RO622" s="4"/>
      <c r="RP622" s="6"/>
    </row>
    <row r="623" spans="1:484" x14ac:dyDescent="0.25">
      <c r="A623" s="46"/>
      <c r="B623" s="47"/>
      <c r="C623" s="127"/>
      <c r="D623" s="127"/>
      <c r="E623" s="127"/>
      <c r="F623" s="127"/>
      <c r="G623" s="127"/>
      <c r="H623" s="127"/>
      <c r="I623" s="127"/>
      <c r="J623" s="127"/>
      <c r="K623" s="127"/>
      <c r="L623" s="127"/>
      <c r="M623" s="127"/>
      <c r="RG623" s="6"/>
      <c r="RH623" s="6"/>
      <c r="RI623" s="6"/>
      <c r="RJ623" s="6"/>
      <c r="RK623" s="6"/>
      <c r="RL623" s="45"/>
      <c r="RM623" s="4"/>
      <c r="RN623" s="4"/>
      <c r="RO623" s="4"/>
      <c r="RP623" s="6"/>
    </row>
    <row r="624" spans="1:484" x14ac:dyDescent="0.25">
      <c r="A624" s="46"/>
      <c r="B624" s="47"/>
      <c r="C624" s="127"/>
      <c r="D624" s="127"/>
      <c r="E624" s="127"/>
      <c r="F624" s="127"/>
      <c r="G624" s="127"/>
      <c r="H624" s="127"/>
      <c r="I624" s="127"/>
      <c r="J624" s="127"/>
      <c r="K624" s="127"/>
      <c r="L624" s="127"/>
      <c r="M624" s="127"/>
      <c r="RG624" s="6"/>
      <c r="RH624" s="6"/>
      <c r="RI624" s="6"/>
      <c r="RJ624" s="6"/>
      <c r="RK624" s="6"/>
      <c r="RL624" s="45"/>
      <c r="RM624" s="4"/>
      <c r="RN624" s="4"/>
      <c r="RO624" s="4"/>
      <c r="RP624" s="6"/>
    </row>
    <row r="625" spans="1:484" x14ac:dyDescent="0.25">
      <c r="A625" s="46"/>
      <c r="B625" s="47"/>
      <c r="C625" s="127"/>
      <c r="D625" s="127"/>
      <c r="E625" s="127"/>
      <c r="F625" s="127"/>
      <c r="G625" s="127"/>
      <c r="H625" s="127"/>
      <c r="I625" s="127"/>
      <c r="J625" s="127"/>
      <c r="K625" s="127"/>
      <c r="L625" s="127"/>
      <c r="M625" s="127"/>
      <c r="RG625" s="6"/>
      <c r="RH625" s="6"/>
      <c r="RI625" s="6"/>
      <c r="RJ625" s="6"/>
      <c r="RK625" s="6"/>
      <c r="RL625" s="45"/>
      <c r="RM625" s="4"/>
      <c r="RN625" s="4"/>
      <c r="RO625" s="4"/>
      <c r="RP625" s="6"/>
    </row>
    <row r="626" spans="1:484" x14ac:dyDescent="0.25">
      <c r="A626" s="46"/>
      <c r="B626" s="47"/>
      <c r="C626" s="127"/>
      <c r="D626" s="127"/>
      <c r="E626" s="127"/>
      <c r="F626" s="127"/>
      <c r="G626" s="127"/>
      <c r="H626" s="127"/>
      <c r="I626" s="127"/>
      <c r="J626" s="127"/>
      <c r="K626" s="127"/>
      <c r="L626" s="127"/>
      <c r="M626" s="127"/>
      <c r="RG626" s="6"/>
      <c r="RH626" s="6"/>
      <c r="RI626" s="6"/>
      <c r="RJ626" s="6"/>
      <c r="RK626" s="6"/>
      <c r="RL626" s="45"/>
      <c r="RM626" s="4"/>
      <c r="RN626" s="4"/>
      <c r="RO626" s="4"/>
      <c r="RP626" s="6"/>
    </row>
    <row r="627" spans="1:484" x14ac:dyDescent="0.25">
      <c r="A627" s="46"/>
      <c r="B627" s="47"/>
      <c r="C627" s="127"/>
      <c r="D627" s="127"/>
      <c r="E627" s="127"/>
      <c r="F627" s="127"/>
      <c r="G627" s="127"/>
      <c r="H627" s="127"/>
      <c r="I627" s="127"/>
      <c r="J627" s="127"/>
      <c r="K627" s="127"/>
      <c r="L627" s="127"/>
      <c r="M627" s="127"/>
      <c r="RG627" s="6"/>
      <c r="RH627" s="6"/>
      <c r="RI627" s="6"/>
      <c r="RJ627" s="6"/>
      <c r="RK627" s="6"/>
      <c r="RL627" s="45"/>
      <c r="RM627" s="4"/>
      <c r="RN627" s="4"/>
      <c r="RO627" s="4"/>
      <c r="RP627" s="6"/>
    </row>
    <row r="628" spans="1:484" x14ac:dyDescent="0.25">
      <c r="A628" s="46"/>
      <c r="B628" s="47"/>
      <c r="C628" s="127"/>
      <c r="D628" s="127"/>
      <c r="E628" s="127"/>
      <c r="F628" s="127"/>
      <c r="G628" s="127"/>
      <c r="H628" s="127"/>
      <c r="I628" s="127"/>
      <c r="J628" s="127"/>
      <c r="K628" s="127"/>
      <c r="L628" s="127"/>
      <c r="M628" s="127"/>
      <c r="RG628" s="6"/>
      <c r="RH628" s="6"/>
      <c r="RI628" s="6"/>
      <c r="RJ628" s="6"/>
      <c r="RK628" s="6"/>
      <c r="RL628" s="45"/>
      <c r="RM628" s="4"/>
      <c r="RN628" s="4"/>
      <c r="RO628" s="4"/>
      <c r="RP628" s="6"/>
    </row>
    <row r="629" spans="1:484" x14ac:dyDescent="0.25">
      <c r="A629" s="46"/>
      <c r="B629" s="47"/>
      <c r="C629" s="127"/>
      <c r="D629" s="127"/>
      <c r="E629" s="127"/>
      <c r="F629" s="127"/>
      <c r="G629" s="127"/>
      <c r="H629" s="127"/>
      <c r="I629" s="127"/>
      <c r="J629" s="127"/>
      <c r="K629" s="127"/>
      <c r="L629" s="127"/>
      <c r="M629" s="127"/>
      <c r="RG629" s="6"/>
      <c r="RH629" s="6"/>
      <c r="RI629" s="6"/>
      <c r="RJ629" s="6"/>
      <c r="RK629" s="6"/>
      <c r="RL629" s="45"/>
      <c r="RM629" s="4"/>
      <c r="RN629" s="4"/>
      <c r="RO629" s="4"/>
      <c r="RP629" s="6"/>
    </row>
    <row r="630" spans="1:484" x14ac:dyDescent="0.25">
      <c r="A630" s="46"/>
      <c r="B630" s="47"/>
      <c r="C630" s="127"/>
      <c r="D630" s="127"/>
      <c r="E630" s="127"/>
      <c r="F630" s="127"/>
      <c r="G630" s="127"/>
      <c r="H630" s="127"/>
      <c r="I630" s="127"/>
      <c r="J630" s="127"/>
      <c r="K630" s="127"/>
      <c r="L630" s="127"/>
      <c r="M630" s="127"/>
      <c r="RG630" s="6"/>
      <c r="RH630" s="6"/>
      <c r="RI630" s="6"/>
      <c r="RJ630" s="6"/>
      <c r="RK630" s="6"/>
      <c r="RL630" s="45"/>
      <c r="RM630" s="4"/>
      <c r="RN630" s="4"/>
      <c r="RO630" s="4"/>
      <c r="RP630" s="6"/>
    </row>
    <row r="631" spans="1:484" x14ac:dyDescent="0.25">
      <c r="A631" s="46"/>
      <c r="B631" s="47"/>
      <c r="C631" s="127"/>
      <c r="D631" s="127"/>
      <c r="E631" s="127"/>
      <c r="F631" s="127"/>
      <c r="G631" s="127"/>
      <c r="H631" s="127"/>
      <c r="I631" s="127"/>
      <c r="J631" s="127"/>
      <c r="K631" s="127"/>
      <c r="L631" s="127"/>
      <c r="M631" s="127"/>
      <c r="RG631" s="6"/>
      <c r="RH631" s="6"/>
      <c r="RI631" s="6"/>
      <c r="RJ631" s="6"/>
      <c r="RK631" s="6"/>
      <c r="RL631" s="45"/>
      <c r="RM631" s="4"/>
      <c r="RN631" s="4"/>
      <c r="RO631" s="4"/>
      <c r="RP631" s="6"/>
    </row>
    <row r="632" spans="1:484" x14ac:dyDescent="0.25">
      <c r="A632" s="46"/>
      <c r="B632" s="47"/>
      <c r="C632" s="127"/>
      <c r="D632" s="127"/>
      <c r="E632" s="127"/>
      <c r="F632" s="127"/>
      <c r="G632" s="127"/>
      <c r="H632" s="127"/>
      <c r="I632" s="127"/>
      <c r="J632" s="127"/>
      <c r="K632" s="127"/>
      <c r="L632" s="127"/>
      <c r="M632" s="127"/>
      <c r="RG632" s="6"/>
      <c r="RH632" s="6"/>
      <c r="RI632" s="6"/>
      <c r="RJ632" s="6"/>
      <c r="RK632" s="6"/>
      <c r="RL632" s="45"/>
      <c r="RM632" s="4"/>
      <c r="RN632" s="4"/>
      <c r="RO632" s="4"/>
      <c r="RP632" s="6"/>
    </row>
    <row r="633" spans="1:484" x14ac:dyDescent="0.25">
      <c r="A633" s="46"/>
      <c r="B633" s="47"/>
      <c r="C633" s="127"/>
      <c r="D633" s="127"/>
      <c r="E633" s="127"/>
      <c r="F633" s="127"/>
      <c r="G633" s="127"/>
      <c r="H633" s="127"/>
      <c r="I633" s="127"/>
      <c r="J633" s="127"/>
      <c r="K633" s="127"/>
      <c r="L633" s="127"/>
      <c r="M633" s="127"/>
      <c r="RG633" s="6"/>
      <c r="RH633" s="6"/>
      <c r="RI633" s="6"/>
      <c r="RJ633" s="6"/>
      <c r="RK633" s="6"/>
      <c r="RL633" s="45"/>
      <c r="RM633" s="4"/>
      <c r="RN633" s="4"/>
      <c r="RO633" s="4"/>
      <c r="RP633" s="6"/>
    </row>
    <row r="634" spans="1:484" x14ac:dyDescent="0.25">
      <c r="A634" s="46"/>
      <c r="B634" s="47"/>
      <c r="C634" s="127"/>
      <c r="D634" s="127"/>
      <c r="E634" s="127"/>
      <c r="F634" s="127"/>
      <c r="G634" s="127"/>
      <c r="H634" s="127"/>
      <c r="I634" s="127"/>
      <c r="J634" s="127"/>
      <c r="K634" s="127"/>
      <c r="L634" s="127"/>
      <c r="M634" s="127"/>
      <c r="RG634" s="6"/>
      <c r="RH634" s="6"/>
      <c r="RI634" s="6"/>
      <c r="RJ634" s="6"/>
      <c r="RK634" s="6"/>
      <c r="RL634" s="45"/>
      <c r="RM634" s="4"/>
      <c r="RN634" s="4"/>
      <c r="RO634" s="4"/>
      <c r="RP634" s="6"/>
    </row>
    <row r="635" spans="1:484" x14ac:dyDescent="0.25">
      <c r="A635" s="46"/>
      <c r="B635" s="47"/>
      <c r="C635" s="127"/>
      <c r="D635" s="127"/>
      <c r="E635" s="127"/>
      <c r="F635" s="127"/>
      <c r="G635" s="127"/>
      <c r="H635" s="127"/>
      <c r="I635" s="127"/>
      <c r="J635" s="127"/>
      <c r="K635" s="127"/>
      <c r="L635" s="127"/>
      <c r="M635" s="127"/>
      <c r="RG635" s="6"/>
      <c r="RH635" s="6"/>
      <c r="RI635" s="6"/>
      <c r="RJ635" s="6"/>
      <c r="RK635" s="6"/>
      <c r="RL635" s="45"/>
      <c r="RM635" s="4"/>
      <c r="RN635" s="4"/>
      <c r="RO635" s="4"/>
      <c r="RP635" s="6"/>
    </row>
    <row r="636" spans="1:484" x14ac:dyDescent="0.25">
      <c r="A636" s="46"/>
      <c r="B636" s="47"/>
      <c r="C636" s="127"/>
      <c r="D636" s="127"/>
      <c r="E636" s="127"/>
      <c r="F636" s="127"/>
      <c r="G636" s="127"/>
      <c r="H636" s="127"/>
      <c r="I636" s="127"/>
      <c r="J636" s="127"/>
      <c r="K636" s="127"/>
      <c r="L636" s="127"/>
      <c r="M636" s="127"/>
      <c r="RG636" s="6"/>
      <c r="RH636" s="6"/>
      <c r="RI636" s="6"/>
      <c r="RJ636" s="6"/>
      <c r="RK636" s="6"/>
      <c r="RL636" s="45"/>
      <c r="RM636" s="4"/>
      <c r="RN636" s="4"/>
      <c r="RO636" s="4"/>
      <c r="RP636" s="6"/>
    </row>
    <row r="637" spans="1:484" x14ac:dyDescent="0.25">
      <c r="A637" s="46"/>
      <c r="B637" s="47"/>
      <c r="C637" s="127"/>
      <c r="D637" s="127"/>
      <c r="E637" s="127"/>
      <c r="F637" s="127"/>
      <c r="G637" s="127"/>
      <c r="H637" s="127"/>
      <c r="I637" s="127"/>
      <c r="J637" s="127"/>
      <c r="K637" s="127"/>
      <c r="L637" s="127"/>
      <c r="M637" s="127"/>
      <c r="RG637" s="6"/>
      <c r="RH637" s="6"/>
      <c r="RI637" s="6"/>
      <c r="RJ637" s="6"/>
      <c r="RK637" s="6"/>
      <c r="RL637" s="45"/>
      <c r="RM637" s="4"/>
      <c r="RN637" s="4"/>
      <c r="RO637" s="4"/>
      <c r="RP637" s="6"/>
    </row>
    <row r="638" spans="1:484" x14ac:dyDescent="0.25">
      <c r="A638" s="46"/>
      <c r="B638" s="47"/>
      <c r="C638" s="127"/>
      <c r="D638" s="127"/>
      <c r="E638" s="127"/>
      <c r="F638" s="127"/>
      <c r="G638" s="127"/>
      <c r="H638" s="127"/>
      <c r="I638" s="127"/>
      <c r="J638" s="127"/>
      <c r="K638" s="127"/>
      <c r="L638" s="127"/>
      <c r="M638" s="127"/>
      <c r="RG638" s="6"/>
      <c r="RH638" s="6"/>
      <c r="RI638" s="6"/>
      <c r="RJ638" s="6"/>
      <c r="RK638" s="6"/>
      <c r="RL638" s="45"/>
      <c r="RM638" s="4"/>
      <c r="RN638" s="4"/>
      <c r="RO638" s="4"/>
      <c r="RP638" s="6"/>
    </row>
    <row r="639" spans="1:484" x14ac:dyDescent="0.25">
      <c r="A639" s="46"/>
      <c r="B639" s="47"/>
      <c r="C639" s="127"/>
      <c r="D639" s="127"/>
      <c r="E639" s="127"/>
      <c r="F639" s="127"/>
      <c r="G639" s="127"/>
      <c r="H639" s="127"/>
      <c r="I639" s="127"/>
      <c r="J639" s="127"/>
      <c r="K639" s="127"/>
      <c r="L639" s="127"/>
      <c r="M639" s="127"/>
      <c r="RG639" s="6"/>
      <c r="RH639" s="6"/>
      <c r="RI639" s="6"/>
      <c r="RJ639" s="6"/>
      <c r="RK639" s="6"/>
      <c r="RL639" s="45"/>
      <c r="RM639" s="4"/>
      <c r="RN639" s="4"/>
      <c r="RO639" s="4"/>
      <c r="RP639" s="6"/>
    </row>
    <row r="640" spans="1:484" x14ac:dyDescent="0.25">
      <c r="A640" s="46"/>
      <c r="B640" s="47"/>
      <c r="C640" s="127"/>
      <c r="D640" s="127"/>
      <c r="E640" s="127"/>
      <c r="F640" s="127"/>
      <c r="G640" s="127"/>
      <c r="H640" s="127"/>
      <c r="I640" s="127"/>
      <c r="J640" s="127"/>
      <c r="K640" s="127"/>
      <c r="L640" s="127"/>
      <c r="M640" s="127"/>
      <c r="RG640" s="6"/>
      <c r="RH640" s="6"/>
      <c r="RI640" s="6"/>
      <c r="RJ640" s="6"/>
      <c r="RK640" s="6"/>
      <c r="RL640" s="45"/>
      <c r="RM640" s="4"/>
      <c r="RN640" s="4"/>
      <c r="RO640" s="4"/>
      <c r="RP640" s="6"/>
    </row>
    <row r="641" spans="1:484" x14ac:dyDescent="0.25">
      <c r="A641" s="46"/>
      <c r="B641" s="47"/>
      <c r="C641" s="127"/>
      <c r="D641" s="127"/>
      <c r="E641" s="127"/>
      <c r="F641" s="127"/>
      <c r="G641" s="127"/>
      <c r="H641" s="127"/>
      <c r="I641" s="127"/>
      <c r="J641" s="127"/>
      <c r="K641" s="127"/>
      <c r="L641" s="127"/>
      <c r="M641" s="127"/>
      <c r="RG641" s="6"/>
      <c r="RH641" s="6"/>
      <c r="RI641" s="6"/>
      <c r="RJ641" s="6"/>
      <c r="RK641" s="6"/>
      <c r="RL641" s="45"/>
      <c r="RM641" s="4"/>
      <c r="RN641" s="4"/>
      <c r="RO641" s="4"/>
      <c r="RP641" s="6"/>
    </row>
    <row r="642" spans="1:484" x14ac:dyDescent="0.25">
      <c r="A642" s="46"/>
      <c r="B642" s="47"/>
      <c r="C642" s="127"/>
      <c r="D642" s="127"/>
      <c r="E642" s="127"/>
      <c r="F642" s="127"/>
      <c r="G642" s="127"/>
      <c r="H642" s="127"/>
      <c r="I642" s="127"/>
      <c r="J642" s="127"/>
      <c r="K642" s="127"/>
      <c r="L642" s="127"/>
      <c r="M642" s="127"/>
      <c r="RG642" s="6"/>
      <c r="RH642" s="6"/>
      <c r="RI642" s="6"/>
      <c r="RJ642" s="6"/>
      <c r="RK642" s="6"/>
      <c r="RL642" s="45"/>
      <c r="RM642" s="4"/>
      <c r="RN642" s="4"/>
      <c r="RO642" s="4"/>
      <c r="RP642" s="6"/>
    </row>
    <row r="643" spans="1:484" x14ac:dyDescent="0.25">
      <c r="A643" s="46"/>
      <c r="B643" s="47"/>
      <c r="C643" s="127"/>
      <c r="D643" s="127"/>
      <c r="E643" s="127"/>
      <c r="F643" s="127"/>
      <c r="G643" s="127"/>
      <c r="H643" s="127"/>
      <c r="I643" s="127"/>
      <c r="J643" s="127"/>
      <c r="K643" s="127"/>
      <c r="L643" s="127"/>
      <c r="M643" s="127"/>
      <c r="RG643" s="6"/>
      <c r="RH643" s="6"/>
      <c r="RI643" s="6"/>
      <c r="RJ643" s="6"/>
      <c r="RK643" s="6"/>
      <c r="RL643" s="45"/>
      <c r="RM643" s="4"/>
      <c r="RN643" s="4"/>
      <c r="RO643" s="4"/>
      <c r="RP643" s="6"/>
    </row>
    <row r="644" spans="1:484" x14ac:dyDescent="0.25">
      <c r="A644" s="46"/>
      <c r="B644" s="47"/>
      <c r="C644" s="127"/>
      <c r="D644" s="127"/>
      <c r="E644" s="127"/>
      <c r="F644" s="127"/>
      <c r="G644" s="127"/>
      <c r="H644" s="127"/>
      <c r="I644" s="127"/>
      <c r="J644" s="127"/>
      <c r="K644" s="127"/>
      <c r="L644" s="127"/>
      <c r="M644" s="127"/>
      <c r="RG644" s="6"/>
      <c r="RH644" s="6"/>
      <c r="RI644" s="6"/>
      <c r="RJ644" s="6"/>
      <c r="RK644" s="6"/>
      <c r="RL644" s="45"/>
      <c r="RM644" s="4"/>
      <c r="RN644" s="4"/>
      <c r="RO644" s="4"/>
      <c r="RP644" s="6"/>
    </row>
    <row r="645" spans="1:484" x14ac:dyDescent="0.25">
      <c r="A645" s="46"/>
      <c r="B645" s="47"/>
      <c r="C645" s="127"/>
      <c r="D645" s="127"/>
      <c r="E645" s="127"/>
      <c r="F645" s="127"/>
      <c r="G645" s="127"/>
      <c r="H645" s="127"/>
      <c r="I645" s="127"/>
      <c r="J645" s="127"/>
      <c r="K645" s="127"/>
      <c r="L645" s="127"/>
      <c r="M645" s="127"/>
      <c r="RG645" s="6"/>
      <c r="RH645" s="6"/>
      <c r="RI645" s="6"/>
      <c r="RJ645" s="6"/>
      <c r="RK645" s="6"/>
      <c r="RL645" s="45"/>
      <c r="RM645" s="4"/>
      <c r="RN645" s="4"/>
      <c r="RO645" s="4"/>
      <c r="RP645" s="6"/>
    </row>
    <row r="646" spans="1:484" x14ac:dyDescent="0.25">
      <c r="A646" s="46"/>
      <c r="B646" s="47"/>
      <c r="C646" s="127"/>
      <c r="D646" s="127"/>
      <c r="E646" s="127"/>
      <c r="F646" s="127"/>
      <c r="G646" s="127"/>
      <c r="H646" s="127"/>
      <c r="I646" s="127"/>
      <c r="J646" s="127"/>
      <c r="K646" s="127"/>
      <c r="L646" s="127"/>
      <c r="M646" s="127"/>
      <c r="RG646" s="6"/>
      <c r="RH646" s="6"/>
      <c r="RI646" s="6"/>
      <c r="RJ646" s="6"/>
      <c r="RK646" s="6"/>
      <c r="RL646" s="45"/>
      <c r="RM646" s="4"/>
      <c r="RN646" s="4"/>
      <c r="RO646" s="4"/>
      <c r="RP646" s="6"/>
    </row>
    <row r="647" spans="1:484" x14ac:dyDescent="0.25">
      <c r="A647" s="46"/>
      <c r="B647" s="47"/>
      <c r="C647" s="127"/>
      <c r="D647" s="127"/>
      <c r="E647" s="127"/>
      <c r="F647" s="127"/>
      <c r="G647" s="127"/>
      <c r="H647" s="127"/>
      <c r="I647" s="127"/>
      <c r="J647" s="127"/>
      <c r="K647" s="127"/>
      <c r="L647" s="127"/>
      <c r="M647" s="127"/>
      <c r="RG647" s="6"/>
      <c r="RH647" s="6"/>
      <c r="RI647" s="6"/>
      <c r="RJ647" s="6"/>
      <c r="RK647" s="6"/>
      <c r="RL647" s="45"/>
      <c r="RM647" s="4"/>
      <c r="RN647" s="4"/>
      <c r="RO647" s="4"/>
      <c r="RP647" s="6"/>
    </row>
    <row r="648" spans="1:484" x14ac:dyDescent="0.25">
      <c r="A648" s="46"/>
      <c r="B648" s="47"/>
      <c r="C648" s="127"/>
      <c r="D648" s="127"/>
      <c r="E648" s="127"/>
      <c r="F648" s="127"/>
      <c r="G648" s="127"/>
      <c r="H648" s="127"/>
      <c r="I648" s="127"/>
      <c r="J648" s="127"/>
      <c r="K648" s="127"/>
      <c r="L648" s="127"/>
      <c r="M648" s="127"/>
      <c r="RG648" s="6"/>
      <c r="RH648" s="6"/>
      <c r="RI648" s="6"/>
      <c r="RJ648" s="6"/>
      <c r="RK648" s="6"/>
      <c r="RL648" s="45"/>
      <c r="RM648" s="4"/>
      <c r="RN648" s="4"/>
      <c r="RO648" s="4"/>
      <c r="RP648" s="6"/>
    </row>
    <row r="649" spans="1:484" x14ac:dyDescent="0.25">
      <c r="A649" s="46"/>
      <c r="B649" s="47"/>
      <c r="C649" s="127"/>
      <c r="D649" s="127"/>
      <c r="E649" s="127"/>
      <c r="F649" s="127"/>
      <c r="G649" s="127"/>
      <c r="H649" s="127"/>
      <c r="I649" s="127"/>
      <c r="J649" s="127"/>
      <c r="K649" s="127"/>
      <c r="L649" s="127"/>
      <c r="M649" s="127"/>
      <c r="RG649" s="6"/>
      <c r="RH649" s="6"/>
      <c r="RI649" s="6"/>
      <c r="RJ649" s="6"/>
      <c r="RK649" s="6"/>
      <c r="RL649" s="45"/>
      <c r="RM649" s="4"/>
      <c r="RN649" s="4"/>
      <c r="RO649" s="4"/>
      <c r="RP649" s="6"/>
    </row>
    <row r="650" spans="1:484" x14ac:dyDescent="0.25">
      <c r="A650" s="46"/>
      <c r="B650" s="47"/>
      <c r="C650" s="127"/>
      <c r="D650" s="127"/>
      <c r="E650" s="127"/>
      <c r="F650" s="127"/>
      <c r="G650" s="127"/>
      <c r="H650" s="127"/>
      <c r="I650" s="127"/>
      <c r="J650" s="127"/>
      <c r="K650" s="127"/>
      <c r="L650" s="127"/>
      <c r="M650" s="127"/>
      <c r="RG650" s="6"/>
      <c r="RH650" s="6"/>
      <c r="RI650" s="6"/>
      <c r="RJ650" s="6"/>
      <c r="RK650" s="6"/>
      <c r="RL650" s="45"/>
      <c r="RM650" s="4"/>
      <c r="RN650" s="4"/>
      <c r="RO650" s="4"/>
      <c r="RP650" s="6"/>
    </row>
    <row r="651" spans="1:484" x14ac:dyDescent="0.25">
      <c r="A651" s="46"/>
      <c r="B651" s="47"/>
      <c r="C651" s="127"/>
      <c r="D651" s="127"/>
      <c r="E651" s="127"/>
      <c r="F651" s="127"/>
      <c r="G651" s="127"/>
      <c r="H651" s="127"/>
      <c r="I651" s="127"/>
      <c r="J651" s="127"/>
      <c r="K651" s="127"/>
      <c r="L651" s="127"/>
      <c r="M651" s="127"/>
      <c r="RG651" s="6"/>
      <c r="RH651" s="6"/>
      <c r="RI651" s="6"/>
      <c r="RJ651" s="6"/>
      <c r="RK651" s="6"/>
      <c r="RL651" s="45"/>
      <c r="RM651" s="4"/>
      <c r="RN651" s="4"/>
      <c r="RO651" s="4"/>
      <c r="RP651" s="6"/>
    </row>
    <row r="652" spans="1:484" x14ac:dyDescent="0.25">
      <c r="A652" s="46"/>
      <c r="B652" s="47"/>
      <c r="C652" s="127"/>
      <c r="D652" s="127"/>
      <c r="E652" s="127"/>
      <c r="F652" s="127"/>
      <c r="G652" s="127"/>
      <c r="H652" s="127"/>
      <c r="I652" s="127"/>
      <c r="J652" s="127"/>
      <c r="K652" s="127"/>
      <c r="L652" s="127"/>
      <c r="M652" s="127"/>
      <c r="RG652" s="6"/>
      <c r="RH652" s="6"/>
      <c r="RI652" s="6"/>
      <c r="RJ652" s="6"/>
      <c r="RK652" s="6"/>
      <c r="RL652" s="45"/>
      <c r="RM652" s="4"/>
      <c r="RN652" s="4"/>
      <c r="RO652" s="4"/>
      <c r="RP652" s="6"/>
    </row>
    <row r="653" spans="1:484" x14ac:dyDescent="0.25">
      <c r="A653" s="46"/>
      <c r="B653" s="47"/>
      <c r="C653" s="127"/>
      <c r="D653" s="127"/>
      <c r="E653" s="127"/>
      <c r="F653" s="127"/>
      <c r="G653" s="127"/>
      <c r="H653" s="127"/>
      <c r="I653" s="127"/>
      <c r="J653" s="127"/>
      <c r="K653" s="127"/>
      <c r="L653" s="127"/>
      <c r="M653" s="127"/>
      <c r="RG653" s="6"/>
      <c r="RH653" s="6"/>
      <c r="RI653" s="6"/>
      <c r="RJ653" s="6"/>
      <c r="RK653" s="6"/>
      <c r="RL653" s="45"/>
      <c r="RM653" s="4"/>
      <c r="RN653" s="4"/>
      <c r="RO653" s="4"/>
      <c r="RP653" s="6"/>
    </row>
    <row r="654" spans="1:484" x14ac:dyDescent="0.25">
      <c r="A654" s="46"/>
      <c r="B654" s="47"/>
      <c r="C654" s="127"/>
      <c r="D654" s="127"/>
      <c r="E654" s="127"/>
      <c r="F654" s="127"/>
      <c r="G654" s="127"/>
      <c r="H654" s="127"/>
      <c r="I654" s="127"/>
      <c r="J654" s="127"/>
      <c r="K654" s="127"/>
      <c r="L654" s="127"/>
      <c r="M654" s="127"/>
      <c r="RG654" s="6"/>
      <c r="RH654" s="6"/>
      <c r="RI654" s="6"/>
      <c r="RJ654" s="6"/>
      <c r="RK654" s="6"/>
      <c r="RL654" s="45"/>
      <c r="RM654" s="4"/>
      <c r="RN654" s="4"/>
      <c r="RO654" s="4"/>
      <c r="RP654" s="6"/>
    </row>
    <row r="655" spans="1:484" x14ac:dyDescent="0.25">
      <c r="A655" s="46"/>
      <c r="B655" s="47"/>
      <c r="C655" s="127"/>
      <c r="D655" s="127"/>
      <c r="E655" s="127"/>
      <c r="F655" s="127"/>
      <c r="G655" s="127"/>
      <c r="H655" s="127"/>
      <c r="I655" s="127"/>
      <c r="J655" s="127"/>
      <c r="K655" s="127"/>
      <c r="L655" s="127"/>
      <c r="M655" s="127"/>
      <c r="RG655" s="6"/>
      <c r="RH655" s="6"/>
      <c r="RI655" s="6"/>
      <c r="RJ655" s="6"/>
      <c r="RK655" s="6"/>
      <c r="RL655" s="45"/>
      <c r="RM655" s="4"/>
      <c r="RN655" s="4"/>
      <c r="RO655" s="4"/>
      <c r="RP655" s="6"/>
    </row>
    <row r="656" spans="1:484" x14ac:dyDescent="0.25">
      <c r="A656" s="46"/>
      <c r="B656" s="47"/>
      <c r="C656" s="127"/>
      <c r="D656" s="127"/>
      <c r="E656" s="127"/>
      <c r="F656" s="127"/>
      <c r="G656" s="127"/>
      <c r="H656" s="127"/>
      <c r="I656" s="127"/>
      <c r="J656" s="127"/>
      <c r="K656" s="127"/>
      <c r="L656" s="127"/>
      <c r="M656" s="127"/>
      <c r="RG656" s="6"/>
      <c r="RH656" s="6"/>
      <c r="RI656" s="6"/>
      <c r="RJ656" s="6"/>
      <c r="RK656" s="6"/>
      <c r="RL656" s="45"/>
      <c r="RM656" s="4"/>
      <c r="RN656" s="4"/>
      <c r="RO656" s="4"/>
      <c r="RP656" s="6"/>
    </row>
    <row r="657" spans="1:484" x14ac:dyDescent="0.25">
      <c r="A657" s="46"/>
      <c r="B657" s="47"/>
      <c r="C657" s="127"/>
      <c r="D657" s="127"/>
      <c r="E657" s="127"/>
      <c r="F657" s="127"/>
      <c r="G657" s="127"/>
      <c r="H657" s="127"/>
      <c r="I657" s="127"/>
      <c r="J657" s="127"/>
      <c r="K657" s="127"/>
      <c r="L657" s="127"/>
      <c r="M657" s="127"/>
      <c r="RG657" s="6"/>
      <c r="RH657" s="6"/>
      <c r="RI657" s="6"/>
      <c r="RJ657" s="6"/>
      <c r="RK657" s="6"/>
      <c r="RL657" s="45"/>
      <c r="RM657" s="4"/>
      <c r="RN657" s="4"/>
      <c r="RO657" s="4"/>
      <c r="RP657" s="6"/>
    </row>
    <row r="658" spans="1:484" x14ac:dyDescent="0.25">
      <c r="A658" s="46"/>
      <c r="B658" s="47"/>
      <c r="C658" s="127"/>
      <c r="D658" s="127"/>
      <c r="E658" s="127"/>
      <c r="F658" s="127"/>
      <c r="G658" s="127"/>
      <c r="H658" s="127"/>
      <c r="I658" s="127"/>
      <c r="J658" s="127"/>
      <c r="K658" s="127"/>
      <c r="L658" s="127"/>
      <c r="M658" s="127"/>
      <c r="RG658" s="6"/>
      <c r="RH658" s="6"/>
      <c r="RI658" s="6"/>
      <c r="RJ658" s="6"/>
      <c r="RK658" s="6"/>
      <c r="RL658" s="45"/>
      <c r="RM658" s="4"/>
      <c r="RN658" s="4"/>
      <c r="RO658" s="4"/>
      <c r="RP658" s="6"/>
    </row>
    <row r="659" spans="1:484" x14ac:dyDescent="0.25">
      <c r="A659" s="46"/>
      <c r="B659" s="47"/>
      <c r="C659" s="127"/>
      <c r="D659" s="127"/>
      <c r="E659" s="127"/>
      <c r="F659" s="127"/>
      <c r="G659" s="127"/>
      <c r="H659" s="127"/>
      <c r="I659" s="127"/>
      <c r="J659" s="127"/>
      <c r="K659" s="127"/>
      <c r="L659" s="127"/>
      <c r="M659" s="127"/>
      <c r="RG659" s="6"/>
      <c r="RH659" s="6"/>
      <c r="RI659" s="6"/>
      <c r="RJ659" s="6"/>
      <c r="RK659" s="6"/>
      <c r="RL659" s="45"/>
      <c r="RM659" s="4"/>
      <c r="RN659" s="4"/>
      <c r="RO659" s="4"/>
      <c r="RP659" s="6"/>
    </row>
    <row r="660" spans="1:484" x14ac:dyDescent="0.25">
      <c r="A660" s="46"/>
      <c r="B660" s="47"/>
      <c r="C660" s="127"/>
      <c r="D660" s="127"/>
      <c r="E660" s="127"/>
      <c r="F660" s="127"/>
      <c r="G660" s="127"/>
      <c r="H660" s="127"/>
      <c r="I660" s="127"/>
      <c r="J660" s="127"/>
      <c r="K660" s="127"/>
      <c r="L660" s="127"/>
      <c r="M660" s="127"/>
      <c r="RG660" s="6"/>
      <c r="RH660" s="6"/>
      <c r="RI660" s="6"/>
      <c r="RJ660" s="6"/>
      <c r="RK660" s="6"/>
      <c r="RL660" s="45"/>
      <c r="RM660" s="4"/>
      <c r="RN660" s="4"/>
      <c r="RO660" s="4"/>
      <c r="RP660" s="6"/>
    </row>
    <row r="661" spans="1:484" x14ac:dyDescent="0.25">
      <c r="A661" s="46"/>
      <c r="B661" s="47"/>
      <c r="C661" s="127"/>
      <c r="D661" s="127"/>
      <c r="E661" s="127"/>
      <c r="F661" s="127"/>
      <c r="G661" s="127"/>
      <c r="H661" s="127"/>
      <c r="I661" s="127"/>
      <c r="J661" s="127"/>
      <c r="K661" s="127"/>
      <c r="L661" s="127"/>
      <c r="M661" s="127"/>
      <c r="RG661" s="6"/>
      <c r="RH661" s="6"/>
      <c r="RI661" s="6"/>
      <c r="RJ661" s="6"/>
      <c r="RK661" s="6"/>
      <c r="RL661" s="45"/>
      <c r="RM661" s="4"/>
      <c r="RN661" s="4"/>
      <c r="RO661" s="4"/>
      <c r="RP661" s="6"/>
    </row>
    <row r="662" spans="1:484" x14ac:dyDescent="0.25">
      <c r="A662" s="46"/>
      <c r="B662" s="47"/>
      <c r="C662" s="127"/>
      <c r="D662" s="127"/>
      <c r="E662" s="127"/>
      <c r="F662" s="127"/>
      <c r="G662" s="127"/>
      <c r="H662" s="127"/>
      <c r="I662" s="127"/>
      <c r="J662" s="127"/>
      <c r="K662" s="127"/>
      <c r="L662" s="127"/>
      <c r="M662" s="127"/>
      <c r="RG662" s="6"/>
      <c r="RH662" s="6"/>
      <c r="RI662" s="6"/>
      <c r="RJ662" s="6"/>
      <c r="RK662" s="6"/>
      <c r="RL662" s="45"/>
      <c r="RM662" s="4"/>
      <c r="RN662" s="4"/>
      <c r="RO662" s="4"/>
      <c r="RP662" s="6"/>
    </row>
    <row r="663" spans="1:484" x14ac:dyDescent="0.25">
      <c r="A663" s="46"/>
      <c r="B663" s="47"/>
      <c r="C663" s="127"/>
      <c r="D663" s="127"/>
      <c r="E663" s="127"/>
      <c r="F663" s="127"/>
      <c r="G663" s="127"/>
      <c r="H663" s="127"/>
      <c r="I663" s="127"/>
      <c r="J663" s="127"/>
      <c r="K663" s="127"/>
      <c r="L663" s="127"/>
      <c r="M663" s="127"/>
      <c r="RG663" s="6"/>
      <c r="RH663" s="6"/>
      <c r="RI663" s="6"/>
      <c r="RJ663" s="6"/>
      <c r="RK663" s="6"/>
      <c r="RL663" s="45"/>
      <c r="RM663" s="4"/>
      <c r="RN663" s="4"/>
      <c r="RO663" s="4"/>
      <c r="RP663" s="6"/>
    </row>
    <row r="664" spans="1:484" x14ac:dyDescent="0.25">
      <c r="A664" s="46"/>
      <c r="B664" s="47"/>
      <c r="C664" s="127"/>
      <c r="D664" s="127"/>
      <c r="E664" s="127"/>
      <c r="F664" s="127"/>
      <c r="G664" s="127"/>
      <c r="H664" s="127"/>
      <c r="I664" s="127"/>
      <c r="J664" s="127"/>
      <c r="K664" s="127"/>
      <c r="L664" s="127"/>
      <c r="M664" s="127"/>
      <c r="RG664" s="6"/>
      <c r="RH664" s="6"/>
      <c r="RI664" s="6"/>
      <c r="RJ664" s="6"/>
      <c r="RK664" s="6"/>
      <c r="RL664" s="45"/>
      <c r="RM664" s="4"/>
      <c r="RN664" s="4"/>
      <c r="RO664" s="4"/>
      <c r="RP664" s="6"/>
    </row>
    <row r="665" spans="1:484" x14ac:dyDescent="0.25">
      <c r="A665" s="46"/>
      <c r="B665" s="47"/>
      <c r="C665" s="127"/>
      <c r="D665" s="127"/>
      <c r="E665" s="127"/>
      <c r="F665" s="127"/>
      <c r="G665" s="127"/>
      <c r="H665" s="127"/>
      <c r="I665" s="127"/>
      <c r="J665" s="127"/>
      <c r="K665" s="127"/>
      <c r="L665" s="127"/>
      <c r="M665" s="127"/>
      <c r="RG665" s="6"/>
      <c r="RH665" s="6"/>
      <c r="RI665" s="6"/>
      <c r="RJ665" s="6"/>
      <c r="RK665" s="6"/>
      <c r="RL665" s="45"/>
      <c r="RM665" s="4"/>
      <c r="RN665" s="4"/>
      <c r="RO665" s="4"/>
      <c r="RP665" s="6"/>
    </row>
    <row r="666" spans="1:484" x14ac:dyDescent="0.25">
      <c r="A666" s="46"/>
      <c r="B666" s="47"/>
      <c r="C666" s="127"/>
      <c r="D666" s="127"/>
      <c r="E666" s="127"/>
      <c r="F666" s="127"/>
      <c r="G666" s="127"/>
      <c r="H666" s="127"/>
      <c r="I666" s="127"/>
      <c r="J666" s="127"/>
      <c r="K666" s="127"/>
      <c r="L666" s="127"/>
      <c r="M666" s="127"/>
      <c r="RG666" s="6"/>
      <c r="RH666" s="6"/>
      <c r="RI666" s="6"/>
      <c r="RJ666" s="6"/>
      <c r="RK666" s="6"/>
      <c r="RL666" s="45"/>
      <c r="RM666" s="4"/>
      <c r="RN666" s="4"/>
      <c r="RO666" s="4"/>
      <c r="RP666" s="6"/>
    </row>
    <row r="667" spans="1:484" x14ac:dyDescent="0.25">
      <c r="A667" s="46"/>
      <c r="B667" s="47"/>
      <c r="C667" s="127"/>
      <c r="D667" s="127"/>
      <c r="E667" s="127"/>
      <c r="F667" s="127"/>
      <c r="G667" s="127"/>
      <c r="H667" s="127"/>
      <c r="I667" s="127"/>
      <c r="J667" s="127"/>
      <c r="K667" s="127"/>
      <c r="L667" s="127"/>
      <c r="M667" s="127"/>
      <c r="RG667" s="6"/>
      <c r="RH667" s="6"/>
      <c r="RI667" s="6"/>
      <c r="RJ667" s="6"/>
      <c r="RK667" s="6"/>
      <c r="RL667" s="45"/>
      <c r="RM667" s="4"/>
      <c r="RN667" s="4"/>
      <c r="RO667" s="4"/>
      <c r="RP667" s="6"/>
    </row>
    <row r="668" spans="1:484" x14ac:dyDescent="0.25">
      <c r="A668" s="46"/>
      <c r="B668" s="47"/>
      <c r="C668" s="127"/>
      <c r="D668" s="127"/>
      <c r="E668" s="127"/>
      <c r="F668" s="127"/>
      <c r="G668" s="127"/>
      <c r="H668" s="127"/>
      <c r="I668" s="127"/>
      <c r="J668" s="127"/>
      <c r="K668" s="127"/>
      <c r="L668" s="127"/>
      <c r="M668" s="127"/>
      <c r="RG668" s="6"/>
      <c r="RH668" s="6"/>
      <c r="RI668" s="6"/>
      <c r="RJ668" s="6"/>
      <c r="RK668" s="6"/>
      <c r="RL668" s="45"/>
      <c r="RM668" s="4"/>
      <c r="RN668" s="4"/>
      <c r="RO668" s="4"/>
      <c r="RP668" s="6"/>
    </row>
    <row r="669" spans="1:484" x14ac:dyDescent="0.25">
      <c r="A669" s="46"/>
      <c r="B669" s="47"/>
      <c r="C669" s="127"/>
      <c r="D669" s="127"/>
      <c r="E669" s="127"/>
      <c r="F669" s="127"/>
      <c r="G669" s="127"/>
      <c r="H669" s="127"/>
      <c r="I669" s="127"/>
      <c r="J669" s="127"/>
      <c r="K669" s="127"/>
      <c r="L669" s="127"/>
      <c r="M669" s="127"/>
      <c r="RG669" s="6"/>
      <c r="RH669" s="6"/>
      <c r="RI669" s="6"/>
      <c r="RJ669" s="6"/>
      <c r="RK669" s="6"/>
      <c r="RL669" s="45"/>
      <c r="RM669" s="4"/>
      <c r="RN669" s="4"/>
      <c r="RO669" s="4"/>
      <c r="RP669" s="6"/>
    </row>
    <row r="670" spans="1:484" x14ac:dyDescent="0.25">
      <c r="A670" s="46"/>
      <c r="B670" s="47"/>
      <c r="C670" s="127"/>
      <c r="D670" s="127"/>
      <c r="E670" s="127"/>
      <c r="F670" s="127"/>
      <c r="G670" s="127"/>
      <c r="H670" s="127"/>
      <c r="I670" s="127"/>
      <c r="J670" s="127"/>
      <c r="K670" s="127"/>
      <c r="L670" s="127"/>
      <c r="M670" s="127"/>
      <c r="RG670" s="6"/>
      <c r="RH670" s="6"/>
      <c r="RI670" s="6"/>
      <c r="RJ670" s="6"/>
      <c r="RK670" s="6"/>
      <c r="RL670" s="45"/>
      <c r="RM670" s="4"/>
      <c r="RN670" s="4"/>
      <c r="RO670" s="4"/>
      <c r="RP670" s="6"/>
    </row>
    <row r="671" spans="1:484" x14ac:dyDescent="0.25">
      <c r="A671" s="46"/>
      <c r="B671" s="47"/>
      <c r="C671" s="127"/>
      <c r="D671" s="127"/>
      <c r="E671" s="127"/>
      <c r="F671" s="127"/>
      <c r="G671" s="127"/>
      <c r="H671" s="127"/>
      <c r="I671" s="127"/>
      <c r="J671" s="127"/>
      <c r="K671" s="127"/>
      <c r="L671" s="127"/>
      <c r="M671" s="127"/>
      <c r="RG671" s="6"/>
      <c r="RH671" s="6"/>
      <c r="RI671" s="6"/>
      <c r="RJ671" s="6"/>
      <c r="RK671" s="6"/>
      <c r="RL671" s="45"/>
      <c r="RM671" s="4"/>
      <c r="RN671" s="4"/>
      <c r="RO671" s="4"/>
      <c r="RP671" s="6"/>
    </row>
    <row r="672" spans="1:484" x14ac:dyDescent="0.25">
      <c r="A672" s="46"/>
      <c r="B672" s="47"/>
      <c r="C672" s="127"/>
      <c r="D672" s="127"/>
      <c r="E672" s="127"/>
      <c r="F672" s="127"/>
      <c r="G672" s="127"/>
      <c r="H672" s="127"/>
      <c r="I672" s="127"/>
      <c r="J672" s="127"/>
      <c r="K672" s="127"/>
      <c r="L672" s="127"/>
      <c r="M672" s="127"/>
      <c r="RG672" s="6"/>
      <c r="RH672" s="6"/>
      <c r="RI672" s="6"/>
      <c r="RJ672" s="6"/>
      <c r="RK672" s="6"/>
      <c r="RL672" s="45"/>
      <c r="RM672" s="4"/>
      <c r="RN672" s="4"/>
      <c r="RO672" s="4"/>
      <c r="RP672" s="6"/>
    </row>
    <row r="673" spans="1:484" x14ac:dyDescent="0.25">
      <c r="A673" s="46"/>
      <c r="B673" s="47"/>
      <c r="C673" s="127"/>
      <c r="D673" s="127"/>
      <c r="E673" s="127"/>
      <c r="F673" s="127"/>
      <c r="G673" s="127"/>
      <c r="H673" s="127"/>
      <c r="I673" s="127"/>
      <c r="J673" s="127"/>
      <c r="K673" s="127"/>
      <c r="L673" s="127"/>
      <c r="M673" s="127"/>
      <c r="RG673" s="6"/>
      <c r="RH673" s="6"/>
      <c r="RI673" s="6"/>
      <c r="RJ673" s="6"/>
      <c r="RK673" s="6"/>
      <c r="RL673" s="45"/>
      <c r="RM673" s="4"/>
      <c r="RN673" s="4"/>
      <c r="RO673" s="4"/>
      <c r="RP673" s="6"/>
    </row>
    <row r="674" spans="1:484" x14ac:dyDescent="0.25">
      <c r="A674" s="46"/>
      <c r="B674" s="47"/>
      <c r="C674" s="127"/>
      <c r="D674" s="127"/>
      <c r="E674" s="127"/>
      <c r="F674" s="127"/>
      <c r="G674" s="127"/>
      <c r="H674" s="127"/>
      <c r="I674" s="127"/>
      <c r="J674" s="127"/>
      <c r="K674" s="127"/>
      <c r="L674" s="127"/>
      <c r="M674" s="127"/>
      <c r="RG674" s="6"/>
      <c r="RH674" s="6"/>
      <c r="RI674" s="6"/>
      <c r="RJ674" s="6"/>
      <c r="RK674" s="6"/>
      <c r="RL674" s="45"/>
      <c r="RM674" s="4"/>
      <c r="RN674" s="4"/>
      <c r="RO674" s="4"/>
      <c r="RP674" s="6"/>
    </row>
    <row r="675" spans="1:484" x14ac:dyDescent="0.25">
      <c r="A675" s="46"/>
      <c r="B675" s="47"/>
      <c r="C675" s="127"/>
      <c r="D675" s="127"/>
      <c r="E675" s="127"/>
      <c r="F675" s="127"/>
      <c r="G675" s="127"/>
      <c r="H675" s="127"/>
      <c r="I675" s="127"/>
      <c r="J675" s="127"/>
      <c r="K675" s="127"/>
      <c r="L675" s="127"/>
      <c r="M675" s="127"/>
      <c r="RG675" s="6"/>
      <c r="RH675" s="6"/>
      <c r="RI675" s="6"/>
      <c r="RJ675" s="6"/>
      <c r="RK675" s="6"/>
      <c r="RL675" s="45"/>
      <c r="RM675" s="4"/>
      <c r="RN675" s="4"/>
      <c r="RO675" s="4"/>
      <c r="RP675" s="6"/>
    </row>
    <row r="676" spans="1:484" x14ac:dyDescent="0.25">
      <c r="A676" s="46"/>
      <c r="B676" s="47"/>
      <c r="C676" s="127"/>
      <c r="D676" s="127"/>
      <c r="E676" s="127"/>
      <c r="F676" s="127"/>
      <c r="G676" s="127"/>
      <c r="H676" s="127"/>
      <c r="I676" s="127"/>
      <c r="J676" s="127"/>
      <c r="K676" s="127"/>
      <c r="L676" s="127"/>
      <c r="M676" s="127"/>
      <c r="RG676" s="6"/>
      <c r="RH676" s="6"/>
      <c r="RI676" s="6"/>
      <c r="RJ676" s="6"/>
      <c r="RK676" s="6"/>
      <c r="RL676" s="45"/>
      <c r="RM676" s="4"/>
      <c r="RN676" s="4"/>
      <c r="RO676" s="4"/>
      <c r="RP676" s="6"/>
    </row>
    <row r="677" spans="1:484" x14ac:dyDescent="0.25">
      <c r="A677" s="46"/>
      <c r="B677" s="47"/>
      <c r="C677" s="127"/>
      <c r="D677" s="127"/>
      <c r="E677" s="127"/>
      <c r="F677" s="127"/>
      <c r="G677" s="127"/>
      <c r="H677" s="127"/>
      <c r="I677" s="127"/>
      <c r="J677" s="127"/>
      <c r="K677" s="127"/>
      <c r="L677" s="127"/>
      <c r="M677" s="127"/>
      <c r="RG677" s="6"/>
      <c r="RH677" s="6"/>
      <c r="RI677" s="6"/>
      <c r="RJ677" s="6"/>
      <c r="RK677" s="6"/>
      <c r="RL677" s="45"/>
      <c r="RM677" s="4"/>
      <c r="RN677" s="4"/>
      <c r="RO677" s="4"/>
      <c r="RP677" s="6"/>
    </row>
    <row r="678" spans="1:484" x14ac:dyDescent="0.25">
      <c r="A678" s="46"/>
      <c r="B678" s="47"/>
      <c r="C678" s="127"/>
      <c r="D678" s="127"/>
      <c r="E678" s="127"/>
      <c r="F678" s="127"/>
      <c r="G678" s="127"/>
      <c r="H678" s="127"/>
      <c r="I678" s="127"/>
      <c r="J678" s="127"/>
      <c r="K678" s="127"/>
      <c r="L678" s="127"/>
      <c r="M678" s="127"/>
      <c r="RG678" s="6"/>
      <c r="RH678" s="6"/>
      <c r="RI678" s="6"/>
      <c r="RJ678" s="6"/>
      <c r="RK678" s="6"/>
      <c r="RL678" s="45"/>
      <c r="RM678" s="4"/>
      <c r="RN678" s="4"/>
      <c r="RO678" s="4"/>
      <c r="RP678" s="6"/>
    </row>
    <row r="679" spans="1:484" x14ac:dyDescent="0.25">
      <c r="A679" s="46"/>
      <c r="B679" s="47"/>
      <c r="C679" s="127"/>
      <c r="D679" s="127"/>
      <c r="E679" s="127"/>
      <c r="F679" s="127"/>
      <c r="G679" s="127"/>
      <c r="H679" s="127"/>
      <c r="I679" s="127"/>
      <c r="J679" s="127"/>
      <c r="K679" s="127"/>
      <c r="L679" s="127"/>
      <c r="M679" s="127"/>
      <c r="RG679" s="6"/>
      <c r="RH679" s="6"/>
      <c r="RI679" s="6"/>
      <c r="RJ679" s="6"/>
      <c r="RK679" s="6"/>
      <c r="RL679" s="45"/>
      <c r="RM679" s="4"/>
      <c r="RN679" s="4"/>
      <c r="RO679" s="4"/>
      <c r="RP679" s="6"/>
    </row>
    <row r="680" spans="1:484" x14ac:dyDescent="0.25">
      <c r="A680" s="46"/>
      <c r="B680" s="47"/>
      <c r="C680" s="127"/>
      <c r="D680" s="127"/>
      <c r="E680" s="127"/>
      <c r="F680" s="127"/>
      <c r="G680" s="127"/>
      <c r="H680" s="127"/>
      <c r="I680" s="127"/>
      <c r="J680" s="127"/>
      <c r="K680" s="127"/>
      <c r="L680" s="127"/>
      <c r="M680" s="127"/>
      <c r="RG680" s="6"/>
      <c r="RH680" s="6"/>
      <c r="RI680" s="6"/>
      <c r="RJ680" s="6"/>
      <c r="RK680" s="6"/>
      <c r="RL680" s="45"/>
      <c r="RM680" s="4"/>
      <c r="RN680" s="4"/>
      <c r="RO680" s="4"/>
      <c r="RP680" s="6"/>
    </row>
    <row r="681" spans="1:484" x14ac:dyDescent="0.25">
      <c r="A681" s="46"/>
      <c r="B681" s="47"/>
      <c r="C681" s="127"/>
      <c r="D681" s="127"/>
      <c r="E681" s="127"/>
      <c r="F681" s="127"/>
      <c r="G681" s="127"/>
      <c r="H681" s="127"/>
      <c r="I681" s="127"/>
      <c r="J681" s="127"/>
      <c r="K681" s="127"/>
      <c r="L681" s="127"/>
      <c r="M681" s="127"/>
      <c r="RG681" s="6"/>
      <c r="RH681" s="6"/>
      <c r="RI681" s="6"/>
      <c r="RJ681" s="6"/>
      <c r="RK681" s="6"/>
      <c r="RL681" s="45"/>
      <c r="RM681" s="4"/>
      <c r="RN681" s="4"/>
      <c r="RO681" s="4"/>
      <c r="RP681" s="6"/>
    </row>
    <row r="682" spans="1:484" x14ac:dyDescent="0.25">
      <c r="A682" s="46"/>
      <c r="B682" s="47"/>
      <c r="C682" s="127"/>
      <c r="D682" s="127"/>
      <c r="E682" s="127"/>
      <c r="F682" s="127"/>
      <c r="G682" s="127"/>
      <c r="H682" s="127"/>
      <c r="I682" s="127"/>
      <c r="J682" s="127"/>
      <c r="K682" s="127"/>
      <c r="L682" s="127"/>
      <c r="M682" s="127"/>
      <c r="RG682" s="6"/>
      <c r="RH682" s="6"/>
      <c r="RI682" s="6"/>
      <c r="RJ682" s="6"/>
      <c r="RK682" s="6"/>
      <c r="RL682" s="45"/>
      <c r="RM682" s="4"/>
      <c r="RN682" s="4"/>
      <c r="RO682" s="4"/>
      <c r="RP682" s="6"/>
    </row>
    <row r="683" spans="1:484" x14ac:dyDescent="0.25">
      <c r="A683" s="46"/>
      <c r="B683" s="47"/>
      <c r="C683" s="127"/>
      <c r="D683" s="127"/>
      <c r="E683" s="127"/>
      <c r="F683" s="127"/>
      <c r="G683" s="127"/>
      <c r="H683" s="127"/>
      <c r="I683" s="127"/>
      <c r="J683" s="127"/>
      <c r="K683" s="127"/>
      <c r="L683" s="127"/>
      <c r="M683" s="127"/>
      <c r="RG683" s="6"/>
      <c r="RH683" s="6"/>
      <c r="RI683" s="6"/>
      <c r="RJ683" s="6"/>
      <c r="RK683" s="6"/>
      <c r="RL683" s="45"/>
      <c r="RM683" s="4"/>
      <c r="RN683" s="4"/>
      <c r="RO683" s="4"/>
      <c r="RP683" s="6"/>
    </row>
    <row r="684" spans="1:484" x14ac:dyDescent="0.25">
      <c r="A684" s="46"/>
      <c r="B684" s="47"/>
      <c r="C684" s="127"/>
      <c r="D684" s="127"/>
      <c r="E684" s="127"/>
      <c r="F684" s="127"/>
      <c r="G684" s="127"/>
      <c r="H684" s="127"/>
      <c r="I684" s="127"/>
      <c r="J684" s="127"/>
      <c r="K684" s="127"/>
      <c r="L684" s="127"/>
      <c r="M684" s="127"/>
      <c r="RG684" s="6"/>
      <c r="RH684" s="6"/>
      <c r="RI684" s="6"/>
      <c r="RJ684" s="6"/>
      <c r="RK684" s="6"/>
      <c r="RL684" s="45"/>
      <c r="RM684" s="4"/>
      <c r="RN684" s="4"/>
      <c r="RO684" s="4"/>
      <c r="RP684" s="6"/>
    </row>
    <row r="685" spans="1:484" x14ac:dyDescent="0.25">
      <c r="A685" s="46"/>
      <c r="B685" s="47"/>
      <c r="C685" s="127"/>
      <c r="D685" s="127"/>
      <c r="E685" s="127"/>
      <c r="F685" s="127"/>
      <c r="G685" s="127"/>
      <c r="H685" s="127"/>
      <c r="I685" s="127"/>
      <c r="J685" s="127"/>
      <c r="K685" s="127"/>
      <c r="L685" s="127"/>
      <c r="M685" s="127"/>
      <c r="RG685" s="6"/>
      <c r="RH685" s="6"/>
      <c r="RI685" s="6"/>
      <c r="RJ685" s="6"/>
      <c r="RK685" s="6"/>
      <c r="RL685" s="45"/>
      <c r="RM685" s="4"/>
      <c r="RN685" s="4"/>
      <c r="RO685" s="4"/>
      <c r="RP685" s="6"/>
    </row>
    <row r="686" spans="1:484" x14ac:dyDescent="0.25">
      <c r="A686" s="46"/>
      <c r="B686" s="47"/>
      <c r="C686" s="127"/>
      <c r="D686" s="127"/>
      <c r="E686" s="127"/>
      <c r="F686" s="127"/>
      <c r="G686" s="127"/>
      <c r="H686" s="127"/>
      <c r="I686" s="127"/>
      <c r="J686" s="127"/>
      <c r="K686" s="127"/>
      <c r="L686" s="127"/>
      <c r="M686" s="127"/>
      <c r="RG686" s="6"/>
      <c r="RH686" s="6"/>
      <c r="RI686" s="6"/>
      <c r="RJ686" s="6"/>
      <c r="RK686" s="6"/>
      <c r="RL686" s="45"/>
      <c r="RM686" s="4"/>
      <c r="RN686" s="4"/>
      <c r="RO686" s="4"/>
      <c r="RP686" s="6"/>
    </row>
    <row r="687" spans="1:484" x14ac:dyDescent="0.25">
      <c r="A687" s="46"/>
      <c r="B687" s="47"/>
      <c r="C687" s="127"/>
      <c r="D687" s="127"/>
      <c r="E687" s="127"/>
      <c r="F687" s="127"/>
      <c r="G687" s="127"/>
      <c r="H687" s="127"/>
      <c r="I687" s="127"/>
      <c r="J687" s="127"/>
      <c r="K687" s="127"/>
      <c r="L687" s="127"/>
      <c r="M687" s="127"/>
      <c r="RG687" s="6"/>
      <c r="RH687" s="6"/>
      <c r="RI687" s="6"/>
      <c r="RJ687" s="6"/>
      <c r="RK687" s="6"/>
      <c r="RL687" s="45"/>
      <c r="RM687" s="4"/>
      <c r="RN687" s="4"/>
      <c r="RO687" s="4"/>
      <c r="RP687" s="6"/>
    </row>
    <row r="688" spans="1:484" x14ac:dyDescent="0.25">
      <c r="A688" s="46"/>
      <c r="B688" s="47"/>
      <c r="C688" s="127"/>
      <c r="D688" s="127"/>
      <c r="E688" s="127"/>
      <c r="F688" s="127"/>
      <c r="G688" s="127"/>
      <c r="H688" s="127"/>
      <c r="I688" s="127"/>
      <c r="J688" s="127"/>
      <c r="K688" s="127"/>
      <c r="L688" s="127"/>
      <c r="M688" s="127"/>
      <c r="RG688" s="6"/>
      <c r="RH688" s="6"/>
      <c r="RI688" s="6"/>
      <c r="RJ688" s="6"/>
      <c r="RK688" s="6"/>
      <c r="RL688" s="45"/>
      <c r="RM688" s="4"/>
      <c r="RN688" s="4"/>
      <c r="RO688" s="4"/>
      <c r="RP688" s="6"/>
    </row>
    <row r="689" spans="1:484" x14ac:dyDescent="0.25">
      <c r="A689" s="46"/>
      <c r="B689" s="47"/>
      <c r="C689" s="127"/>
      <c r="D689" s="127"/>
      <c r="E689" s="127"/>
      <c r="F689" s="127"/>
      <c r="G689" s="127"/>
      <c r="H689" s="127"/>
      <c r="I689" s="127"/>
      <c r="J689" s="127"/>
      <c r="K689" s="127"/>
      <c r="L689" s="127"/>
      <c r="M689" s="127"/>
      <c r="RG689" s="6"/>
      <c r="RH689" s="6"/>
      <c r="RI689" s="6"/>
      <c r="RJ689" s="6"/>
      <c r="RK689" s="6"/>
      <c r="RL689" s="45"/>
      <c r="RM689" s="4"/>
      <c r="RN689" s="4"/>
      <c r="RO689" s="4"/>
      <c r="RP689" s="6"/>
    </row>
    <row r="690" spans="1:484" x14ac:dyDescent="0.25">
      <c r="A690" s="46"/>
      <c r="B690" s="47"/>
      <c r="C690" s="127"/>
      <c r="D690" s="127"/>
      <c r="E690" s="127"/>
      <c r="F690" s="127"/>
      <c r="G690" s="127"/>
      <c r="H690" s="127"/>
      <c r="I690" s="127"/>
      <c r="J690" s="127"/>
      <c r="K690" s="127"/>
      <c r="L690" s="127"/>
      <c r="M690" s="127"/>
      <c r="RG690" s="6"/>
      <c r="RH690" s="6"/>
      <c r="RI690" s="6"/>
      <c r="RJ690" s="6"/>
      <c r="RK690" s="6"/>
      <c r="RL690" s="45"/>
      <c r="RM690" s="4"/>
      <c r="RN690" s="4"/>
      <c r="RO690" s="4"/>
      <c r="RP690" s="6"/>
    </row>
    <row r="691" spans="1:484" x14ac:dyDescent="0.25">
      <c r="A691" s="46"/>
      <c r="B691" s="47"/>
      <c r="C691" s="127"/>
      <c r="D691" s="127"/>
      <c r="E691" s="127"/>
      <c r="F691" s="127"/>
      <c r="G691" s="127"/>
      <c r="H691" s="127"/>
      <c r="I691" s="127"/>
      <c r="J691" s="127"/>
      <c r="K691" s="127"/>
      <c r="L691" s="127"/>
      <c r="M691" s="127"/>
      <c r="RG691" s="6"/>
      <c r="RH691" s="6"/>
      <c r="RI691" s="6"/>
      <c r="RJ691" s="6"/>
      <c r="RK691" s="6"/>
      <c r="RL691" s="45"/>
      <c r="RM691" s="4"/>
      <c r="RN691" s="4"/>
      <c r="RO691" s="4"/>
      <c r="RP691" s="6"/>
    </row>
    <row r="692" spans="1:484" x14ac:dyDescent="0.25">
      <c r="A692" s="46"/>
      <c r="B692" s="47"/>
      <c r="C692" s="127"/>
      <c r="D692" s="127"/>
      <c r="E692" s="127"/>
      <c r="F692" s="127"/>
      <c r="G692" s="127"/>
      <c r="H692" s="127"/>
      <c r="I692" s="127"/>
      <c r="J692" s="127"/>
      <c r="K692" s="127"/>
      <c r="L692" s="127"/>
      <c r="M692" s="127"/>
      <c r="RG692" s="6"/>
      <c r="RH692" s="6"/>
      <c r="RI692" s="6"/>
      <c r="RJ692" s="6"/>
      <c r="RK692" s="6"/>
      <c r="RL692" s="45"/>
      <c r="RM692" s="4"/>
      <c r="RN692" s="4"/>
      <c r="RO692" s="4"/>
      <c r="RP692" s="6"/>
    </row>
    <row r="693" spans="1:484" x14ac:dyDescent="0.25">
      <c r="A693" s="46"/>
      <c r="B693" s="47"/>
      <c r="C693" s="127"/>
      <c r="D693" s="127"/>
      <c r="E693" s="127"/>
      <c r="F693" s="127"/>
      <c r="G693" s="127"/>
      <c r="H693" s="127"/>
      <c r="I693" s="127"/>
      <c r="J693" s="127"/>
      <c r="K693" s="127"/>
      <c r="L693" s="127"/>
      <c r="M693" s="127"/>
      <c r="RG693" s="6"/>
      <c r="RH693" s="6"/>
      <c r="RI693" s="6"/>
      <c r="RJ693" s="6"/>
      <c r="RK693" s="6"/>
      <c r="RL693" s="45"/>
      <c r="RM693" s="4"/>
      <c r="RN693" s="4"/>
      <c r="RO693" s="4"/>
      <c r="RP693" s="6"/>
    </row>
    <row r="694" spans="1:484" x14ac:dyDescent="0.25">
      <c r="A694" s="46"/>
      <c r="B694" s="47"/>
      <c r="C694" s="127"/>
      <c r="D694" s="127"/>
      <c r="E694" s="127"/>
      <c r="F694" s="127"/>
      <c r="G694" s="127"/>
      <c r="H694" s="127"/>
      <c r="I694" s="127"/>
      <c r="J694" s="127"/>
      <c r="K694" s="127"/>
      <c r="L694" s="127"/>
      <c r="M694" s="127"/>
      <c r="RG694" s="6"/>
      <c r="RH694" s="6"/>
      <c r="RI694" s="6"/>
      <c r="RJ694" s="6"/>
      <c r="RK694" s="6"/>
      <c r="RL694" s="45"/>
      <c r="RM694" s="4"/>
      <c r="RN694" s="4"/>
      <c r="RO694" s="4"/>
      <c r="RP694" s="6"/>
    </row>
    <row r="695" spans="1:484" x14ac:dyDescent="0.25">
      <c r="A695" s="46"/>
      <c r="B695" s="47"/>
      <c r="C695" s="127"/>
      <c r="D695" s="127"/>
      <c r="E695" s="127"/>
      <c r="F695" s="127"/>
      <c r="G695" s="127"/>
      <c r="H695" s="127"/>
      <c r="I695" s="127"/>
      <c r="J695" s="127"/>
      <c r="K695" s="127"/>
      <c r="L695" s="127"/>
      <c r="M695" s="127"/>
      <c r="RG695" s="6"/>
      <c r="RH695" s="6"/>
      <c r="RI695" s="6"/>
      <c r="RJ695" s="6"/>
      <c r="RK695" s="6"/>
      <c r="RL695" s="45"/>
      <c r="RM695" s="4"/>
      <c r="RN695" s="4"/>
      <c r="RO695" s="4"/>
      <c r="RP695" s="6"/>
    </row>
    <row r="696" spans="1:484" x14ac:dyDescent="0.25">
      <c r="A696" s="46"/>
      <c r="B696" s="47"/>
      <c r="C696" s="127"/>
      <c r="D696" s="127"/>
      <c r="E696" s="127"/>
      <c r="F696" s="127"/>
      <c r="G696" s="127"/>
      <c r="H696" s="127"/>
      <c r="I696" s="127"/>
      <c r="J696" s="127"/>
      <c r="K696" s="127"/>
      <c r="L696" s="127"/>
      <c r="M696" s="127"/>
      <c r="RG696" s="6"/>
      <c r="RH696" s="6"/>
      <c r="RI696" s="6"/>
      <c r="RJ696" s="6"/>
      <c r="RK696" s="6"/>
      <c r="RL696" s="45"/>
      <c r="RM696" s="4"/>
      <c r="RN696" s="4"/>
      <c r="RO696" s="4"/>
      <c r="RP696" s="6"/>
    </row>
    <row r="697" spans="1:484" x14ac:dyDescent="0.25">
      <c r="A697" s="46"/>
      <c r="B697" s="47"/>
      <c r="C697" s="127"/>
      <c r="D697" s="127"/>
      <c r="E697" s="127"/>
      <c r="F697" s="127"/>
      <c r="G697" s="127"/>
      <c r="H697" s="127"/>
      <c r="I697" s="127"/>
      <c r="J697" s="127"/>
      <c r="K697" s="127"/>
      <c r="L697" s="127"/>
      <c r="M697" s="127"/>
      <c r="RG697" s="6"/>
      <c r="RH697" s="6"/>
      <c r="RI697" s="6"/>
      <c r="RJ697" s="6"/>
      <c r="RK697" s="6"/>
      <c r="RL697" s="45"/>
      <c r="RM697" s="4"/>
      <c r="RN697" s="4"/>
      <c r="RO697" s="4"/>
      <c r="RP697" s="6"/>
    </row>
    <row r="698" spans="1:484" x14ac:dyDescent="0.25">
      <c r="A698" s="46"/>
      <c r="B698" s="47"/>
      <c r="C698" s="127"/>
      <c r="D698" s="127"/>
      <c r="E698" s="127"/>
      <c r="F698" s="127"/>
      <c r="G698" s="127"/>
      <c r="H698" s="127"/>
      <c r="I698" s="127"/>
      <c r="J698" s="127"/>
      <c r="K698" s="127"/>
      <c r="L698" s="127"/>
      <c r="M698" s="127"/>
      <c r="RG698" s="6"/>
      <c r="RH698" s="6"/>
      <c r="RI698" s="6"/>
      <c r="RJ698" s="6"/>
      <c r="RK698" s="6"/>
      <c r="RL698" s="45"/>
      <c r="RM698" s="4"/>
      <c r="RN698" s="4"/>
      <c r="RO698" s="4"/>
      <c r="RP698" s="6"/>
    </row>
    <row r="699" spans="1:484" x14ac:dyDescent="0.25">
      <c r="A699" s="46"/>
      <c r="B699" s="47"/>
      <c r="C699" s="127"/>
      <c r="D699" s="127"/>
      <c r="E699" s="127"/>
      <c r="F699" s="127"/>
      <c r="G699" s="127"/>
      <c r="H699" s="127"/>
      <c r="I699" s="127"/>
      <c r="J699" s="127"/>
      <c r="K699" s="127"/>
      <c r="L699" s="127"/>
      <c r="M699" s="127"/>
      <c r="RG699" s="6"/>
      <c r="RH699" s="6"/>
      <c r="RI699" s="6"/>
      <c r="RJ699" s="6"/>
      <c r="RK699" s="6"/>
      <c r="RL699" s="45"/>
      <c r="RM699" s="4"/>
      <c r="RN699" s="4"/>
      <c r="RO699" s="4"/>
      <c r="RP699" s="6"/>
    </row>
    <row r="700" spans="1:484" x14ac:dyDescent="0.25">
      <c r="A700" s="46"/>
      <c r="B700" s="47"/>
      <c r="C700" s="127"/>
      <c r="D700" s="127"/>
      <c r="E700" s="127"/>
      <c r="F700" s="127"/>
      <c r="G700" s="127"/>
      <c r="H700" s="127"/>
      <c r="I700" s="127"/>
      <c r="J700" s="127"/>
      <c r="K700" s="127"/>
      <c r="L700" s="127"/>
      <c r="M700" s="127"/>
      <c r="RG700" s="6"/>
      <c r="RH700" s="6"/>
      <c r="RI700" s="6"/>
      <c r="RJ700" s="6"/>
      <c r="RK700" s="6"/>
      <c r="RL700" s="45"/>
      <c r="RM700" s="4"/>
      <c r="RN700" s="4"/>
      <c r="RO700" s="4"/>
      <c r="RP700" s="6"/>
    </row>
    <row r="701" spans="1:484" x14ac:dyDescent="0.25">
      <c r="A701" s="46"/>
      <c r="B701" s="47"/>
      <c r="C701" s="127"/>
      <c r="D701" s="127"/>
      <c r="E701" s="127"/>
      <c r="F701" s="127"/>
      <c r="G701" s="127"/>
      <c r="H701" s="127"/>
      <c r="I701" s="127"/>
      <c r="J701" s="127"/>
      <c r="K701" s="127"/>
      <c r="L701" s="127"/>
      <c r="M701" s="127"/>
      <c r="RG701" s="6"/>
      <c r="RH701" s="6"/>
      <c r="RI701" s="6"/>
      <c r="RJ701" s="6"/>
      <c r="RK701" s="6"/>
      <c r="RL701" s="45"/>
      <c r="RM701" s="4"/>
      <c r="RN701" s="4"/>
      <c r="RO701" s="4"/>
      <c r="RP701" s="6"/>
    </row>
    <row r="702" spans="1:484" x14ac:dyDescent="0.25">
      <c r="A702" s="46"/>
      <c r="B702" s="47"/>
      <c r="C702" s="127"/>
      <c r="D702" s="127"/>
      <c r="E702" s="127"/>
      <c r="F702" s="127"/>
      <c r="G702" s="127"/>
      <c r="H702" s="127"/>
      <c r="I702" s="127"/>
      <c r="J702" s="127"/>
      <c r="K702" s="127"/>
      <c r="L702" s="127"/>
      <c r="M702" s="127"/>
      <c r="RG702" s="6"/>
      <c r="RH702" s="6"/>
      <c r="RI702" s="6"/>
      <c r="RJ702" s="6"/>
      <c r="RK702" s="6"/>
      <c r="RL702" s="45"/>
      <c r="RM702" s="4"/>
      <c r="RN702" s="4"/>
      <c r="RO702" s="4"/>
      <c r="RP702" s="6"/>
    </row>
    <row r="703" spans="1:484" x14ac:dyDescent="0.25">
      <c r="A703" s="46"/>
      <c r="B703" s="47"/>
      <c r="C703" s="127"/>
      <c r="D703" s="127"/>
      <c r="E703" s="127"/>
      <c r="F703" s="127"/>
      <c r="G703" s="127"/>
      <c r="H703" s="127"/>
      <c r="I703" s="127"/>
      <c r="J703" s="127"/>
      <c r="K703" s="127"/>
      <c r="L703" s="127"/>
      <c r="M703" s="127"/>
      <c r="RG703" s="6"/>
      <c r="RH703" s="6"/>
      <c r="RI703" s="6"/>
      <c r="RJ703" s="6"/>
      <c r="RK703" s="6"/>
      <c r="RL703" s="45"/>
      <c r="RM703" s="4"/>
      <c r="RN703" s="4"/>
      <c r="RO703" s="4"/>
      <c r="RP703" s="6"/>
    </row>
    <row r="704" spans="1:484" x14ac:dyDescent="0.25">
      <c r="A704" s="46"/>
      <c r="B704" s="47"/>
      <c r="C704" s="127"/>
      <c r="D704" s="127"/>
      <c r="E704" s="127"/>
      <c r="F704" s="127"/>
      <c r="G704" s="127"/>
      <c r="H704" s="127"/>
      <c r="I704" s="127"/>
      <c r="J704" s="127"/>
      <c r="K704" s="127"/>
      <c r="L704" s="127"/>
      <c r="M704" s="127"/>
      <c r="RG704" s="6"/>
      <c r="RH704" s="6"/>
      <c r="RI704" s="6"/>
      <c r="RJ704" s="6"/>
      <c r="RK704" s="6"/>
      <c r="RL704" s="45"/>
      <c r="RM704" s="4"/>
      <c r="RN704" s="4"/>
      <c r="RO704" s="4"/>
      <c r="RP704" s="6"/>
    </row>
    <row r="705" spans="1:484" x14ac:dyDescent="0.25">
      <c r="A705" s="46"/>
      <c r="B705" s="47"/>
      <c r="C705" s="127"/>
      <c r="D705" s="127"/>
      <c r="E705" s="127"/>
      <c r="F705" s="127"/>
      <c r="G705" s="127"/>
      <c r="H705" s="127"/>
      <c r="I705" s="127"/>
      <c r="J705" s="127"/>
      <c r="K705" s="127"/>
      <c r="L705" s="127"/>
      <c r="M705" s="127"/>
      <c r="RG705" s="6"/>
      <c r="RH705" s="6"/>
      <c r="RI705" s="6"/>
      <c r="RJ705" s="6"/>
      <c r="RK705" s="6"/>
      <c r="RL705" s="45"/>
      <c r="RM705" s="4"/>
      <c r="RN705" s="4"/>
      <c r="RO705" s="4"/>
      <c r="RP705" s="6"/>
    </row>
    <row r="706" spans="1:484" x14ac:dyDescent="0.25">
      <c r="A706" s="46"/>
      <c r="B706" s="47"/>
      <c r="C706" s="127"/>
      <c r="D706" s="127"/>
      <c r="E706" s="127"/>
      <c r="F706" s="127"/>
      <c r="G706" s="127"/>
      <c r="H706" s="127"/>
      <c r="I706" s="127"/>
      <c r="J706" s="127"/>
      <c r="K706" s="127"/>
      <c r="L706" s="127"/>
      <c r="M706" s="127"/>
      <c r="RG706" s="6"/>
      <c r="RH706" s="6"/>
      <c r="RI706" s="6"/>
      <c r="RJ706" s="6"/>
      <c r="RK706" s="6"/>
      <c r="RL706" s="45"/>
      <c r="RM706" s="4"/>
      <c r="RN706" s="4"/>
      <c r="RO706" s="4"/>
      <c r="RP706" s="6"/>
    </row>
    <row r="707" spans="1:484" x14ac:dyDescent="0.25">
      <c r="A707" s="46"/>
      <c r="B707" s="47"/>
      <c r="C707" s="127"/>
      <c r="D707" s="127"/>
      <c r="E707" s="127"/>
      <c r="F707" s="127"/>
      <c r="G707" s="127"/>
      <c r="H707" s="127"/>
      <c r="I707" s="127"/>
      <c r="J707" s="127"/>
      <c r="K707" s="127"/>
      <c r="L707" s="127"/>
      <c r="M707" s="127"/>
      <c r="RG707" s="6"/>
      <c r="RH707" s="6"/>
      <c r="RI707" s="6"/>
      <c r="RJ707" s="6"/>
      <c r="RK707" s="6"/>
      <c r="RL707" s="45"/>
      <c r="RM707" s="4"/>
      <c r="RN707" s="4"/>
      <c r="RO707" s="4"/>
      <c r="RP707" s="6"/>
    </row>
    <row r="708" spans="1:484" x14ac:dyDescent="0.25">
      <c r="A708" s="46"/>
      <c r="B708" s="47"/>
      <c r="C708" s="127"/>
      <c r="D708" s="127"/>
      <c r="E708" s="127"/>
      <c r="F708" s="127"/>
      <c r="G708" s="127"/>
      <c r="H708" s="127"/>
      <c r="I708" s="127"/>
      <c r="J708" s="127"/>
      <c r="K708" s="127"/>
      <c r="L708" s="127"/>
      <c r="M708" s="127"/>
      <c r="RG708" s="6"/>
      <c r="RH708" s="6"/>
      <c r="RI708" s="6"/>
      <c r="RJ708" s="6"/>
      <c r="RK708" s="6"/>
      <c r="RL708" s="45"/>
      <c r="RM708" s="4"/>
      <c r="RN708" s="4"/>
      <c r="RO708" s="4"/>
      <c r="RP708" s="6"/>
    </row>
    <row r="709" spans="1:484" x14ac:dyDescent="0.25">
      <c r="A709" s="46"/>
      <c r="B709" s="47"/>
      <c r="C709" s="127"/>
      <c r="D709" s="127"/>
      <c r="E709" s="127"/>
      <c r="F709" s="127"/>
      <c r="G709" s="127"/>
      <c r="H709" s="127"/>
      <c r="I709" s="127"/>
      <c r="J709" s="127"/>
      <c r="K709" s="127"/>
      <c r="L709" s="127"/>
      <c r="M709" s="127"/>
      <c r="RG709" s="6"/>
      <c r="RH709" s="6"/>
      <c r="RI709" s="6"/>
      <c r="RJ709" s="6"/>
      <c r="RK709" s="6"/>
      <c r="RL709" s="45"/>
      <c r="RM709" s="4"/>
      <c r="RN709" s="4"/>
      <c r="RO709" s="4"/>
      <c r="RP709" s="6"/>
    </row>
    <row r="710" spans="1:484" x14ac:dyDescent="0.25">
      <c r="A710" s="46"/>
      <c r="B710" s="47"/>
      <c r="C710" s="127"/>
      <c r="D710" s="127"/>
      <c r="E710" s="127"/>
      <c r="F710" s="127"/>
      <c r="G710" s="127"/>
      <c r="H710" s="127"/>
      <c r="I710" s="127"/>
      <c r="J710" s="127"/>
      <c r="K710" s="127"/>
      <c r="L710" s="127"/>
      <c r="M710" s="127"/>
      <c r="RG710" s="6"/>
      <c r="RH710" s="6"/>
      <c r="RI710" s="6"/>
      <c r="RJ710" s="6"/>
      <c r="RK710" s="6"/>
      <c r="RL710" s="45"/>
      <c r="RM710" s="4"/>
      <c r="RN710" s="4"/>
      <c r="RO710" s="4"/>
      <c r="RP710" s="6"/>
    </row>
    <row r="711" spans="1:484" x14ac:dyDescent="0.25">
      <c r="A711" s="46"/>
      <c r="B711" s="47"/>
      <c r="C711" s="127"/>
      <c r="D711" s="127"/>
      <c r="E711" s="127"/>
      <c r="F711" s="127"/>
      <c r="G711" s="127"/>
      <c r="H711" s="127"/>
      <c r="I711" s="127"/>
      <c r="J711" s="127"/>
      <c r="K711" s="127"/>
      <c r="L711" s="127"/>
      <c r="M711" s="127"/>
      <c r="RG711" s="6"/>
      <c r="RH711" s="6"/>
      <c r="RI711" s="6"/>
      <c r="RJ711" s="6"/>
      <c r="RK711" s="6"/>
      <c r="RL711" s="45"/>
      <c r="RM711" s="4"/>
      <c r="RN711" s="4"/>
      <c r="RO711" s="4"/>
      <c r="RP711" s="6"/>
    </row>
    <row r="712" spans="1:484" x14ac:dyDescent="0.25">
      <c r="A712" s="46"/>
      <c r="B712" s="47"/>
      <c r="C712" s="127"/>
      <c r="D712" s="127"/>
      <c r="E712" s="127"/>
      <c r="F712" s="127"/>
      <c r="G712" s="127"/>
      <c r="H712" s="127"/>
      <c r="I712" s="127"/>
      <c r="J712" s="127"/>
      <c r="K712" s="127"/>
      <c r="L712" s="127"/>
      <c r="M712" s="127"/>
      <c r="RG712" s="6"/>
      <c r="RH712" s="6"/>
      <c r="RI712" s="6"/>
      <c r="RJ712" s="6"/>
      <c r="RK712" s="6"/>
      <c r="RL712" s="45"/>
      <c r="RM712" s="4"/>
      <c r="RN712" s="4"/>
      <c r="RO712" s="4"/>
      <c r="RP712" s="6"/>
    </row>
    <row r="713" spans="1:484" x14ac:dyDescent="0.25">
      <c r="A713" s="46"/>
      <c r="B713" s="47"/>
      <c r="C713" s="127"/>
      <c r="D713" s="127"/>
      <c r="E713" s="127"/>
      <c r="F713" s="127"/>
      <c r="G713" s="127"/>
      <c r="H713" s="127"/>
      <c r="I713" s="127"/>
      <c r="J713" s="127"/>
      <c r="K713" s="127"/>
      <c r="L713" s="127"/>
      <c r="M713" s="127"/>
      <c r="RG713" s="6"/>
      <c r="RH713" s="6"/>
      <c r="RI713" s="6"/>
      <c r="RJ713" s="6"/>
      <c r="RK713" s="6"/>
      <c r="RL713" s="45"/>
      <c r="RM713" s="4"/>
      <c r="RN713" s="4"/>
      <c r="RO713" s="4"/>
      <c r="RP713" s="6"/>
    </row>
    <row r="714" spans="1:484" x14ac:dyDescent="0.25">
      <c r="A714" s="46"/>
      <c r="B714" s="47"/>
      <c r="C714" s="127"/>
      <c r="D714" s="127"/>
      <c r="E714" s="127"/>
      <c r="F714" s="127"/>
      <c r="G714" s="127"/>
      <c r="H714" s="127"/>
      <c r="I714" s="127"/>
      <c r="J714" s="127"/>
      <c r="K714" s="127"/>
      <c r="L714" s="127"/>
      <c r="M714" s="127"/>
      <c r="RG714" s="6"/>
      <c r="RH714" s="6"/>
      <c r="RI714" s="6"/>
      <c r="RJ714" s="6"/>
      <c r="RK714" s="6"/>
      <c r="RL714" s="45"/>
      <c r="RM714" s="4"/>
      <c r="RN714" s="4"/>
      <c r="RO714" s="4"/>
      <c r="RP714" s="6"/>
    </row>
    <row r="715" spans="1:484" x14ac:dyDescent="0.25">
      <c r="A715" s="46"/>
      <c r="B715" s="47"/>
      <c r="C715" s="127"/>
      <c r="D715" s="127"/>
      <c r="E715" s="127"/>
      <c r="F715" s="127"/>
      <c r="G715" s="127"/>
      <c r="H715" s="127"/>
      <c r="I715" s="127"/>
      <c r="J715" s="127"/>
      <c r="K715" s="127"/>
      <c r="L715" s="127"/>
      <c r="M715" s="127"/>
      <c r="RG715" s="6"/>
      <c r="RH715" s="6"/>
      <c r="RI715" s="6"/>
      <c r="RJ715" s="6"/>
      <c r="RK715" s="6"/>
      <c r="RL715" s="45"/>
      <c r="RM715" s="4"/>
      <c r="RN715" s="4"/>
      <c r="RO715" s="4"/>
      <c r="RP715" s="6"/>
    </row>
    <row r="716" spans="1:484" x14ac:dyDescent="0.25">
      <c r="A716" s="46"/>
      <c r="B716" s="47"/>
      <c r="C716" s="127"/>
      <c r="D716" s="127"/>
      <c r="E716" s="127"/>
      <c r="F716" s="127"/>
      <c r="G716" s="127"/>
      <c r="H716" s="127"/>
      <c r="I716" s="127"/>
      <c r="J716" s="127"/>
      <c r="K716" s="127"/>
      <c r="L716" s="127"/>
      <c r="M716" s="127"/>
      <c r="RG716" s="6"/>
      <c r="RH716" s="6"/>
      <c r="RI716" s="6"/>
      <c r="RJ716" s="6"/>
      <c r="RK716" s="6"/>
      <c r="RL716" s="45"/>
      <c r="RM716" s="4"/>
      <c r="RN716" s="4"/>
      <c r="RO716" s="4"/>
      <c r="RP716" s="6"/>
    </row>
    <row r="717" spans="1:484" x14ac:dyDescent="0.25">
      <c r="A717" s="46"/>
      <c r="B717" s="47"/>
      <c r="C717" s="127"/>
      <c r="D717" s="127"/>
      <c r="E717" s="127"/>
      <c r="F717" s="127"/>
      <c r="G717" s="127"/>
      <c r="H717" s="127"/>
      <c r="I717" s="127"/>
      <c r="J717" s="127"/>
      <c r="K717" s="127"/>
      <c r="L717" s="127"/>
      <c r="M717" s="127"/>
      <c r="RG717" s="6"/>
      <c r="RH717" s="6"/>
      <c r="RI717" s="6"/>
      <c r="RJ717" s="6"/>
      <c r="RK717" s="6"/>
      <c r="RL717" s="45"/>
      <c r="RM717" s="4"/>
      <c r="RN717" s="4"/>
      <c r="RO717" s="4"/>
      <c r="RP717" s="6"/>
    </row>
    <row r="718" spans="1:484" x14ac:dyDescent="0.25">
      <c r="A718" s="46"/>
      <c r="B718" s="47"/>
      <c r="C718" s="127"/>
      <c r="D718" s="127"/>
      <c r="E718" s="127"/>
      <c r="F718" s="127"/>
      <c r="G718" s="127"/>
      <c r="H718" s="127"/>
      <c r="I718" s="127"/>
      <c r="J718" s="127"/>
      <c r="K718" s="127"/>
      <c r="L718" s="127"/>
      <c r="M718" s="127"/>
      <c r="RG718" s="6"/>
      <c r="RH718" s="6"/>
      <c r="RI718" s="6"/>
      <c r="RJ718" s="6"/>
      <c r="RK718" s="6"/>
      <c r="RL718" s="45"/>
      <c r="RM718" s="4"/>
      <c r="RN718" s="4"/>
      <c r="RO718" s="4"/>
      <c r="RP718" s="6"/>
    </row>
    <row r="719" spans="1:484" x14ac:dyDescent="0.25">
      <c r="A719" s="46"/>
      <c r="B719" s="47"/>
      <c r="C719" s="127"/>
      <c r="D719" s="127"/>
      <c r="E719" s="127"/>
      <c r="F719" s="127"/>
      <c r="G719" s="127"/>
      <c r="H719" s="127"/>
      <c r="I719" s="127"/>
      <c r="J719" s="127"/>
      <c r="K719" s="127"/>
      <c r="L719" s="127"/>
      <c r="M719" s="127"/>
      <c r="RG719" s="6"/>
      <c r="RH719" s="6"/>
      <c r="RI719" s="6"/>
      <c r="RJ719" s="6"/>
      <c r="RK719" s="6"/>
      <c r="RL719" s="45"/>
      <c r="RM719" s="4"/>
      <c r="RN719" s="4"/>
      <c r="RO719" s="4"/>
      <c r="RP719" s="6"/>
    </row>
    <row r="720" spans="1:484" x14ac:dyDescent="0.25">
      <c r="A720" s="46"/>
      <c r="B720" s="47"/>
      <c r="C720" s="127"/>
      <c r="D720" s="127"/>
      <c r="E720" s="127"/>
      <c r="F720" s="127"/>
      <c r="G720" s="127"/>
      <c r="H720" s="127"/>
      <c r="I720" s="127"/>
      <c r="J720" s="127"/>
      <c r="K720" s="127"/>
      <c r="L720" s="127"/>
      <c r="M720" s="127"/>
      <c r="RG720" s="6"/>
      <c r="RH720" s="6"/>
      <c r="RI720" s="6"/>
      <c r="RJ720" s="6"/>
      <c r="RK720" s="6"/>
      <c r="RL720" s="45"/>
      <c r="RM720" s="4"/>
      <c r="RN720" s="4"/>
      <c r="RO720" s="4"/>
      <c r="RP720" s="6"/>
    </row>
    <row r="721" spans="1:484" x14ac:dyDescent="0.25">
      <c r="A721" s="46"/>
      <c r="B721" s="47"/>
      <c r="C721" s="127"/>
      <c r="D721" s="127"/>
      <c r="E721" s="127"/>
      <c r="F721" s="127"/>
      <c r="G721" s="127"/>
      <c r="H721" s="127"/>
      <c r="I721" s="127"/>
      <c r="J721" s="127"/>
      <c r="K721" s="127"/>
      <c r="L721" s="127"/>
      <c r="M721" s="127"/>
      <c r="RG721" s="6"/>
      <c r="RH721" s="6"/>
      <c r="RI721" s="6"/>
      <c r="RJ721" s="6"/>
      <c r="RK721" s="6"/>
      <c r="RL721" s="45"/>
      <c r="RM721" s="4"/>
      <c r="RN721" s="4"/>
      <c r="RO721" s="4"/>
      <c r="RP721" s="6"/>
    </row>
    <row r="722" spans="1:484" x14ac:dyDescent="0.25">
      <c r="A722" s="46"/>
      <c r="B722" s="47"/>
      <c r="C722" s="127"/>
      <c r="D722" s="127"/>
      <c r="E722" s="127"/>
      <c r="F722" s="127"/>
      <c r="G722" s="127"/>
      <c r="H722" s="127"/>
      <c r="I722" s="127"/>
      <c r="J722" s="127"/>
      <c r="K722" s="127"/>
      <c r="L722" s="127"/>
      <c r="M722" s="127"/>
      <c r="RG722" s="6"/>
      <c r="RH722" s="6"/>
      <c r="RI722" s="6"/>
      <c r="RJ722" s="6"/>
      <c r="RK722" s="6"/>
      <c r="RL722" s="45"/>
      <c r="RM722" s="4"/>
      <c r="RN722" s="4"/>
      <c r="RO722" s="4"/>
      <c r="RP722" s="6"/>
    </row>
    <row r="723" spans="1:484" x14ac:dyDescent="0.25">
      <c r="A723" s="46"/>
      <c r="B723" s="47"/>
      <c r="C723" s="127"/>
      <c r="D723" s="127"/>
      <c r="E723" s="127"/>
      <c r="F723" s="127"/>
      <c r="G723" s="127"/>
      <c r="H723" s="127"/>
      <c r="I723" s="127"/>
      <c r="J723" s="127"/>
      <c r="K723" s="127"/>
      <c r="L723" s="127"/>
      <c r="M723" s="127"/>
      <c r="RG723" s="6"/>
      <c r="RH723" s="6"/>
      <c r="RI723" s="6"/>
      <c r="RJ723" s="6"/>
      <c r="RK723" s="6"/>
      <c r="RL723" s="45"/>
      <c r="RM723" s="4"/>
      <c r="RN723" s="4"/>
      <c r="RO723" s="4"/>
      <c r="RP723" s="6"/>
    </row>
    <row r="724" spans="1:484" x14ac:dyDescent="0.25">
      <c r="A724" s="46"/>
      <c r="B724" s="47"/>
      <c r="C724" s="127"/>
      <c r="D724" s="127"/>
      <c r="E724" s="127"/>
      <c r="F724" s="127"/>
      <c r="G724" s="127"/>
      <c r="H724" s="127"/>
      <c r="I724" s="127"/>
      <c r="J724" s="127"/>
      <c r="K724" s="127"/>
      <c r="L724" s="127"/>
      <c r="M724" s="127"/>
      <c r="RG724" s="6"/>
      <c r="RH724" s="6"/>
      <c r="RI724" s="6"/>
      <c r="RJ724" s="6"/>
      <c r="RK724" s="6"/>
      <c r="RL724" s="45"/>
      <c r="RM724" s="4"/>
      <c r="RN724" s="4"/>
      <c r="RO724" s="4"/>
      <c r="RP724" s="6"/>
    </row>
    <row r="725" spans="1:484" x14ac:dyDescent="0.25">
      <c r="A725" s="46"/>
      <c r="B725" s="47"/>
      <c r="C725" s="127"/>
      <c r="D725" s="127"/>
      <c r="E725" s="127"/>
      <c r="F725" s="127"/>
      <c r="G725" s="127"/>
      <c r="H725" s="127"/>
      <c r="I725" s="127"/>
      <c r="J725" s="127"/>
      <c r="K725" s="127"/>
      <c r="L725" s="127"/>
      <c r="M725" s="127"/>
      <c r="RG725" s="6"/>
      <c r="RH725" s="6"/>
      <c r="RI725" s="6"/>
      <c r="RJ725" s="6"/>
      <c r="RK725" s="6"/>
      <c r="RL725" s="45"/>
      <c r="RM725" s="4"/>
      <c r="RN725" s="4"/>
      <c r="RO725" s="4"/>
      <c r="RP725" s="6"/>
    </row>
    <row r="726" spans="1:484" x14ac:dyDescent="0.25">
      <c r="A726" s="46"/>
      <c r="B726" s="47"/>
      <c r="C726" s="127"/>
      <c r="D726" s="127"/>
      <c r="E726" s="127"/>
      <c r="F726" s="127"/>
      <c r="G726" s="127"/>
      <c r="H726" s="127"/>
      <c r="I726" s="127"/>
      <c r="J726" s="127"/>
      <c r="K726" s="127"/>
      <c r="L726" s="127"/>
      <c r="M726" s="127"/>
      <c r="RG726" s="6"/>
      <c r="RH726" s="6"/>
      <c r="RI726" s="6"/>
      <c r="RJ726" s="6"/>
      <c r="RK726" s="6"/>
      <c r="RL726" s="45"/>
      <c r="RM726" s="4"/>
      <c r="RN726" s="4"/>
      <c r="RO726" s="4"/>
      <c r="RP726" s="6"/>
    </row>
    <row r="727" spans="1:484" x14ac:dyDescent="0.25">
      <c r="A727" s="46"/>
      <c r="B727" s="47"/>
      <c r="C727" s="127"/>
      <c r="D727" s="127"/>
      <c r="E727" s="127"/>
      <c r="F727" s="127"/>
      <c r="G727" s="127"/>
      <c r="H727" s="127"/>
      <c r="I727" s="127"/>
      <c r="J727" s="127"/>
      <c r="K727" s="127"/>
      <c r="L727" s="127"/>
      <c r="M727" s="127"/>
      <c r="RG727" s="6"/>
      <c r="RH727" s="6"/>
      <c r="RI727" s="6"/>
      <c r="RJ727" s="6"/>
      <c r="RK727" s="6"/>
      <c r="RL727" s="45"/>
      <c r="RM727" s="4"/>
      <c r="RN727" s="4"/>
      <c r="RO727" s="4"/>
      <c r="RP727" s="6"/>
    </row>
    <row r="728" spans="1:484" x14ac:dyDescent="0.25">
      <c r="A728" s="46"/>
      <c r="B728" s="47"/>
      <c r="C728" s="127"/>
      <c r="D728" s="127"/>
      <c r="E728" s="127"/>
      <c r="F728" s="127"/>
      <c r="G728" s="127"/>
      <c r="H728" s="127"/>
      <c r="I728" s="127"/>
      <c r="J728" s="127"/>
      <c r="K728" s="127"/>
      <c r="L728" s="127"/>
      <c r="M728" s="127"/>
      <c r="RG728" s="6"/>
      <c r="RH728" s="6"/>
      <c r="RI728" s="6"/>
      <c r="RJ728" s="6"/>
      <c r="RK728" s="6"/>
      <c r="RL728" s="45"/>
      <c r="RM728" s="4"/>
      <c r="RN728" s="4"/>
      <c r="RO728" s="4"/>
      <c r="RP728" s="6"/>
    </row>
    <row r="729" spans="1:484" x14ac:dyDescent="0.25">
      <c r="A729" s="46"/>
      <c r="B729" s="47"/>
      <c r="C729" s="127"/>
      <c r="D729" s="127"/>
      <c r="E729" s="127"/>
      <c r="F729" s="127"/>
      <c r="G729" s="127"/>
      <c r="H729" s="127"/>
      <c r="I729" s="127"/>
      <c r="J729" s="127"/>
      <c r="K729" s="127"/>
      <c r="L729" s="127"/>
      <c r="M729" s="127"/>
      <c r="RG729" s="6"/>
      <c r="RH729" s="6"/>
      <c r="RI729" s="6"/>
      <c r="RJ729" s="6"/>
      <c r="RK729" s="6"/>
      <c r="RL729" s="45"/>
      <c r="RM729" s="4"/>
      <c r="RN729" s="4"/>
      <c r="RO729" s="4"/>
      <c r="RP729" s="6"/>
    </row>
    <row r="730" spans="1:484" x14ac:dyDescent="0.25">
      <c r="A730" s="46"/>
      <c r="B730" s="47"/>
      <c r="C730" s="127"/>
      <c r="D730" s="127"/>
      <c r="E730" s="127"/>
      <c r="F730" s="127"/>
      <c r="G730" s="127"/>
      <c r="H730" s="127"/>
      <c r="I730" s="127"/>
      <c r="J730" s="127"/>
      <c r="K730" s="127"/>
      <c r="L730" s="127"/>
      <c r="M730" s="127"/>
      <c r="RG730" s="6"/>
      <c r="RH730" s="6"/>
      <c r="RI730" s="6"/>
      <c r="RJ730" s="6"/>
      <c r="RK730" s="6"/>
      <c r="RL730" s="45"/>
      <c r="RM730" s="4"/>
      <c r="RN730" s="4"/>
      <c r="RO730" s="4"/>
      <c r="RP730" s="6"/>
    </row>
    <row r="731" spans="1:484" x14ac:dyDescent="0.25">
      <c r="A731" s="46"/>
      <c r="B731" s="47"/>
      <c r="C731" s="127"/>
      <c r="D731" s="127"/>
      <c r="E731" s="127"/>
      <c r="F731" s="127"/>
      <c r="G731" s="127"/>
      <c r="H731" s="127"/>
      <c r="I731" s="127"/>
      <c r="J731" s="127"/>
      <c r="K731" s="127"/>
      <c r="L731" s="127"/>
      <c r="M731" s="127"/>
      <c r="RG731" s="6"/>
      <c r="RH731" s="6"/>
      <c r="RI731" s="6"/>
      <c r="RJ731" s="6"/>
      <c r="RK731" s="6"/>
      <c r="RL731" s="45"/>
      <c r="RM731" s="4"/>
      <c r="RN731" s="4"/>
      <c r="RO731" s="4"/>
      <c r="RP731" s="6"/>
    </row>
    <row r="732" spans="1:484" x14ac:dyDescent="0.25">
      <c r="A732" s="46"/>
      <c r="B732" s="47"/>
      <c r="C732" s="127"/>
      <c r="D732" s="127"/>
      <c r="E732" s="127"/>
      <c r="F732" s="127"/>
      <c r="G732" s="127"/>
      <c r="H732" s="127"/>
      <c r="I732" s="127"/>
      <c r="J732" s="127"/>
      <c r="K732" s="127"/>
      <c r="L732" s="127"/>
      <c r="M732" s="127"/>
      <c r="RG732" s="6"/>
      <c r="RH732" s="6"/>
      <c r="RI732" s="6"/>
      <c r="RJ732" s="6"/>
      <c r="RK732" s="6"/>
      <c r="RL732" s="45"/>
      <c r="RM732" s="4"/>
      <c r="RN732" s="4"/>
      <c r="RO732" s="4"/>
      <c r="RP732" s="6"/>
    </row>
    <row r="733" spans="1:484" x14ac:dyDescent="0.25">
      <c r="A733" s="46"/>
      <c r="B733" s="47"/>
      <c r="C733" s="127"/>
      <c r="D733" s="127"/>
      <c r="E733" s="127"/>
      <c r="F733" s="127"/>
      <c r="G733" s="127"/>
      <c r="H733" s="127"/>
      <c r="I733" s="127"/>
      <c r="J733" s="127"/>
      <c r="K733" s="127"/>
      <c r="L733" s="127"/>
      <c r="M733" s="127"/>
      <c r="RG733" s="6"/>
      <c r="RH733" s="6"/>
      <c r="RI733" s="6"/>
      <c r="RJ733" s="6"/>
      <c r="RK733" s="6"/>
      <c r="RL733" s="45"/>
      <c r="RM733" s="4"/>
      <c r="RN733" s="4"/>
      <c r="RO733" s="4"/>
      <c r="RP733" s="6"/>
    </row>
    <row r="734" spans="1:484" x14ac:dyDescent="0.25">
      <c r="A734" s="46"/>
      <c r="B734" s="47"/>
      <c r="C734" s="127"/>
      <c r="D734" s="127"/>
      <c r="E734" s="127"/>
      <c r="F734" s="127"/>
      <c r="G734" s="127"/>
      <c r="H734" s="127"/>
      <c r="I734" s="127"/>
      <c r="J734" s="127"/>
      <c r="K734" s="127"/>
      <c r="L734" s="127"/>
      <c r="M734" s="127"/>
      <c r="RG734" s="6"/>
      <c r="RH734" s="6"/>
      <c r="RI734" s="6"/>
      <c r="RJ734" s="6"/>
      <c r="RK734" s="6"/>
      <c r="RL734" s="45"/>
      <c r="RM734" s="4"/>
      <c r="RN734" s="4"/>
      <c r="RO734" s="4"/>
      <c r="RP734" s="6"/>
    </row>
    <row r="735" spans="1:484" x14ac:dyDescent="0.25">
      <c r="A735" s="46"/>
      <c r="B735" s="47"/>
      <c r="C735" s="127"/>
      <c r="D735" s="127"/>
      <c r="E735" s="127"/>
      <c r="F735" s="127"/>
      <c r="G735" s="127"/>
      <c r="H735" s="127"/>
      <c r="I735" s="127"/>
      <c r="J735" s="127"/>
      <c r="K735" s="127"/>
      <c r="L735" s="127"/>
      <c r="M735" s="127"/>
      <c r="RG735" s="6"/>
      <c r="RH735" s="6"/>
      <c r="RI735" s="6"/>
      <c r="RJ735" s="6"/>
      <c r="RK735" s="6"/>
      <c r="RL735" s="45"/>
      <c r="RM735" s="4"/>
      <c r="RN735" s="4"/>
      <c r="RO735" s="4"/>
      <c r="RP735" s="6"/>
    </row>
    <row r="736" spans="1:484" x14ac:dyDescent="0.25">
      <c r="A736" s="46"/>
      <c r="B736" s="47"/>
      <c r="C736" s="127"/>
      <c r="D736" s="127"/>
      <c r="E736" s="127"/>
      <c r="F736" s="127"/>
      <c r="G736" s="127"/>
      <c r="H736" s="127"/>
      <c r="I736" s="127"/>
      <c r="J736" s="127"/>
      <c r="K736" s="127"/>
      <c r="L736" s="127"/>
      <c r="M736" s="127"/>
      <c r="RG736" s="6"/>
      <c r="RH736" s="6"/>
      <c r="RI736" s="6"/>
      <c r="RJ736" s="6"/>
      <c r="RK736" s="6"/>
      <c r="RL736" s="45"/>
      <c r="RM736" s="4"/>
      <c r="RN736" s="4"/>
      <c r="RO736" s="4"/>
      <c r="RP736" s="6"/>
    </row>
    <row r="737" spans="1:484" x14ac:dyDescent="0.25">
      <c r="A737" s="46"/>
      <c r="B737" s="47"/>
      <c r="C737" s="127"/>
      <c r="D737" s="127"/>
      <c r="E737" s="127"/>
      <c r="F737" s="127"/>
      <c r="G737" s="127"/>
      <c r="H737" s="127"/>
      <c r="I737" s="127"/>
      <c r="J737" s="127"/>
      <c r="K737" s="127"/>
      <c r="L737" s="127"/>
      <c r="M737" s="127"/>
      <c r="RG737" s="6"/>
      <c r="RH737" s="6"/>
      <c r="RI737" s="6"/>
      <c r="RJ737" s="6"/>
      <c r="RK737" s="6"/>
      <c r="RL737" s="45"/>
      <c r="RM737" s="4"/>
      <c r="RN737" s="4"/>
      <c r="RO737" s="4"/>
      <c r="RP737" s="6"/>
    </row>
    <row r="738" spans="1:484" x14ac:dyDescent="0.25">
      <c r="A738" s="46"/>
      <c r="B738" s="47"/>
      <c r="C738" s="127"/>
      <c r="D738" s="127"/>
      <c r="E738" s="127"/>
      <c r="F738" s="127"/>
      <c r="G738" s="127"/>
      <c r="H738" s="127"/>
      <c r="I738" s="127"/>
      <c r="J738" s="127"/>
      <c r="K738" s="127"/>
      <c r="L738" s="127"/>
      <c r="M738" s="127"/>
      <c r="RG738" s="6"/>
      <c r="RH738" s="6"/>
      <c r="RI738" s="6"/>
      <c r="RJ738" s="6"/>
      <c r="RK738" s="6"/>
      <c r="RL738" s="45"/>
      <c r="RM738" s="4"/>
      <c r="RN738" s="4"/>
      <c r="RO738" s="4"/>
      <c r="RP738" s="6"/>
    </row>
    <row r="739" spans="1:484" x14ac:dyDescent="0.25">
      <c r="A739" s="46"/>
      <c r="B739" s="47"/>
      <c r="C739" s="127"/>
      <c r="D739" s="127"/>
      <c r="E739" s="127"/>
      <c r="F739" s="127"/>
      <c r="G739" s="127"/>
      <c r="H739" s="127"/>
      <c r="I739" s="127"/>
      <c r="J739" s="127"/>
      <c r="K739" s="127"/>
      <c r="L739" s="127"/>
      <c r="M739" s="127"/>
      <c r="RG739" s="6"/>
      <c r="RH739" s="6"/>
      <c r="RI739" s="6"/>
      <c r="RJ739" s="6"/>
      <c r="RK739" s="6"/>
      <c r="RL739" s="45"/>
      <c r="RM739" s="4"/>
      <c r="RN739" s="4"/>
      <c r="RO739" s="4"/>
      <c r="RP739" s="6"/>
    </row>
    <row r="740" spans="1:484" x14ac:dyDescent="0.25">
      <c r="A740" s="46"/>
      <c r="B740" s="47"/>
      <c r="C740" s="127"/>
      <c r="D740" s="127"/>
      <c r="E740" s="127"/>
      <c r="F740" s="127"/>
      <c r="G740" s="127"/>
      <c r="H740" s="127"/>
      <c r="I740" s="127"/>
      <c r="J740" s="127"/>
      <c r="K740" s="127"/>
      <c r="L740" s="127"/>
      <c r="M740" s="127"/>
      <c r="RG740" s="6"/>
      <c r="RH740" s="6"/>
      <c r="RI740" s="6"/>
      <c r="RJ740" s="6"/>
      <c r="RK740" s="6"/>
      <c r="RL740" s="45"/>
      <c r="RM740" s="4"/>
      <c r="RN740" s="4"/>
      <c r="RO740" s="4"/>
      <c r="RP740" s="6"/>
    </row>
    <row r="741" spans="1:484" x14ac:dyDescent="0.25">
      <c r="A741" s="46"/>
      <c r="B741" s="47"/>
      <c r="C741" s="127"/>
      <c r="D741" s="127"/>
      <c r="E741" s="127"/>
      <c r="F741" s="127"/>
      <c r="G741" s="127"/>
      <c r="H741" s="127"/>
      <c r="I741" s="127"/>
      <c r="J741" s="127"/>
      <c r="K741" s="127"/>
      <c r="L741" s="127"/>
      <c r="M741" s="127"/>
      <c r="RG741" s="6"/>
      <c r="RH741" s="6"/>
      <c r="RI741" s="6"/>
      <c r="RJ741" s="6"/>
      <c r="RK741" s="6"/>
      <c r="RL741" s="45"/>
      <c r="RM741" s="4"/>
      <c r="RN741" s="4"/>
      <c r="RO741" s="4"/>
      <c r="RP741" s="6"/>
    </row>
    <row r="742" spans="1:484" x14ac:dyDescent="0.25">
      <c r="A742" s="46"/>
      <c r="B742" s="47"/>
      <c r="C742" s="127"/>
      <c r="D742" s="127"/>
      <c r="E742" s="127"/>
      <c r="F742" s="127"/>
      <c r="G742" s="127"/>
      <c r="H742" s="127"/>
      <c r="I742" s="127"/>
      <c r="J742" s="127"/>
      <c r="K742" s="127"/>
      <c r="L742" s="127"/>
      <c r="M742" s="127"/>
      <c r="RG742" s="6"/>
      <c r="RH742" s="6"/>
      <c r="RI742" s="6"/>
      <c r="RJ742" s="6"/>
      <c r="RK742" s="6"/>
      <c r="RL742" s="45"/>
      <c r="RM742" s="4"/>
      <c r="RN742" s="4"/>
      <c r="RO742" s="4"/>
      <c r="RP742" s="6"/>
    </row>
    <row r="743" spans="1:484" x14ac:dyDescent="0.25">
      <c r="A743" s="46"/>
      <c r="B743" s="47"/>
      <c r="C743" s="127"/>
      <c r="D743" s="127"/>
      <c r="E743" s="127"/>
      <c r="F743" s="127"/>
      <c r="G743" s="127"/>
      <c r="H743" s="127"/>
      <c r="I743" s="127"/>
      <c r="J743" s="127"/>
      <c r="K743" s="127"/>
      <c r="L743" s="127"/>
      <c r="M743" s="127"/>
      <c r="RG743" s="6"/>
      <c r="RH743" s="6"/>
      <c r="RI743" s="6"/>
      <c r="RJ743" s="6"/>
      <c r="RK743" s="6"/>
      <c r="RL743" s="45"/>
      <c r="RM743" s="4"/>
      <c r="RN743" s="4"/>
      <c r="RO743" s="4"/>
      <c r="RP743" s="6"/>
    </row>
    <row r="744" spans="1:484" x14ac:dyDescent="0.25">
      <c r="A744" s="46"/>
      <c r="B744" s="47"/>
      <c r="C744" s="127"/>
      <c r="D744" s="127"/>
      <c r="E744" s="127"/>
      <c r="F744" s="127"/>
      <c r="G744" s="127"/>
      <c r="H744" s="127"/>
      <c r="I744" s="127"/>
      <c r="J744" s="127"/>
      <c r="K744" s="127"/>
      <c r="L744" s="127"/>
      <c r="M744" s="127"/>
      <c r="RG744" s="6"/>
      <c r="RH744" s="6"/>
      <c r="RI744" s="6"/>
      <c r="RJ744" s="6"/>
      <c r="RK744" s="6"/>
      <c r="RL744" s="45"/>
      <c r="RM744" s="4"/>
      <c r="RN744" s="4"/>
      <c r="RO744" s="4"/>
      <c r="RP744" s="6"/>
    </row>
    <row r="745" spans="1:484" x14ac:dyDescent="0.25">
      <c r="A745" s="46"/>
      <c r="B745" s="47"/>
      <c r="C745" s="127"/>
      <c r="D745" s="127"/>
      <c r="E745" s="127"/>
      <c r="F745" s="127"/>
      <c r="G745" s="127"/>
      <c r="H745" s="127"/>
      <c r="I745" s="127"/>
      <c r="J745" s="127"/>
      <c r="K745" s="127"/>
      <c r="L745" s="127"/>
      <c r="M745" s="127"/>
      <c r="RG745" s="6"/>
      <c r="RH745" s="6"/>
      <c r="RI745" s="6"/>
      <c r="RJ745" s="6"/>
      <c r="RK745" s="6"/>
      <c r="RL745" s="45"/>
      <c r="RM745" s="4"/>
      <c r="RN745" s="4"/>
      <c r="RO745" s="4"/>
      <c r="RP745" s="6"/>
    </row>
    <row r="746" spans="1:484" x14ac:dyDescent="0.25">
      <c r="A746" s="46"/>
      <c r="B746" s="47"/>
      <c r="C746" s="127"/>
      <c r="D746" s="127"/>
      <c r="E746" s="127"/>
      <c r="F746" s="127"/>
      <c r="G746" s="127"/>
      <c r="H746" s="127"/>
      <c r="I746" s="127"/>
      <c r="J746" s="127"/>
      <c r="K746" s="127"/>
      <c r="L746" s="127"/>
      <c r="M746" s="127"/>
      <c r="RG746" s="6"/>
      <c r="RH746" s="6"/>
      <c r="RI746" s="6"/>
      <c r="RJ746" s="6"/>
      <c r="RK746" s="6"/>
      <c r="RL746" s="45"/>
      <c r="RM746" s="4"/>
      <c r="RN746" s="4"/>
      <c r="RO746" s="4"/>
      <c r="RP746" s="6"/>
    </row>
    <row r="747" spans="1:484" x14ac:dyDescent="0.25">
      <c r="A747" s="46"/>
      <c r="B747" s="47"/>
      <c r="C747" s="127"/>
      <c r="D747" s="127"/>
      <c r="E747" s="127"/>
      <c r="F747" s="127"/>
      <c r="G747" s="127"/>
      <c r="H747" s="127"/>
      <c r="I747" s="127"/>
      <c r="J747" s="127"/>
      <c r="K747" s="127"/>
      <c r="L747" s="127"/>
      <c r="M747" s="127"/>
      <c r="RG747" s="6"/>
      <c r="RH747" s="6"/>
      <c r="RI747" s="6"/>
      <c r="RJ747" s="6"/>
      <c r="RK747" s="6"/>
      <c r="RL747" s="45"/>
      <c r="RM747" s="4"/>
      <c r="RN747" s="4"/>
      <c r="RO747" s="4"/>
      <c r="RP747" s="6"/>
    </row>
    <row r="748" spans="1:484" x14ac:dyDescent="0.25">
      <c r="A748" s="46"/>
      <c r="B748" s="47"/>
      <c r="C748" s="127"/>
      <c r="D748" s="127"/>
      <c r="E748" s="127"/>
      <c r="F748" s="127"/>
      <c r="G748" s="127"/>
      <c r="H748" s="127"/>
      <c r="I748" s="127"/>
      <c r="J748" s="127"/>
      <c r="K748" s="127"/>
      <c r="L748" s="127"/>
      <c r="M748" s="127"/>
      <c r="RG748" s="6"/>
      <c r="RH748" s="6"/>
      <c r="RI748" s="6"/>
      <c r="RJ748" s="6"/>
      <c r="RK748" s="6"/>
      <c r="RL748" s="45"/>
      <c r="RM748" s="4"/>
      <c r="RN748" s="4"/>
      <c r="RO748" s="4"/>
      <c r="RP748" s="6"/>
    </row>
    <row r="749" spans="1:484" x14ac:dyDescent="0.25">
      <c r="A749" s="46"/>
      <c r="B749" s="47"/>
      <c r="C749" s="127"/>
      <c r="D749" s="127"/>
      <c r="E749" s="127"/>
      <c r="F749" s="127"/>
      <c r="G749" s="127"/>
      <c r="H749" s="127"/>
      <c r="I749" s="127"/>
      <c r="J749" s="127"/>
      <c r="K749" s="127"/>
      <c r="L749" s="127"/>
      <c r="M749" s="127"/>
      <c r="RG749" s="6"/>
      <c r="RH749" s="6"/>
      <c r="RI749" s="6"/>
      <c r="RJ749" s="6"/>
      <c r="RK749" s="6"/>
      <c r="RL749" s="45"/>
      <c r="RM749" s="4"/>
      <c r="RN749" s="4"/>
      <c r="RO749" s="4"/>
      <c r="RP749" s="6"/>
    </row>
    <row r="750" spans="1:484" x14ac:dyDescent="0.25">
      <c r="A750" s="46"/>
      <c r="B750" s="47"/>
      <c r="C750" s="127"/>
      <c r="D750" s="127"/>
      <c r="E750" s="127"/>
      <c r="F750" s="127"/>
      <c r="G750" s="127"/>
      <c r="H750" s="127"/>
      <c r="I750" s="127"/>
      <c r="J750" s="127"/>
      <c r="K750" s="127"/>
      <c r="L750" s="127"/>
      <c r="M750" s="127"/>
      <c r="RG750" s="6"/>
      <c r="RH750" s="6"/>
      <c r="RI750" s="6"/>
      <c r="RJ750" s="6"/>
      <c r="RK750" s="6"/>
      <c r="RL750" s="45"/>
      <c r="RM750" s="4"/>
      <c r="RN750" s="4"/>
      <c r="RO750" s="4"/>
      <c r="RP750" s="6"/>
    </row>
    <row r="751" spans="1:484" x14ac:dyDescent="0.25">
      <c r="A751" s="46"/>
      <c r="B751" s="47"/>
      <c r="C751" s="127"/>
      <c r="D751" s="127"/>
      <c r="E751" s="127"/>
      <c r="F751" s="127"/>
      <c r="G751" s="127"/>
      <c r="H751" s="127"/>
      <c r="I751" s="127"/>
      <c r="J751" s="127"/>
      <c r="K751" s="127"/>
      <c r="L751" s="127"/>
      <c r="M751" s="127"/>
      <c r="RG751" s="6"/>
      <c r="RH751" s="6"/>
      <c r="RI751" s="6"/>
      <c r="RJ751" s="6"/>
      <c r="RK751" s="6"/>
      <c r="RL751" s="45"/>
      <c r="RM751" s="4"/>
      <c r="RN751" s="4"/>
      <c r="RO751" s="4"/>
      <c r="RP751" s="6"/>
    </row>
    <row r="752" spans="1:484" x14ac:dyDescent="0.25">
      <c r="A752" s="46"/>
      <c r="B752" s="47"/>
      <c r="C752" s="127"/>
      <c r="D752" s="127"/>
      <c r="E752" s="127"/>
      <c r="F752" s="127"/>
      <c r="G752" s="127"/>
      <c r="H752" s="127"/>
      <c r="I752" s="127"/>
      <c r="J752" s="127"/>
      <c r="K752" s="127"/>
      <c r="L752" s="127"/>
      <c r="M752" s="127"/>
      <c r="RG752" s="6"/>
      <c r="RH752" s="6"/>
      <c r="RI752" s="6"/>
      <c r="RJ752" s="6"/>
      <c r="RK752" s="6"/>
      <c r="RL752" s="45"/>
      <c r="RM752" s="4"/>
      <c r="RN752" s="4"/>
      <c r="RO752" s="4"/>
      <c r="RP752" s="6"/>
    </row>
    <row r="753" spans="1:484" x14ac:dyDescent="0.25">
      <c r="A753" s="46"/>
      <c r="B753" s="47"/>
      <c r="C753" s="127"/>
      <c r="D753" s="127"/>
      <c r="E753" s="127"/>
      <c r="F753" s="127"/>
      <c r="G753" s="127"/>
      <c r="H753" s="127"/>
      <c r="I753" s="127"/>
      <c r="J753" s="127"/>
      <c r="K753" s="127"/>
      <c r="L753" s="127"/>
      <c r="M753" s="127"/>
      <c r="RG753" s="6"/>
      <c r="RH753" s="6"/>
      <c r="RI753" s="6"/>
      <c r="RJ753" s="6"/>
      <c r="RK753" s="6"/>
      <c r="RL753" s="45"/>
      <c r="RM753" s="4"/>
      <c r="RN753" s="4"/>
      <c r="RO753" s="4"/>
      <c r="RP753" s="6"/>
    </row>
    <row r="754" spans="1:484" x14ac:dyDescent="0.25">
      <c r="A754" s="46"/>
      <c r="B754" s="47"/>
      <c r="C754" s="127"/>
      <c r="D754" s="127"/>
      <c r="E754" s="127"/>
      <c r="F754" s="127"/>
      <c r="G754" s="127"/>
      <c r="H754" s="127"/>
      <c r="I754" s="127"/>
      <c r="J754" s="127"/>
      <c r="K754" s="127"/>
      <c r="L754" s="127"/>
      <c r="M754" s="127"/>
      <c r="RG754" s="6"/>
      <c r="RH754" s="6"/>
      <c r="RI754" s="6"/>
      <c r="RJ754" s="6"/>
      <c r="RK754" s="6"/>
      <c r="RL754" s="45"/>
      <c r="RM754" s="4"/>
      <c r="RN754" s="4"/>
      <c r="RO754" s="4"/>
      <c r="RP754" s="6"/>
    </row>
    <row r="755" spans="1:484" x14ac:dyDescent="0.25">
      <c r="A755" s="46"/>
      <c r="B755" s="47"/>
      <c r="C755" s="127"/>
      <c r="D755" s="127"/>
      <c r="E755" s="127"/>
      <c r="F755" s="127"/>
      <c r="G755" s="127"/>
      <c r="H755" s="127"/>
      <c r="I755" s="127"/>
      <c r="J755" s="127"/>
      <c r="K755" s="127"/>
      <c r="L755" s="127"/>
      <c r="M755" s="127"/>
      <c r="RG755" s="6"/>
      <c r="RH755" s="6"/>
      <c r="RI755" s="6"/>
      <c r="RJ755" s="6"/>
      <c r="RK755" s="6"/>
      <c r="RL755" s="45"/>
      <c r="RM755" s="4"/>
      <c r="RN755" s="4"/>
      <c r="RO755" s="4"/>
      <c r="RP755" s="6"/>
    </row>
    <row r="756" spans="1:484" x14ac:dyDescent="0.25">
      <c r="A756" s="46"/>
      <c r="B756" s="47"/>
      <c r="C756" s="127"/>
      <c r="D756" s="127"/>
      <c r="E756" s="127"/>
      <c r="F756" s="127"/>
      <c r="G756" s="127"/>
      <c r="H756" s="127"/>
      <c r="I756" s="127"/>
      <c r="J756" s="127"/>
      <c r="K756" s="127"/>
      <c r="L756" s="127"/>
      <c r="M756" s="127"/>
      <c r="RG756" s="6"/>
      <c r="RH756" s="6"/>
      <c r="RI756" s="6"/>
      <c r="RJ756" s="6"/>
      <c r="RK756" s="6"/>
      <c r="RL756" s="45"/>
      <c r="RM756" s="4"/>
      <c r="RN756" s="4"/>
      <c r="RO756" s="4"/>
      <c r="RP756" s="6"/>
    </row>
    <row r="757" spans="1:484" x14ac:dyDescent="0.25">
      <c r="A757" s="46"/>
      <c r="B757" s="47"/>
      <c r="C757" s="127"/>
      <c r="D757" s="127"/>
      <c r="E757" s="127"/>
      <c r="F757" s="127"/>
      <c r="G757" s="127"/>
      <c r="H757" s="127"/>
      <c r="I757" s="127"/>
      <c r="J757" s="127"/>
      <c r="K757" s="127"/>
      <c r="L757" s="127"/>
      <c r="M757" s="127"/>
      <c r="RG757" s="6"/>
      <c r="RH757" s="6"/>
      <c r="RI757" s="6"/>
      <c r="RJ757" s="6"/>
      <c r="RK757" s="6"/>
      <c r="RL757" s="45"/>
      <c r="RM757" s="4"/>
      <c r="RN757" s="4"/>
      <c r="RO757" s="4"/>
      <c r="RP757" s="6"/>
    </row>
    <row r="758" spans="1:484" x14ac:dyDescent="0.25">
      <c r="A758" s="46"/>
      <c r="B758" s="47"/>
      <c r="C758" s="127"/>
      <c r="D758" s="127"/>
      <c r="E758" s="127"/>
      <c r="F758" s="127"/>
      <c r="G758" s="127"/>
      <c r="H758" s="127"/>
      <c r="I758" s="127"/>
      <c r="J758" s="127"/>
      <c r="K758" s="127"/>
      <c r="L758" s="127"/>
      <c r="M758" s="127"/>
      <c r="RG758" s="6"/>
      <c r="RH758" s="6"/>
      <c r="RI758" s="6"/>
      <c r="RJ758" s="6"/>
      <c r="RK758" s="6"/>
      <c r="RL758" s="45"/>
      <c r="RM758" s="4"/>
      <c r="RN758" s="4"/>
      <c r="RO758" s="4"/>
      <c r="RP758" s="6"/>
    </row>
    <row r="759" spans="1:484" x14ac:dyDescent="0.25">
      <c r="A759" s="46"/>
      <c r="B759" s="47"/>
      <c r="C759" s="127"/>
      <c r="D759" s="127"/>
      <c r="E759" s="127"/>
      <c r="F759" s="127"/>
      <c r="G759" s="127"/>
      <c r="H759" s="127"/>
      <c r="I759" s="127"/>
      <c r="J759" s="127"/>
      <c r="K759" s="127"/>
      <c r="L759" s="127"/>
      <c r="M759" s="127"/>
      <c r="RG759" s="6"/>
      <c r="RH759" s="6"/>
      <c r="RI759" s="6"/>
      <c r="RJ759" s="6"/>
      <c r="RK759" s="6"/>
      <c r="RL759" s="45"/>
      <c r="RM759" s="4"/>
      <c r="RN759" s="4"/>
      <c r="RO759" s="4"/>
      <c r="RP759" s="6"/>
    </row>
    <row r="760" spans="1:484" x14ac:dyDescent="0.25">
      <c r="A760" s="46"/>
      <c r="B760" s="47"/>
      <c r="C760" s="127"/>
      <c r="D760" s="127"/>
      <c r="E760" s="127"/>
      <c r="F760" s="127"/>
      <c r="G760" s="127"/>
      <c r="H760" s="127"/>
      <c r="I760" s="127"/>
      <c r="J760" s="127"/>
      <c r="K760" s="127"/>
      <c r="L760" s="127"/>
      <c r="M760" s="127"/>
      <c r="RG760" s="6"/>
      <c r="RH760" s="6"/>
      <c r="RI760" s="6"/>
      <c r="RJ760" s="6"/>
      <c r="RK760" s="6"/>
      <c r="RL760" s="45"/>
      <c r="RM760" s="4"/>
      <c r="RN760" s="4"/>
      <c r="RO760" s="4"/>
      <c r="RP760" s="6"/>
    </row>
    <row r="761" spans="1:484" x14ac:dyDescent="0.25">
      <c r="A761" s="46"/>
      <c r="B761" s="47"/>
      <c r="C761" s="127"/>
      <c r="D761" s="127"/>
      <c r="E761" s="127"/>
      <c r="F761" s="127"/>
      <c r="G761" s="127"/>
      <c r="H761" s="127"/>
      <c r="I761" s="127"/>
      <c r="J761" s="127"/>
      <c r="K761" s="127"/>
      <c r="L761" s="127"/>
      <c r="M761" s="127"/>
      <c r="RG761" s="6"/>
      <c r="RH761" s="6"/>
      <c r="RI761" s="6"/>
      <c r="RJ761" s="6"/>
      <c r="RK761" s="6"/>
      <c r="RL761" s="45"/>
      <c r="RM761" s="4"/>
      <c r="RN761" s="4"/>
      <c r="RO761" s="4"/>
      <c r="RP761" s="6"/>
    </row>
    <row r="762" spans="1:484" x14ac:dyDescent="0.25">
      <c r="A762" s="46"/>
      <c r="B762" s="47"/>
      <c r="C762" s="127"/>
      <c r="D762" s="127"/>
      <c r="E762" s="127"/>
      <c r="F762" s="127"/>
      <c r="G762" s="127"/>
      <c r="H762" s="127"/>
      <c r="I762" s="127"/>
      <c r="J762" s="127"/>
      <c r="K762" s="127"/>
      <c r="L762" s="127"/>
      <c r="M762" s="127"/>
      <c r="RG762" s="6"/>
      <c r="RH762" s="6"/>
      <c r="RI762" s="6"/>
      <c r="RJ762" s="6"/>
      <c r="RK762" s="6"/>
      <c r="RL762" s="45"/>
      <c r="RM762" s="4"/>
      <c r="RN762" s="4"/>
      <c r="RO762" s="4"/>
      <c r="RP762" s="6"/>
    </row>
    <row r="763" spans="1:484" x14ac:dyDescent="0.25">
      <c r="A763" s="46"/>
      <c r="B763" s="47"/>
      <c r="C763" s="127"/>
      <c r="D763" s="127"/>
      <c r="E763" s="127"/>
      <c r="F763" s="127"/>
      <c r="G763" s="127"/>
      <c r="H763" s="127"/>
      <c r="I763" s="127"/>
      <c r="J763" s="127"/>
      <c r="K763" s="127"/>
      <c r="L763" s="127"/>
      <c r="M763" s="127"/>
      <c r="RG763" s="6"/>
      <c r="RH763" s="6"/>
      <c r="RI763" s="6"/>
      <c r="RJ763" s="6"/>
      <c r="RK763" s="6"/>
      <c r="RL763" s="45"/>
      <c r="RM763" s="4"/>
      <c r="RN763" s="4"/>
      <c r="RO763" s="4"/>
      <c r="RP763" s="6"/>
    </row>
    <row r="764" spans="1:484" x14ac:dyDescent="0.25">
      <c r="A764" s="46"/>
      <c r="B764" s="47"/>
      <c r="C764" s="127"/>
      <c r="D764" s="127"/>
      <c r="E764" s="127"/>
      <c r="F764" s="127"/>
      <c r="G764" s="127"/>
      <c r="H764" s="127"/>
      <c r="I764" s="127"/>
      <c r="J764" s="127"/>
      <c r="K764" s="127"/>
      <c r="L764" s="127"/>
      <c r="M764" s="127"/>
      <c r="RG764" s="6"/>
      <c r="RH764" s="6"/>
      <c r="RI764" s="6"/>
      <c r="RJ764" s="6"/>
      <c r="RK764" s="6"/>
      <c r="RL764" s="45"/>
      <c r="RM764" s="4"/>
      <c r="RN764" s="4"/>
      <c r="RO764" s="4"/>
      <c r="RP764" s="6"/>
    </row>
    <row r="765" spans="1:484" x14ac:dyDescent="0.25">
      <c r="A765" s="46"/>
      <c r="B765" s="47"/>
      <c r="C765" s="127"/>
      <c r="D765" s="127"/>
      <c r="E765" s="127"/>
      <c r="F765" s="127"/>
      <c r="G765" s="127"/>
      <c r="H765" s="127"/>
      <c r="I765" s="127"/>
      <c r="J765" s="127"/>
      <c r="K765" s="127"/>
      <c r="L765" s="127"/>
      <c r="M765" s="127"/>
      <c r="RG765" s="6"/>
      <c r="RH765" s="6"/>
      <c r="RI765" s="6"/>
      <c r="RJ765" s="6"/>
      <c r="RK765" s="6"/>
      <c r="RL765" s="45"/>
      <c r="RM765" s="4"/>
      <c r="RN765" s="4"/>
      <c r="RO765" s="4"/>
      <c r="RP765" s="6"/>
    </row>
    <row r="766" spans="1:484" x14ac:dyDescent="0.25">
      <c r="A766" s="46"/>
      <c r="B766" s="47"/>
      <c r="C766" s="127"/>
      <c r="D766" s="127"/>
      <c r="E766" s="127"/>
      <c r="F766" s="127"/>
      <c r="G766" s="127"/>
      <c r="H766" s="127"/>
      <c r="I766" s="127"/>
      <c r="J766" s="127"/>
      <c r="K766" s="127"/>
      <c r="L766" s="127"/>
      <c r="M766" s="127"/>
      <c r="RG766" s="6"/>
      <c r="RH766" s="6"/>
      <c r="RI766" s="6"/>
      <c r="RJ766" s="6"/>
      <c r="RK766" s="6"/>
      <c r="RL766" s="45"/>
      <c r="RM766" s="4"/>
      <c r="RN766" s="4"/>
      <c r="RO766" s="4"/>
      <c r="RP766" s="6"/>
    </row>
    <row r="767" spans="1:484" x14ac:dyDescent="0.25">
      <c r="A767" s="46"/>
      <c r="B767" s="47"/>
      <c r="C767" s="127"/>
      <c r="D767" s="127"/>
      <c r="E767" s="127"/>
      <c r="F767" s="127"/>
      <c r="G767" s="127"/>
      <c r="H767" s="127"/>
      <c r="I767" s="127"/>
      <c r="J767" s="127"/>
      <c r="K767" s="127"/>
      <c r="L767" s="127"/>
      <c r="M767" s="127"/>
      <c r="RG767" s="6"/>
      <c r="RH767" s="6"/>
      <c r="RI767" s="6"/>
      <c r="RJ767" s="6"/>
      <c r="RK767" s="6"/>
      <c r="RL767" s="45"/>
      <c r="RM767" s="4"/>
      <c r="RN767" s="4"/>
      <c r="RO767" s="4"/>
      <c r="RP767" s="6"/>
    </row>
    <row r="768" spans="1:484" x14ac:dyDescent="0.25">
      <c r="A768" s="46"/>
      <c r="B768" s="47"/>
      <c r="C768" s="127"/>
      <c r="D768" s="127"/>
      <c r="E768" s="127"/>
      <c r="F768" s="127"/>
      <c r="G768" s="127"/>
      <c r="H768" s="127"/>
      <c r="I768" s="127"/>
      <c r="J768" s="127"/>
      <c r="K768" s="127"/>
      <c r="L768" s="127"/>
      <c r="M768" s="127"/>
      <c r="RG768" s="6"/>
      <c r="RH768" s="6"/>
      <c r="RI768" s="6"/>
      <c r="RJ768" s="6"/>
      <c r="RK768" s="6"/>
      <c r="RL768" s="45"/>
      <c r="RM768" s="4"/>
      <c r="RN768" s="4"/>
      <c r="RO768" s="4"/>
      <c r="RP768" s="6"/>
    </row>
    <row r="769" spans="1:484" x14ac:dyDescent="0.25">
      <c r="A769" s="46"/>
      <c r="B769" s="47"/>
      <c r="C769" s="127"/>
      <c r="D769" s="127"/>
      <c r="E769" s="127"/>
      <c r="F769" s="127"/>
      <c r="G769" s="127"/>
      <c r="H769" s="127"/>
      <c r="I769" s="127"/>
      <c r="J769" s="127"/>
      <c r="K769" s="127"/>
      <c r="L769" s="127"/>
      <c r="M769" s="127"/>
      <c r="RG769" s="6"/>
      <c r="RH769" s="6"/>
      <c r="RI769" s="6"/>
      <c r="RJ769" s="6"/>
      <c r="RK769" s="6"/>
      <c r="RL769" s="45"/>
      <c r="RM769" s="4"/>
      <c r="RN769" s="4"/>
      <c r="RO769" s="4"/>
      <c r="RP769" s="6"/>
    </row>
    <row r="770" spans="1:484" x14ac:dyDescent="0.25">
      <c r="A770" s="46"/>
      <c r="B770" s="47"/>
      <c r="C770" s="127"/>
      <c r="D770" s="127"/>
      <c r="E770" s="127"/>
      <c r="F770" s="127"/>
      <c r="G770" s="127"/>
      <c r="H770" s="127"/>
      <c r="I770" s="127"/>
      <c r="J770" s="127"/>
      <c r="K770" s="127"/>
      <c r="L770" s="127"/>
      <c r="M770" s="127"/>
      <c r="RG770" s="6"/>
      <c r="RH770" s="6"/>
      <c r="RI770" s="6"/>
      <c r="RJ770" s="6"/>
      <c r="RK770" s="6"/>
      <c r="RL770" s="45"/>
      <c r="RM770" s="4"/>
      <c r="RN770" s="4"/>
      <c r="RO770" s="4"/>
      <c r="RP770" s="6"/>
    </row>
    <row r="771" spans="1:484" x14ac:dyDescent="0.25">
      <c r="A771" s="46"/>
      <c r="B771" s="47"/>
      <c r="C771" s="127"/>
      <c r="D771" s="127"/>
      <c r="E771" s="127"/>
      <c r="F771" s="127"/>
      <c r="G771" s="127"/>
      <c r="H771" s="127"/>
      <c r="I771" s="127"/>
      <c r="J771" s="127"/>
      <c r="K771" s="127"/>
      <c r="L771" s="127"/>
      <c r="M771" s="127"/>
      <c r="RG771" s="6"/>
      <c r="RH771" s="6"/>
      <c r="RI771" s="6"/>
      <c r="RJ771" s="6"/>
      <c r="RK771" s="6"/>
      <c r="RL771" s="45"/>
      <c r="RM771" s="4"/>
      <c r="RN771" s="4"/>
      <c r="RO771" s="4"/>
      <c r="RP771" s="6"/>
    </row>
    <row r="772" spans="1:484" x14ac:dyDescent="0.25">
      <c r="A772" s="46"/>
      <c r="B772" s="47"/>
      <c r="C772" s="127"/>
      <c r="D772" s="127"/>
      <c r="E772" s="127"/>
      <c r="F772" s="127"/>
      <c r="G772" s="127"/>
      <c r="H772" s="127"/>
      <c r="I772" s="127"/>
      <c r="J772" s="127"/>
      <c r="K772" s="127"/>
      <c r="L772" s="127"/>
      <c r="M772" s="127"/>
      <c r="RG772" s="6"/>
      <c r="RH772" s="6"/>
      <c r="RI772" s="6"/>
      <c r="RJ772" s="6"/>
      <c r="RK772" s="6"/>
      <c r="RL772" s="45"/>
      <c r="RM772" s="4"/>
      <c r="RN772" s="4"/>
      <c r="RO772" s="4"/>
      <c r="RP772" s="6"/>
    </row>
    <row r="773" spans="1:484" x14ac:dyDescent="0.25">
      <c r="A773" s="46"/>
      <c r="B773" s="47"/>
      <c r="C773" s="127"/>
      <c r="D773" s="127"/>
      <c r="E773" s="127"/>
      <c r="F773" s="127"/>
      <c r="G773" s="127"/>
      <c r="H773" s="127"/>
      <c r="I773" s="127"/>
      <c r="J773" s="127"/>
      <c r="K773" s="127"/>
      <c r="L773" s="127"/>
      <c r="M773" s="127"/>
      <c r="RG773" s="6"/>
      <c r="RH773" s="6"/>
      <c r="RI773" s="6"/>
      <c r="RJ773" s="6"/>
      <c r="RK773" s="6"/>
      <c r="RL773" s="45"/>
      <c r="RM773" s="4"/>
      <c r="RN773" s="4"/>
      <c r="RO773" s="4"/>
      <c r="RP773" s="6"/>
    </row>
    <row r="774" spans="1:484" x14ac:dyDescent="0.25">
      <c r="A774" s="46"/>
      <c r="B774" s="47"/>
      <c r="C774" s="127"/>
      <c r="D774" s="127"/>
      <c r="E774" s="127"/>
      <c r="F774" s="127"/>
      <c r="G774" s="127"/>
      <c r="H774" s="127"/>
      <c r="I774" s="127"/>
      <c r="J774" s="127"/>
      <c r="K774" s="127"/>
      <c r="L774" s="127"/>
      <c r="M774" s="127"/>
      <c r="RG774" s="6"/>
      <c r="RH774" s="6"/>
      <c r="RI774" s="6"/>
      <c r="RJ774" s="6"/>
      <c r="RK774" s="6"/>
      <c r="RL774" s="45"/>
      <c r="RM774" s="4"/>
      <c r="RN774" s="4"/>
      <c r="RO774" s="4"/>
      <c r="RP774" s="6"/>
    </row>
    <row r="775" spans="1:484" x14ac:dyDescent="0.25">
      <c r="A775" s="46"/>
      <c r="B775" s="47"/>
      <c r="C775" s="127"/>
      <c r="D775" s="127"/>
      <c r="E775" s="127"/>
      <c r="F775" s="127"/>
      <c r="G775" s="127"/>
      <c r="H775" s="127"/>
      <c r="I775" s="127"/>
      <c r="J775" s="127"/>
      <c r="K775" s="127"/>
      <c r="L775" s="127"/>
      <c r="M775" s="127"/>
      <c r="RG775" s="6"/>
      <c r="RH775" s="6"/>
      <c r="RI775" s="6"/>
      <c r="RJ775" s="6"/>
      <c r="RK775" s="6"/>
      <c r="RL775" s="45"/>
      <c r="RM775" s="4"/>
      <c r="RN775" s="4"/>
      <c r="RO775" s="4"/>
      <c r="RP775" s="6"/>
    </row>
    <row r="776" spans="1:484" x14ac:dyDescent="0.25">
      <c r="A776" s="46"/>
      <c r="B776" s="47"/>
      <c r="C776" s="127"/>
      <c r="D776" s="127"/>
      <c r="E776" s="127"/>
      <c r="F776" s="127"/>
      <c r="G776" s="127"/>
      <c r="H776" s="127"/>
      <c r="I776" s="127"/>
      <c r="J776" s="127"/>
      <c r="K776" s="127"/>
      <c r="L776" s="127"/>
      <c r="M776" s="127"/>
      <c r="RG776" s="6"/>
      <c r="RH776" s="6"/>
      <c r="RI776" s="6"/>
      <c r="RJ776" s="6"/>
      <c r="RK776" s="6"/>
      <c r="RL776" s="45"/>
      <c r="RM776" s="4"/>
      <c r="RN776" s="4"/>
      <c r="RO776" s="4"/>
      <c r="RP776" s="6"/>
    </row>
    <row r="777" spans="1:484" x14ac:dyDescent="0.25">
      <c r="A777" s="46"/>
      <c r="B777" s="47"/>
      <c r="C777" s="127"/>
      <c r="D777" s="127"/>
      <c r="E777" s="127"/>
      <c r="F777" s="127"/>
      <c r="G777" s="127"/>
      <c r="H777" s="127"/>
      <c r="I777" s="127"/>
      <c r="J777" s="127"/>
      <c r="K777" s="127"/>
      <c r="L777" s="127"/>
      <c r="M777" s="127"/>
      <c r="RG777" s="6"/>
      <c r="RH777" s="6"/>
      <c r="RI777" s="6"/>
      <c r="RJ777" s="6"/>
      <c r="RK777" s="6"/>
      <c r="RL777" s="45"/>
      <c r="RM777" s="4"/>
      <c r="RN777" s="4"/>
      <c r="RO777" s="4"/>
      <c r="RP777" s="6"/>
    </row>
    <row r="778" spans="1:484" x14ac:dyDescent="0.25">
      <c r="A778" s="46"/>
      <c r="B778" s="47"/>
      <c r="C778" s="127"/>
      <c r="D778" s="127"/>
      <c r="E778" s="127"/>
      <c r="F778" s="127"/>
      <c r="G778" s="127"/>
      <c r="H778" s="127"/>
      <c r="I778" s="127"/>
      <c r="J778" s="127"/>
      <c r="K778" s="127"/>
      <c r="L778" s="127"/>
      <c r="M778" s="127"/>
      <c r="RG778" s="6"/>
      <c r="RH778" s="6"/>
      <c r="RI778" s="6"/>
      <c r="RJ778" s="6"/>
      <c r="RK778" s="6"/>
      <c r="RL778" s="45"/>
      <c r="RM778" s="4"/>
      <c r="RN778" s="4"/>
      <c r="RO778" s="4"/>
      <c r="RP778" s="6"/>
    </row>
    <row r="779" spans="1:484" x14ac:dyDescent="0.25">
      <c r="A779" s="46"/>
      <c r="B779" s="47"/>
      <c r="C779" s="127"/>
      <c r="D779" s="127"/>
      <c r="E779" s="127"/>
      <c r="F779" s="127"/>
      <c r="G779" s="127"/>
      <c r="H779" s="127"/>
      <c r="I779" s="127"/>
      <c r="J779" s="127"/>
      <c r="K779" s="127"/>
      <c r="L779" s="127"/>
      <c r="M779" s="127"/>
      <c r="RG779" s="6"/>
      <c r="RH779" s="6"/>
      <c r="RI779" s="6"/>
      <c r="RJ779" s="6"/>
      <c r="RK779" s="6"/>
      <c r="RL779" s="45"/>
      <c r="RM779" s="4"/>
      <c r="RN779" s="4"/>
      <c r="RO779" s="4"/>
      <c r="RP779" s="6"/>
    </row>
    <row r="780" spans="1:484" x14ac:dyDescent="0.25">
      <c r="A780" s="46"/>
      <c r="B780" s="47"/>
      <c r="C780" s="127"/>
      <c r="D780" s="127"/>
      <c r="E780" s="127"/>
      <c r="F780" s="127"/>
      <c r="G780" s="127"/>
      <c r="H780" s="127"/>
      <c r="I780" s="127"/>
      <c r="J780" s="127"/>
      <c r="K780" s="127"/>
      <c r="L780" s="127"/>
      <c r="M780" s="127"/>
      <c r="RG780" s="6"/>
      <c r="RH780" s="6"/>
      <c r="RI780" s="6"/>
      <c r="RJ780" s="6"/>
      <c r="RK780" s="6"/>
      <c r="RL780" s="45"/>
      <c r="RM780" s="4"/>
      <c r="RN780" s="4"/>
      <c r="RO780" s="4"/>
      <c r="RP780" s="6"/>
    </row>
    <row r="781" spans="1:484" x14ac:dyDescent="0.25">
      <c r="A781" s="46"/>
      <c r="B781" s="47"/>
      <c r="C781" s="127"/>
      <c r="D781" s="127"/>
      <c r="E781" s="127"/>
      <c r="F781" s="127"/>
      <c r="G781" s="127"/>
      <c r="H781" s="127"/>
      <c r="I781" s="127"/>
      <c r="J781" s="127"/>
      <c r="K781" s="127"/>
      <c r="L781" s="127"/>
      <c r="M781" s="127"/>
      <c r="RG781" s="6"/>
      <c r="RH781" s="6"/>
      <c r="RI781" s="6"/>
      <c r="RJ781" s="6"/>
      <c r="RK781" s="6"/>
      <c r="RL781" s="45"/>
      <c r="RM781" s="4"/>
      <c r="RN781" s="4"/>
      <c r="RO781" s="4"/>
      <c r="RP781" s="6"/>
    </row>
    <row r="782" spans="1:484" x14ac:dyDescent="0.25">
      <c r="A782" s="46"/>
      <c r="B782" s="47"/>
      <c r="C782" s="127"/>
      <c r="D782" s="127"/>
      <c r="E782" s="127"/>
      <c r="F782" s="127"/>
      <c r="G782" s="127"/>
      <c r="H782" s="127"/>
      <c r="I782" s="127"/>
      <c r="J782" s="127"/>
      <c r="K782" s="127"/>
      <c r="L782" s="127"/>
      <c r="M782" s="127"/>
      <c r="RG782" s="6"/>
      <c r="RH782" s="6"/>
      <c r="RI782" s="6"/>
      <c r="RJ782" s="6"/>
      <c r="RK782" s="6"/>
      <c r="RL782" s="45"/>
      <c r="RM782" s="4"/>
      <c r="RN782" s="4"/>
      <c r="RO782" s="4"/>
      <c r="RP782" s="6"/>
    </row>
    <row r="783" spans="1:484" x14ac:dyDescent="0.25">
      <c r="A783" s="46"/>
      <c r="B783" s="47"/>
      <c r="C783" s="127"/>
      <c r="D783" s="127"/>
      <c r="E783" s="127"/>
      <c r="F783" s="127"/>
      <c r="G783" s="127"/>
      <c r="H783" s="127"/>
      <c r="I783" s="127"/>
      <c r="J783" s="127"/>
      <c r="K783" s="127"/>
      <c r="L783" s="127"/>
      <c r="M783" s="127"/>
      <c r="RG783" s="6"/>
      <c r="RH783" s="6"/>
      <c r="RI783" s="6"/>
      <c r="RJ783" s="6"/>
      <c r="RK783" s="6"/>
      <c r="RL783" s="45"/>
      <c r="RM783" s="4"/>
      <c r="RN783" s="4"/>
      <c r="RO783" s="4"/>
      <c r="RP783" s="6"/>
    </row>
    <row r="784" spans="1:484" x14ac:dyDescent="0.25">
      <c r="A784" s="46"/>
      <c r="B784" s="47"/>
      <c r="C784" s="127"/>
      <c r="D784" s="127"/>
      <c r="E784" s="127"/>
      <c r="F784" s="127"/>
      <c r="G784" s="127"/>
      <c r="H784" s="127"/>
      <c r="I784" s="127"/>
      <c r="J784" s="127"/>
      <c r="K784" s="127"/>
      <c r="L784" s="127"/>
      <c r="M784" s="127"/>
      <c r="RG784" s="6"/>
      <c r="RH784" s="6"/>
      <c r="RI784" s="6"/>
      <c r="RJ784" s="6"/>
      <c r="RK784" s="6"/>
      <c r="RL784" s="45"/>
      <c r="RM784" s="4"/>
      <c r="RN784" s="4"/>
      <c r="RO784" s="4"/>
      <c r="RP784" s="6"/>
    </row>
    <row r="785" spans="1:484" x14ac:dyDescent="0.25">
      <c r="A785" s="46"/>
      <c r="B785" s="47"/>
      <c r="C785" s="127"/>
      <c r="D785" s="127"/>
      <c r="E785" s="127"/>
      <c r="F785" s="127"/>
      <c r="G785" s="127"/>
      <c r="H785" s="127"/>
      <c r="I785" s="127"/>
      <c r="J785" s="127"/>
      <c r="K785" s="127"/>
      <c r="L785" s="127"/>
      <c r="M785" s="127"/>
      <c r="RG785" s="6"/>
      <c r="RH785" s="6"/>
      <c r="RI785" s="6"/>
      <c r="RJ785" s="6"/>
      <c r="RK785" s="6"/>
      <c r="RL785" s="45"/>
      <c r="RM785" s="4"/>
      <c r="RN785" s="4"/>
      <c r="RO785" s="4"/>
      <c r="RP785" s="6"/>
    </row>
    <row r="786" spans="1:484" x14ac:dyDescent="0.25">
      <c r="A786" s="46"/>
      <c r="B786" s="47"/>
      <c r="C786" s="127"/>
      <c r="D786" s="127"/>
      <c r="E786" s="127"/>
      <c r="F786" s="127"/>
      <c r="G786" s="127"/>
      <c r="H786" s="127"/>
      <c r="I786" s="127"/>
      <c r="J786" s="127"/>
      <c r="K786" s="127"/>
      <c r="L786" s="127"/>
      <c r="M786" s="127"/>
      <c r="RG786" s="6"/>
      <c r="RH786" s="6"/>
      <c r="RI786" s="6"/>
      <c r="RJ786" s="6"/>
      <c r="RK786" s="6"/>
      <c r="RL786" s="45"/>
      <c r="RM786" s="4"/>
      <c r="RN786" s="4"/>
      <c r="RO786" s="4"/>
      <c r="RP786" s="6"/>
    </row>
    <row r="787" spans="1:484" x14ac:dyDescent="0.25">
      <c r="A787" s="46"/>
      <c r="B787" s="47"/>
      <c r="C787" s="127"/>
      <c r="D787" s="127"/>
      <c r="E787" s="127"/>
      <c r="F787" s="127"/>
      <c r="G787" s="127"/>
      <c r="H787" s="127"/>
      <c r="I787" s="127"/>
      <c r="J787" s="127"/>
      <c r="K787" s="127"/>
      <c r="L787" s="127"/>
      <c r="M787" s="127"/>
      <c r="RG787" s="6"/>
      <c r="RH787" s="6"/>
      <c r="RI787" s="6"/>
      <c r="RJ787" s="6"/>
      <c r="RK787" s="6"/>
      <c r="RL787" s="45"/>
      <c r="RM787" s="4"/>
      <c r="RN787" s="4"/>
      <c r="RO787" s="4"/>
      <c r="RP787" s="6"/>
    </row>
    <row r="788" spans="1:484" x14ac:dyDescent="0.25">
      <c r="A788" s="46"/>
      <c r="B788" s="47"/>
      <c r="C788" s="127"/>
      <c r="D788" s="127"/>
      <c r="E788" s="127"/>
      <c r="F788" s="127"/>
      <c r="G788" s="127"/>
      <c r="H788" s="127"/>
      <c r="I788" s="127"/>
      <c r="J788" s="127"/>
      <c r="K788" s="127"/>
      <c r="L788" s="127"/>
      <c r="M788" s="127"/>
      <c r="RG788" s="6"/>
      <c r="RH788" s="6"/>
      <c r="RI788" s="6"/>
      <c r="RJ788" s="6"/>
      <c r="RK788" s="6"/>
      <c r="RL788" s="45"/>
      <c r="RM788" s="4"/>
      <c r="RN788" s="4"/>
      <c r="RO788" s="4"/>
      <c r="RP788" s="6"/>
    </row>
    <row r="789" spans="1:484" x14ac:dyDescent="0.25">
      <c r="A789" s="46"/>
      <c r="B789" s="47"/>
      <c r="C789" s="127"/>
      <c r="D789" s="127"/>
      <c r="E789" s="127"/>
      <c r="F789" s="127"/>
      <c r="G789" s="127"/>
      <c r="H789" s="127"/>
      <c r="I789" s="127"/>
      <c r="J789" s="127"/>
      <c r="K789" s="127"/>
      <c r="L789" s="127"/>
      <c r="M789" s="127"/>
      <c r="RG789" s="6"/>
      <c r="RH789" s="6"/>
      <c r="RI789" s="6"/>
      <c r="RJ789" s="6"/>
      <c r="RK789" s="6"/>
      <c r="RL789" s="45"/>
      <c r="RM789" s="4"/>
      <c r="RN789" s="4"/>
      <c r="RO789" s="4"/>
      <c r="RP789" s="6"/>
    </row>
    <row r="790" spans="1:484" x14ac:dyDescent="0.25">
      <c r="A790" s="46"/>
      <c r="B790" s="47"/>
      <c r="C790" s="127"/>
      <c r="D790" s="127"/>
      <c r="E790" s="127"/>
      <c r="F790" s="127"/>
      <c r="G790" s="127"/>
      <c r="H790" s="127"/>
      <c r="I790" s="127"/>
      <c r="J790" s="127"/>
      <c r="K790" s="127"/>
      <c r="L790" s="127"/>
      <c r="M790" s="127"/>
      <c r="RG790" s="6"/>
      <c r="RH790" s="6"/>
      <c r="RI790" s="6"/>
      <c r="RJ790" s="6"/>
      <c r="RK790" s="6"/>
      <c r="RL790" s="45"/>
      <c r="RM790" s="4"/>
      <c r="RN790" s="4"/>
      <c r="RO790" s="4"/>
      <c r="RP790" s="6"/>
    </row>
    <row r="791" spans="1:484" x14ac:dyDescent="0.25">
      <c r="A791" s="46"/>
      <c r="B791" s="47"/>
      <c r="C791" s="127"/>
      <c r="D791" s="127"/>
      <c r="E791" s="127"/>
      <c r="F791" s="127"/>
      <c r="G791" s="127"/>
      <c r="H791" s="127"/>
      <c r="I791" s="127"/>
      <c r="J791" s="127"/>
      <c r="K791" s="127"/>
      <c r="L791" s="127"/>
      <c r="M791" s="127"/>
      <c r="RG791" s="6"/>
      <c r="RH791" s="6"/>
      <c r="RI791" s="6"/>
      <c r="RJ791" s="6"/>
      <c r="RK791" s="6"/>
      <c r="RL791" s="45"/>
      <c r="RM791" s="4"/>
      <c r="RN791" s="4"/>
      <c r="RO791" s="4"/>
      <c r="RP791" s="6"/>
    </row>
    <row r="792" spans="1:484" x14ac:dyDescent="0.25">
      <c r="A792" s="46"/>
      <c r="B792" s="47"/>
      <c r="C792" s="127"/>
      <c r="D792" s="127"/>
      <c r="E792" s="127"/>
      <c r="F792" s="127"/>
      <c r="G792" s="127"/>
      <c r="H792" s="127"/>
      <c r="I792" s="127"/>
      <c r="J792" s="127"/>
      <c r="K792" s="127"/>
      <c r="L792" s="127"/>
      <c r="M792" s="127"/>
      <c r="RG792" s="6"/>
      <c r="RH792" s="6"/>
      <c r="RI792" s="6"/>
      <c r="RJ792" s="6"/>
      <c r="RK792" s="6"/>
      <c r="RL792" s="45"/>
      <c r="RM792" s="4"/>
      <c r="RN792" s="4"/>
      <c r="RO792" s="4"/>
      <c r="RP792" s="6"/>
    </row>
    <row r="793" spans="1:484" x14ac:dyDescent="0.25">
      <c r="A793" s="46"/>
      <c r="B793" s="47"/>
      <c r="C793" s="127"/>
      <c r="D793" s="127"/>
      <c r="E793" s="127"/>
      <c r="F793" s="127"/>
      <c r="G793" s="127"/>
      <c r="H793" s="127"/>
      <c r="I793" s="127"/>
      <c r="J793" s="127"/>
      <c r="K793" s="127"/>
      <c r="L793" s="127"/>
      <c r="M793" s="127"/>
      <c r="RG793" s="6"/>
      <c r="RH793" s="6"/>
      <c r="RI793" s="6"/>
      <c r="RJ793" s="6"/>
      <c r="RK793" s="6"/>
      <c r="RL793" s="45"/>
      <c r="RM793" s="4"/>
      <c r="RN793" s="4"/>
      <c r="RO793" s="4"/>
      <c r="RP793" s="6"/>
    </row>
    <row r="794" spans="1:484" x14ac:dyDescent="0.25">
      <c r="A794" s="46"/>
      <c r="B794" s="47"/>
      <c r="C794" s="127"/>
      <c r="D794" s="127"/>
      <c r="E794" s="127"/>
      <c r="F794" s="127"/>
      <c r="G794" s="127"/>
      <c r="H794" s="127"/>
      <c r="I794" s="127"/>
      <c r="J794" s="127"/>
      <c r="K794" s="127"/>
      <c r="L794" s="127"/>
      <c r="M794" s="127"/>
      <c r="RG794" s="6"/>
      <c r="RH794" s="6"/>
      <c r="RI794" s="6"/>
      <c r="RJ794" s="6"/>
      <c r="RK794" s="6"/>
      <c r="RL794" s="45"/>
      <c r="RM794" s="4"/>
      <c r="RN794" s="4"/>
      <c r="RO794" s="4"/>
      <c r="RP794" s="6"/>
    </row>
    <row r="795" spans="1:484" x14ac:dyDescent="0.25">
      <c r="A795" s="46"/>
      <c r="B795" s="47"/>
      <c r="C795" s="127"/>
      <c r="D795" s="127"/>
      <c r="E795" s="127"/>
      <c r="F795" s="127"/>
      <c r="G795" s="127"/>
      <c r="H795" s="127"/>
      <c r="I795" s="127"/>
      <c r="J795" s="127"/>
      <c r="K795" s="127"/>
      <c r="L795" s="127"/>
      <c r="M795" s="127"/>
      <c r="RG795" s="6"/>
      <c r="RH795" s="6"/>
      <c r="RI795" s="6"/>
      <c r="RJ795" s="6"/>
      <c r="RK795" s="6"/>
      <c r="RL795" s="45"/>
      <c r="RM795" s="4"/>
      <c r="RN795" s="4"/>
      <c r="RO795" s="4"/>
      <c r="RP795" s="6"/>
    </row>
    <row r="796" spans="1:484" x14ac:dyDescent="0.25">
      <c r="A796" s="46"/>
      <c r="B796" s="47"/>
      <c r="C796" s="127"/>
      <c r="D796" s="127"/>
      <c r="E796" s="127"/>
      <c r="F796" s="127"/>
      <c r="G796" s="127"/>
      <c r="H796" s="127"/>
      <c r="I796" s="127"/>
      <c r="J796" s="127"/>
      <c r="K796" s="127"/>
      <c r="L796" s="127"/>
      <c r="M796" s="127"/>
      <c r="RG796" s="6"/>
      <c r="RH796" s="6"/>
      <c r="RI796" s="6"/>
      <c r="RJ796" s="6"/>
      <c r="RK796" s="6"/>
      <c r="RL796" s="45"/>
      <c r="RM796" s="4"/>
      <c r="RN796" s="4"/>
      <c r="RO796" s="4"/>
      <c r="RP796" s="6"/>
    </row>
    <row r="797" spans="1:484" x14ac:dyDescent="0.25">
      <c r="A797" s="46"/>
      <c r="B797" s="47"/>
      <c r="C797" s="127"/>
      <c r="D797" s="127"/>
      <c r="E797" s="127"/>
      <c r="F797" s="127"/>
      <c r="G797" s="127"/>
      <c r="H797" s="127"/>
      <c r="I797" s="127"/>
      <c r="J797" s="127"/>
      <c r="K797" s="127"/>
      <c r="L797" s="127"/>
      <c r="M797" s="127"/>
      <c r="RG797" s="6"/>
      <c r="RH797" s="6"/>
      <c r="RI797" s="6"/>
      <c r="RJ797" s="6"/>
      <c r="RK797" s="6"/>
      <c r="RL797" s="45"/>
      <c r="RM797" s="4"/>
      <c r="RN797" s="4"/>
      <c r="RO797" s="4"/>
      <c r="RP797" s="6"/>
    </row>
    <row r="798" spans="1:484" x14ac:dyDescent="0.25">
      <c r="A798" s="46"/>
      <c r="B798" s="47"/>
      <c r="C798" s="127"/>
      <c r="D798" s="127"/>
      <c r="E798" s="127"/>
      <c r="F798" s="127"/>
      <c r="G798" s="127"/>
      <c r="H798" s="127"/>
      <c r="I798" s="127"/>
      <c r="J798" s="127"/>
      <c r="K798" s="127"/>
      <c r="L798" s="127"/>
      <c r="M798" s="127"/>
      <c r="RG798" s="6"/>
      <c r="RH798" s="6"/>
      <c r="RI798" s="6"/>
      <c r="RJ798" s="6"/>
      <c r="RK798" s="6"/>
      <c r="RL798" s="45"/>
      <c r="RM798" s="4"/>
      <c r="RN798" s="4"/>
      <c r="RO798" s="4"/>
      <c r="RP798" s="6"/>
    </row>
    <row r="799" spans="1:484" x14ac:dyDescent="0.25">
      <c r="A799" s="46"/>
      <c r="B799" s="47"/>
      <c r="C799" s="127"/>
      <c r="D799" s="127"/>
      <c r="E799" s="127"/>
      <c r="F799" s="127"/>
      <c r="G799" s="127"/>
      <c r="H799" s="127"/>
      <c r="I799" s="127"/>
      <c r="J799" s="127"/>
      <c r="K799" s="127"/>
      <c r="L799" s="127"/>
      <c r="M799" s="127"/>
      <c r="RG799" s="6"/>
      <c r="RH799" s="6"/>
      <c r="RI799" s="6"/>
      <c r="RJ799" s="6"/>
      <c r="RK799" s="6"/>
      <c r="RL799" s="45"/>
      <c r="RM799" s="4"/>
      <c r="RN799" s="4"/>
      <c r="RO799" s="4"/>
      <c r="RP799" s="6"/>
    </row>
    <row r="800" spans="1:484" x14ac:dyDescent="0.25">
      <c r="A800" s="46"/>
      <c r="B800" s="47"/>
      <c r="C800" s="127"/>
      <c r="D800" s="127"/>
      <c r="E800" s="127"/>
      <c r="F800" s="127"/>
      <c r="G800" s="127"/>
      <c r="H800" s="127"/>
      <c r="I800" s="127"/>
      <c r="J800" s="127"/>
      <c r="K800" s="127"/>
      <c r="L800" s="127"/>
      <c r="M800" s="127"/>
      <c r="RG800" s="6"/>
      <c r="RH800" s="6"/>
      <c r="RI800" s="6"/>
      <c r="RJ800" s="6"/>
      <c r="RK800" s="6"/>
      <c r="RL800" s="45"/>
      <c r="RM800" s="4"/>
      <c r="RN800" s="4"/>
      <c r="RO800" s="4"/>
      <c r="RP800" s="6"/>
    </row>
    <row r="801" spans="1:484" x14ac:dyDescent="0.25">
      <c r="A801" s="46"/>
      <c r="B801" s="47"/>
      <c r="C801" s="127"/>
      <c r="D801" s="127"/>
      <c r="E801" s="127"/>
      <c r="F801" s="127"/>
      <c r="G801" s="127"/>
      <c r="H801" s="127"/>
      <c r="I801" s="127"/>
      <c r="J801" s="127"/>
      <c r="K801" s="127"/>
      <c r="L801" s="127"/>
      <c r="M801" s="127"/>
      <c r="RG801" s="6"/>
      <c r="RH801" s="6"/>
      <c r="RI801" s="6"/>
      <c r="RJ801" s="6"/>
      <c r="RK801" s="6"/>
      <c r="RL801" s="45"/>
      <c r="RM801" s="4"/>
      <c r="RN801" s="4"/>
      <c r="RO801" s="4"/>
      <c r="RP801" s="6"/>
    </row>
    <row r="802" spans="1:484" x14ac:dyDescent="0.25">
      <c r="A802" s="46"/>
      <c r="B802" s="47"/>
      <c r="C802" s="127"/>
      <c r="D802" s="127"/>
      <c r="E802" s="127"/>
      <c r="F802" s="127"/>
      <c r="G802" s="127"/>
      <c r="H802" s="127"/>
      <c r="I802" s="127"/>
      <c r="J802" s="127"/>
      <c r="K802" s="127"/>
      <c r="L802" s="127"/>
      <c r="M802" s="127"/>
      <c r="RG802" s="6"/>
      <c r="RH802" s="6"/>
      <c r="RI802" s="6"/>
      <c r="RJ802" s="6"/>
      <c r="RK802" s="6"/>
      <c r="RL802" s="45"/>
      <c r="RM802" s="4"/>
      <c r="RN802" s="4"/>
      <c r="RO802" s="4"/>
      <c r="RP802" s="6"/>
    </row>
    <row r="803" spans="1:484" x14ac:dyDescent="0.25">
      <c r="A803" s="46"/>
      <c r="B803" s="47"/>
      <c r="C803" s="127"/>
      <c r="D803" s="127"/>
      <c r="E803" s="127"/>
      <c r="F803" s="127"/>
      <c r="G803" s="127"/>
      <c r="H803" s="127"/>
      <c r="I803" s="127"/>
      <c r="J803" s="127"/>
      <c r="K803" s="127"/>
      <c r="L803" s="127"/>
      <c r="M803" s="127"/>
      <c r="RG803" s="6"/>
      <c r="RH803" s="6"/>
      <c r="RI803" s="6"/>
      <c r="RJ803" s="6"/>
      <c r="RK803" s="6"/>
      <c r="RL803" s="45"/>
      <c r="RM803" s="4"/>
      <c r="RN803" s="4"/>
      <c r="RO803" s="4"/>
      <c r="RP803" s="6"/>
    </row>
    <row r="804" spans="1:484" x14ac:dyDescent="0.25">
      <c r="A804" s="46"/>
      <c r="B804" s="47"/>
      <c r="C804" s="127"/>
      <c r="D804" s="127"/>
      <c r="E804" s="127"/>
      <c r="F804" s="127"/>
      <c r="G804" s="127"/>
      <c r="H804" s="127"/>
      <c r="I804" s="127"/>
      <c r="J804" s="127"/>
      <c r="K804" s="127"/>
      <c r="L804" s="127"/>
      <c r="M804" s="127"/>
      <c r="RG804" s="6"/>
      <c r="RH804" s="6"/>
      <c r="RI804" s="6"/>
      <c r="RJ804" s="6"/>
      <c r="RK804" s="6"/>
      <c r="RL804" s="45"/>
      <c r="RM804" s="4"/>
      <c r="RN804" s="4"/>
      <c r="RO804" s="4"/>
      <c r="RP804" s="6"/>
    </row>
    <row r="805" spans="1:484" x14ac:dyDescent="0.25">
      <c r="A805" s="46"/>
      <c r="B805" s="47"/>
      <c r="C805" s="127"/>
      <c r="D805" s="127"/>
      <c r="E805" s="127"/>
      <c r="F805" s="127"/>
      <c r="G805" s="127"/>
      <c r="H805" s="127"/>
      <c r="I805" s="127"/>
      <c r="J805" s="127"/>
      <c r="K805" s="127"/>
      <c r="L805" s="127"/>
      <c r="M805" s="127"/>
      <c r="RG805" s="6"/>
      <c r="RH805" s="6"/>
      <c r="RI805" s="6"/>
      <c r="RJ805" s="6"/>
      <c r="RK805" s="6"/>
      <c r="RL805" s="45"/>
      <c r="RM805" s="4"/>
      <c r="RN805" s="4"/>
      <c r="RO805" s="4"/>
      <c r="RP805" s="6"/>
    </row>
    <row r="806" spans="1:484" x14ac:dyDescent="0.25">
      <c r="A806" s="46"/>
      <c r="B806" s="47"/>
      <c r="C806" s="127"/>
      <c r="D806" s="127"/>
      <c r="E806" s="127"/>
      <c r="F806" s="127"/>
      <c r="G806" s="127"/>
      <c r="H806" s="127"/>
      <c r="I806" s="127"/>
      <c r="J806" s="127"/>
      <c r="K806" s="127"/>
      <c r="L806" s="127"/>
      <c r="M806" s="127"/>
      <c r="RG806" s="6"/>
      <c r="RH806" s="6"/>
      <c r="RI806" s="6"/>
      <c r="RJ806" s="6"/>
      <c r="RK806" s="6"/>
      <c r="RL806" s="45"/>
      <c r="RM806" s="4"/>
      <c r="RN806" s="4"/>
      <c r="RO806" s="4"/>
      <c r="RP806" s="6"/>
    </row>
    <row r="807" spans="1:484" x14ac:dyDescent="0.25">
      <c r="A807" s="46"/>
      <c r="B807" s="47"/>
      <c r="C807" s="127"/>
      <c r="D807" s="127"/>
      <c r="E807" s="127"/>
      <c r="F807" s="127"/>
      <c r="G807" s="127"/>
      <c r="H807" s="127"/>
      <c r="I807" s="127"/>
      <c r="J807" s="127"/>
      <c r="K807" s="127"/>
      <c r="L807" s="127"/>
      <c r="M807" s="127"/>
      <c r="RG807" s="6"/>
      <c r="RH807" s="6"/>
      <c r="RI807" s="6"/>
      <c r="RJ807" s="6"/>
      <c r="RK807" s="6"/>
      <c r="RL807" s="45"/>
      <c r="RM807" s="4"/>
      <c r="RN807" s="4"/>
      <c r="RO807" s="4"/>
      <c r="RP807" s="6"/>
    </row>
    <row r="808" spans="1:484" x14ac:dyDescent="0.25">
      <c r="A808" s="46"/>
      <c r="B808" s="47"/>
      <c r="C808" s="127"/>
      <c r="D808" s="127"/>
      <c r="E808" s="127"/>
      <c r="F808" s="127"/>
      <c r="G808" s="127"/>
      <c r="H808" s="127"/>
      <c r="I808" s="127"/>
      <c r="J808" s="127"/>
      <c r="K808" s="127"/>
      <c r="L808" s="127"/>
      <c r="M808" s="127"/>
      <c r="RG808" s="6"/>
      <c r="RH808" s="6"/>
      <c r="RI808" s="6"/>
      <c r="RJ808" s="6"/>
      <c r="RK808" s="6"/>
      <c r="RL808" s="45"/>
      <c r="RM808" s="4"/>
      <c r="RN808" s="4"/>
      <c r="RO808" s="4"/>
      <c r="RP808" s="6"/>
    </row>
    <row r="809" spans="1:484" x14ac:dyDescent="0.25">
      <c r="A809" s="46"/>
      <c r="B809" s="47"/>
      <c r="C809" s="127"/>
      <c r="D809" s="127"/>
      <c r="E809" s="127"/>
      <c r="F809" s="127"/>
      <c r="G809" s="127"/>
      <c r="H809" s="127"/>
      <c r="I809" s="127"/>
      <c r="J809" s="127"/>
      <c r="K809" s="127"/>
      <c r="L809" s="127"/>
      <c r="M809" s="127"/>
      <c r="RG809" s="6"/>
      <c r="RH809" s="6"/>
      <c r="RI809" s="6"/>
      <c r="RJ809" s="6"/>
      <c r="RK809" s="6"/>
      <c r="RL809" s="45"/>
      <c r="RM809" s="4"/>
      <c r="RN809" s="4"/>
      <c r="RO809" s="4"/>
      <c r="RP809" s="6"/>
    </row>
    <row r="810" spans="1:484" x14ac:dyDescent="0.25">
      <c r="A810" s="46"/>
      <c r="B810" s="47"/>
      <c r="C810" s="127"/>
      <c r="D810" s="127"/>
      <c r="E810" s="127"/>
      <c r="F810" s="127"/>
      <c r="G810" s="127"/>
      <c r="H810" s="127"/>
      <c r="I810" s="127"/>
      <c r="J810" s="127"/>
      <c r="K810" s="127"/>
      <c r="L810" s="127"/>
      <c r="M810" s="127"/>
      <c r="RG810" s="6"/>
      <c r="RH810" s="6"/>
      <c r="RI810" s="6"/>
      <c r="RJ810" s="6"/>
      <c r="RK810" s="6"/>
      <c r="RL810" s="45"/>
      <c r="RM810" s="4"/>
      <c r="RN810" s="4"/>
      <c r="RO810" s="4"/>
      <c r="RP810" s="6"/>
    </row>
    <row r="811" spans="1:484" x14ac:dyDescent="0.25">
      <c r="A811" s="46"/>
      <c r="B811" s="47"/>
      <c r="C811" s="127"/>
      <c r="D811" s="127"/>
      <c r="E811" s="127"/>
      <c r="F811" s="127"/>
      <c r="G811" s="127"/>
      <c r="H811" s="127"/>
      <c r="I811" s="127"/>
      <c r="J811" s="127"/>
      <c r="K811" s="127"/>
      <c r="L811" s="127"/>
      <c r="M811" s="127"/>
      <c r="RG811" s="6"/>
      <c r="RH811" s="6"/>
      <c r="RI811" s="6"/>
      <c r="RJ811" s="6"/>
      <c r="RK811" s="6"/>
      <c r="RL811" s="45"/>
      <c r="RM811" s="4"/>
      <c r="RN811" s="4"/>
      <c r="RO811" s="4"/>
      <c r="RP811" s="6"/>
    </row>
    <row r="812" spans="1:484" x14ac:dyDescent="0.25">
      <c r="A812" s="46"/>
      <c r="B812" s="47"/>
      <c r="C812" s="127"/>
      <c r="D812" s="127"/>
      <c r="E812" s="127"/>
      <c r="F812" s="127"/>
      <c r="G812" s="127"/>
      <c r="H812" s="127"/>
      <c r="I812" s="127"/>
      <c r="J812" s="127"/>
      <c r="K812" s="127"/>
      <c r="L812" s="127"/>
      <c r="M812" s="127"/>
      <c r="RG812" s="6"/>
      <c r="RH812" s="6"/>
      <c r="RI812" s="6"/>
      <c r="RJ812" s="6"/>
      <c r="RK812" s="6"/>
      <c r="RL812" s="45"/>
      <c r="RM812" s="4"/>
      <c r="RN812" s="4"/>
      <c r="RO812" s="4"/>
      <c r="RP812" s="6"/>
    </row>
    <row r="813" spans="1:484" x14ac:dyDescent="0.25">
      <c r="A813" s="46"/>
      <c r="B813" s="47"/>
      <c r="C813" s="127"/>
      <c r="D813" s="127"/>
      <c r="E813" s="127"/>
      <c r="F813" s="127"/>
      <c r="G813" s="127"/>
      <c r="H813" s="127"/>
      <c r="I813" s="127"/>
      <c r="J813" s="127"/>
      <c r="K813" s="127"/>
      <c r="L813" s="127"/>
      <c r="M813" s="127"/>
      <c r="RG813" s="6"/>
      <c r="RH813" s="6"/>
      <c r="RI813" s="6"/>
      <c r="RJ813" s="6"/>
      <c r="RK813" s="6"/>
      <c r="RL813" s="45"/>
      <c r="RM813" s="4"/>
      <c r="RN813" s="4"/>
      <c r="RO813" s="4"/>
      <c r="RP813" s="6"/>
    </row>
    <row r="814" spans="1:484" x14ac:dyDescent="0.25">
      <c r="A814" s="46"/>
      <c r="B814" s="47"/>
      <c r="C814" s="127"/>
      <c r="D814" s="127"/>
      <c r="E814" s="127"/>
      <c r="F814" s="127"/>
      <c r="G814" s="127"/>
      <c r="H814" s="127"/>
      <c r="I814" s="127"/>
      <c r="J814" s="127"/>
      <c r="K814" s="127"/>
      <c r="L814" s="127"/>
      <c r="M814" s="127"/>
      <c r="RG814" s="6"/>
      <c r="RH814" s="6"/>
      <c r="RI814" s="6"/>
      <c r="RJ814" s="6"/>
      <c r="RK814" s="6"/>
      <c r="RL814" s="45"/>
      <c r="RM814" s="4"/>
      <c r="RN814" s="4"/>
      <c r="RO814" s="4"/>
      <c r="RP814" s="6"/>
    </row>
    <row r="815" spans="1:484" x14ac:dyDescent="0.25">
      <c r="A815" s="46"/>
      <c r="B815" s="47"/>
      <c r="C815" s="127"/>
      <c r="D815" s="127"/>
      <c r="E815" s="127"/>
      <c r="F815" s="127"/>
      <c r="G815" s="127"/>
      <c r="H815" s="127"/>
      <c r="I815" s="127"/>
      <c r="J815" s="127"/>
      <c r="K815" s="127"/>
      <c r="L815" s="127"/>
      <c r="M815" s="127"/>
      <c r="RG815" s="6"/>
      <c r="RH815" s="6"/>
      <c r="RI815" s="6"/>
      <c r="RJ815" s="6"/>
      <c r="RK815" s="6"/>
      <c r="RL815" s="45"/>
      <c r="RM815" s="4"/>
      <c r="RN815" s="4"/>
      <c r="RO815" s="4"/>
      <c r="RP815" s="6"/>
    </row>
    <row r="816" spans="1:484" x14ac:dyDescent="0.25">
      <c r="A816" s="46"/>
      <c r="B816" s="47"/>
      <c r="C816" s="127"/>
      <c r="D816" s="127"/>
      <c r="E816" s="127"/>
      <c r="F816" s="127"/>
      <c r="G816" s="127"/>
      <c r="H816" s="127"/>
      <c r="I816" s="127"/>
      <c r="J816" s="127"/>
      <c r="K816" s="127"/>
      <c r="L816" s="127"/>
      <c r="M816" s="127"/>
      <c r="RG816" s="6"/>
      <c r="RH816" s="6"/>
      <c r="RI816" s="6"/>
      <c r="RJ816" s="6"/>
      <c r="RK816" s="6"/>
      <c r="RL816" s="45"/>
      <c r="RM816" s="4"/>
      <c r="RN816" s="4"/>
      <c r="RO816" s="4"/>
      <c r="RP816" s="6"/>
    </row>
    <row r="817" spans="1:484" x14ac:dyDescent="0.25">
      <c r="A817" s="46"/>
      <c r="B817" s="47"/>
      <c r="C817" s="127"/>
      <c r="D817" s="127"/>
      <c r="E817" s="127"/>
      <c r="F817" s="127"/>
      <c r="G817" s="127"/>
      <c r="H817" s="127"/>
      <c r="I817" s="127"/>
      <c r="J817" s="127"/>
      <c r="K817" s="127"/>
      <c r="L817" s="127"/>
      <c r="M817" s="127"/>
      <c r="RG817" s="6"/>
      <c r="RH817" s="6"/>
      <c r="RI817" s="6"/>
      <c r="RJ817" s="6"/>
      <c r="RK817" s="6"/>
      <c r="RL817" s="45"/>
      <c r="RM817" s="4"/>
      <c r="RN817" s="4"/>
      <c r="RO817" s="4"/>
      <c r="RP817" s="6"/>
    </row>
    <row r="818" spans="1:484" x14ac:dyDescent="0.25">
      <c r="A818" s="46"/>
      <c r="B818" s="47"/>
      <c r="C818" s="127"/>
      <c r="D818" s="127"/>
      <c r="E818" s="127"/>
      <c r="F818" s="127"/>
      <c r="G818" s="127"/>
      <c r="H818" s="127"/>
      <c r="I818" s="127"/>
      <c r="J818" s="127"/>
      <c r="K818" s="127"/>
      <c r="L818" s="127"/>
      <c r="M818" s="127"/>
      <c r="RG818" s="6"/>
      <c r="RH818" s="6"/>
      <c r="RI818" s="6"/>
      <c r="RJ818" s="6"/>
      <c r="RK818" s="6"/>
      <c r="RL818" s="45"/>
      <c r="RM818" s="4"/>
      <c r="RN818" s="4"/>
      <c r="RO818" s="4"/>
      <c r="RP818" s="6"/>
    </row>
    <row r="819" spans="1:484" x14ac:dyDescent="0.25">
      <c r="A819" s="46"/>
      <c r="B819" s="47"/>
      <c r="C819" s="127"/>
      <c r="D819" s="127"/>
      <c r="E819" s="127"/>
      <c r="F819" s="127"/>
      <c r="G819" s="127"/>
      <c r="H819" s="127"/>
      <c r="I819" s="127"/>
      <c r="J819" s="127"/>
      <c r="K819" s="127"/>
      <c r="L819" s="127"/>
      <c r="M819" s="127"/>
      <c r="RG819" s="6"/>
      <c r="RH819" s="6"/>
      <c r="RI819" s="6"/>
      <c r="RJ819" s="6"/>
      <c r="RK819" s="6"/>
      <c r="RL819" s="45"/>
      <c r="RM819" s="4"/>
      <c r="RN819" s="4"/>
      <c r="RO819" s="4"/>
      <c r="RP819" s="6"/>
    </row>
    <row r="820" spans="1:484" x14ac:dyDescent="0.25">
      <c r="A820" s="46"/>
      <c r="B820" s="47"/>
      <c r="C820" s="127"/>
      <c r="D820" s="127"/>
      <c r="E820" s="127"/>
      <c r="F820" s="127"/>
      <c r="G820" s="127"/>
      <c r="H820" s="127"/>
      <c r="I820" s="127"/>
      <c r="J820" s="127"/>
      <c r="K820" s="127"/>
      <c r="L820" s="127"/>
      <c r="M820" s="127"/>
      <c r="RG820" s="6"/>
      <c r="RH820" s="6"/>
      <c r="RI820" s="6"/>
      <c r="RJ820" s="6"/>
      <c r="RK820" s="6"/>
      <c r="RL820" s="45"/>
      <c r="RM820" s="4"/>
      <c r="RN820" s="4"/>
      <c r="RO820" s="4"/>
      <c r="RP820" s="6"/>
    </row>
    <row r="821" spans="1:484" x14ac:dyDescent="0.25">
      <c r="A821" s="46"/>
      <c r="B821" s="47"/>
      <c r="C821" s="127"/>
      <c r="D821" s="127"/>
      <c r="E821" s="127"/>
      <c r="F821" s="127"/>
      <c r="G821" s="127"/>
      <c r="H821" s="127"/>
      <c r="I821" s="127"/>
      <c r="J821" s="127"/>
      <c r="K821" s="127"/>
      <c r="L821" s="127"/>
      <c r="M821" s="127"/>
      <c r="RG821" s="6"/>
      <c r="RH821" s="6"/>
      <c r="RI821" s="6"/>
      <c r="RJ821" s="6"/>
      <c r="RK821" s="6"/>
      <c r="RL821" s="45"/>
      <c r="RM821" s="4"/>
      <c r="RN821" s="4"/>
      <c r="RO821" s="4"/>
      <c r="RP821" s="6"/>
    </row>
    <row r="822" spans="1:484" x14ac:dyDescent="0.25">
      <c r="A822" s="46"/>
      <c r="B822" s="47"/>
      <c r="C822" s="127"/>
      <c r="D822" s="127"/>
      <c r="E822" s="127"/>
      <c r="F822" s="127"/>
      <c r="G822" s="127"/>
      <c r="H822" s="127"/>
      <c r="I822" s="127"/>
      <c r="J822" s="127"/>
      <c r="K822" s="127"/>
      <c r="L822" s="127"/>
      <c r="M822" s="127"/>
      <c r="RG822" s="6"/>
      <c r="RH822" s="6"/>
      <c r="RI822" s="6"/>
      <c r="RJ822" s="6"/>
      <c r="RK822" s="6"/>
      <c r="RL822" s="45"/>
      <c r="RM822" s="4"/>
      <c r="RN822" s="4"/>
      <c r="RO822" s="4"/>
      <c r="RP822" s="6"/>
    </row>
    <row r="823" spans="1:484" x14ac:dyDescent="0.25">
      <c r="A823" s="46"/>
      <c r="B823" s="47"/>
      <c r="C823" s="127"/>
      <c r="D823" s="127"/>
      <c r="E823" s="127"/>
      <c r="F823" s="127"/>
      <c r="G823" s="127"/>
      <c r="H823" s="127"/>
      <c r="I823" s="127"/>
      <c r="J823" s="127"/>
      <c r="K823" s="127"/>
      <c r="L823" s="127"/>
      <c r="M823" s="127"/>
      <c r="RG823" s="6"/>
      <c r="RH823" s="6"/>
      <c r="RI823" s="6"/>
      <c r="RJ823" s="6"/>
      <c r="RK823" s="6"/>
      <c r="RL823" s="45"/>
      <c r="RM823" s="4"/>
      <c r="RN823" s="4"/>
      <c r="RO823" s="4"/>
      <c r="RP823" s="6"/>
    </row>
    <row r="824" spans="1:484" x14ac:dyDescent="0.25">
      <c r="A824" s="46"/>
      <c r="B824" s="47"/>
      <c r="C824" s="127"/>
      <c r="D824" s="127"/>
      <c r="E824" s="127"/>
      <c r="F824" s="127"/>
      <c r="G824" s="127"/>
      <c r="H824" s="127"/>
      <c r="I824" s="127"/>
      <c r="J824" s="127"/>
      <c r="K824" s="127"/>
      <c r="L824" s="127"/>
      <c r="M824" s="127"/>
      <c r="RG824" s="6"/>
      <c r="RH824" s="6"/>
      <c r="RI824" s="6"/>
      <c r="RJ824" s="6"/>
      <c r="RK824" s="6"/>
      <c r="RL824" s="45"/>
      <c r="RM824" s="4"/>
      <c r="RN824" s="4"/>
      <c r="RO824" s="4"/>
      <c r="RP824" s="6"/>
    </row>
    <row r="825" spans="1:484" x14ac:dyDescent="0.25">
      <c r="A825" s="46"/>
      <c r="B825" s="47"/>
      <c r="C825" s="127"/>
      <c r="D825" s="127"/>
      <c r="E825" s="127"/>
      <c r="F825" s="127"/>
      <c r="G825" s="127"/>
      <c r="H825" s="127"/>
      <c r="I825" s="127"/>
      <c r="J825" s="127"/>
      <c r="K825" s="127"/>
      <c r="L825" s="127"/>
      <c r="M825" s="127"/>
      <c r="RG825" s="6"/>
      <c r="RH825" s="6"/>
      <c r="RI825" s="6"/>
      <c r="RJ825" s="6"/>
      <c r="RK825" s="6"/>
      <c r="RL825" s="45"/>
      <c r="RM825" s="4"/>
      <c r="RN825" s="4"/>
      <c r="RO825" s="4"/>
      <c r="RP825" s="6"/>
    </row>
    <row r="826" spans="1:484" x14ac:dyDescent="0.25">
      <c r="A826" s="46"/>
      <c r="B826" s="47"/>
      <c r="C826" s="127"/>
      <c r="D826" s="127"/>
      <c r="E826" s="127"/>
      <c r="F826" s="127"/>
      <c r="G826" s="127"/>
      <c r="H826" s="127"/>
      <c r="I826" s="127"/>
      <c r="J826" s="127"/>
      <c r="K826" s="127"/>
      <c r="L826" s="127"/>
      <c r="M826" s="127"/>
      <c r="RG826" s="6"/>
      <c r="RH826" s="6"/>
      <c r="RI826" s="6"/>
      <c r="RJ826" s="6"/>
      <c r="RK826" s="6"/>
      <c r="RL826" s="45"/>
      <c r="RM826" s="4"/>
      <c r="RN826" s="4"/>
      <c r="RO826" s="4"/>
      <c r="RP826" s="6"/>
    </row>
    <row r="827" spans="1:484" x14ac:dyDescent="0.25">
      <c r="A827" s="46"/>
      <c r="B827" s="47"/>
      <c r="C827" s="127"/>
      <c r="D827" s="127"/>
      <c r="E827" s="127"/>
      <c r="F827" s="127"/>
      <c r="G827" s="127"/>
      <c r="H827" s="127"/>
      <c r="I827" s="127"/>
      <c r="J827" s="127"/>
      <c r="K827" s="127"/>
      <c r="L827" s="127"/>
      <c r="M827" s="127"/>
      <c r="RG827" s="6"/>
      <c r="RH827" s="6"/>
      <c r="RI827" s="6"/>
      <c r="RJ827" s="6"/>
      <c r="RK827" s="6"/>
      <c r="RL827" s="45"/>
      <c r="RM827" s="4"/>
      <c r="RN827" s="4"/>
      <c r="RO827" s="4"/>
      <c r="RP827" s="6"/>
    </row>
    <row r="828" spans="1:484" x14ac:dyDescent="0.25">
      <c r="A828" s="46"/>
      <c r="B828" s="47"/>
      <c r="C828" s="127"/>
      <c r="D828" s="127"/>
      <c r="E828" s="127"/>
      <c r="F828" s="127"/>
      <c r="G828" s="127"/>
      <c r="H828" s="127"/>
      <c r="I828" s="127"/>
      <c r="J828" s="127"/>
      <c r="K828" s="127"/>
      <c r="L828" s="127"/>
      <c r="M828" s="127"/>
      <c r="RG828" s="6"/>
      <c r="RH828" s="6"/>
      <c r="RI828" s="6"/>
      <c r="RJ828" s="6"/>
      <c r="RK828" s="6"/>
      <c r="RL828" s="45"/>
      <c r="RM828" s="4"/>
      <c r="RN828" s="4"/>
      <c r="RO828" s="4"/>
      <c r="RP828" s="6"/>
    </row>
    <row r="829" spans="1:484" x14ac:dyDescent="0.25">
      <c r="A829" s="46"/>
      <c r="B829" s="47"/>
      <c r="C829" s="127"/>
      <c r="D829" s="127"/>
      <c r="E829" s="127"/>
      <c r="F829" s="127"/>
      <c r="G829" s="127"/>
      <c r="H829" s="127"/>
      <c r="I829" s="127"/>
      <c r="J829" s="127"/>
      <c r="K829" s="127"/>
      <c r="L829" s="127"/>
      <c r="M829" s="127"/>
      <c r="RG829" s="6"/>
      <c r="RH829" s="6"/>
      <c r="RI829" s="6"/>
      <c r="RJ829" s="6"/>
      <c r="RK829" s="6"/>
      <c r="RL829" s="45"/>
      <c r="RM829" s="4"/>
      <c r="RN829" s="4"/>
      <c r="RO829" s="4"/>
      <c r="RP829" s="6"/>
    </row>
    <row r="830" spans="1:484" x14ac:dyDescent="0.25">
      <c r="A830" s="46"/>
      <c r="B830" s="47"/>
      <c r="C830" s="127"/>
      <c r="D830" s="127"/>
      <c r="E830" s="127"/>
      <c r="F830" s="127"/>
      <c r="G830" s="127"/>
      <c r="H830" s="127"/>
      <c r="I830" s="127"/>
      <c r="J830" s="127"/>
      <c r="K830" s="127"/>
      <c r="L830" s="127"/>
      <c r="M830" s="127"/>
      <c r="RG830" s="6"/>
      <c r="RH830" s="6"/>
      <c r="RI830" s="6"/>
      <c r="RJ830" s="6"/>
      <c r="RK830" s="6"/>
      <c r="RL830" s="45"/>
      <c r="RM830" s="4"/>
      <c r="RN830" s="4"/>
      <c r="RO830" s="4"/>
      <c r="RP830" s="6"/>
    </row>
    <row r="831" spans="1:484" x14ac:dyDescent="0.25">
      <c r="A831" s="46"/>
      <c r="B831" s="47"/>
      <c r="C831" s="127"/>
      <c r="D831" s="127"/>
      <c r="E831" s="127"/>
      <c r="F831" s="127"/>
      <c r="G831" s="127"/>
      <c r="H831" s="127"/>
      <c r="I831" s="127"/>
      <c r="J831" s="127"/>
      <c r="K831" s="127"/>
      <c r="L831" s="127"/>
      <c r="M831" s="127"/>
      <c r="RG831" s="6"/>
      <c r="RH831" s="6"/>
      <c r="RI831" s="6"/>
      <c r="RJ831" s="6"/>
      <c r="RK831" s="6"/>
      <c r="RL831" s="45"/>
      <c r="RM831" s="4"/>
      <c r="RN831" s="4"/>
      <c r="RO831" s="4"/>
      <c r="RP831" s="6"/>
    </row>
    <row r="832" spans="1:484" x14ac:dyDescent="0.25">
      <c r="A832" s="46"/>
      <c r="B832" s="47"/>
      <c r="C832" s="127"/>
      <c r="D832" s="127"/>
      <c r="E832" s="127"/>
      <c r="F832" s="127"/>
      <c r="G832" s="127"/>
      <c r="H832" s="127"/>
      <c r="I832" s="127"/>
      <c r="J832" s="127"/>
      <c r="K832" s="127"/>
      <c r="L832" s="127"/>
      <c r="M832" s="127"/>
      <c r="RG832" s="6"/>
      <c r="RH832" s="6"/>
      <c r="RI832" s="6"/>
      <c r="RJ832" s="6"/>
      <c r="RK832" s="6"/>
      <c r="RL832" s="45"/>
      <c r="RM832" s="4"/>
      <c r="RN832" s="4"/>
      <c r="RO832" s="4"/>
      <c r="RP832" s="6"/>
    </row>
    <row r="833" spans="1:484" x14ac:dyDescent="0.25">
      <c r="A833" s="46"/>
      <c r="B833" s="47"/>
      <c r="C833" s="127"/>
      <c r="D833" s="127"/>
      <c r="E833" s="127"/>
      <c r="F833" s="127"/>
      <c r="G833" s="127"/>
      <c r="H833" s="127"/>
      <c r="I833" s="127"/>
      <c r="J833" s="127"/>
      <c r="K833" s="127"/>
      <c r="L833" s="127"/>
      <c r="M833" s="127"/>
      <c r="RG833" s="6"/>
      <c r="RH833" s="6"/>
      <c r="RI833" s="6"/>
      <c r="RJ833" s="6"/>
      <c r="RK833" s="6"/>
      <c r="RL833" s="45"/>
      <c r="RM833" s="4"/>
      <c r="RN833" s="4"/>
      <c r="RO833" s="4"/>
      <c r="RP833" s="6"/>
    </row>
    <row r="834" spans="1:484" x14ac:dyDescent="0.25">
      <c r="A834" s="46"/>
      <c r="B834" s="47"/>
      <c r="C834" s="127"/>
      <c r="D834" s="127"/>
      <c r="E834" s="127"/>
      <c r="F834" s="127"/>
      <c r="G834" s="127"/>
      <c r="H834" s="127"/>
      <c r="I834" s="127"/>
      <c r="J834" s="127"/>
      <c r="K834" s="127"/>
      <c r="L834" s="127"/>
      <c r="M834" s="127"/>
      <c r="RG834" s="6"/>
      <c r="RH834" s="6"/>
      <c r="RI834" s="6"/>
      <c r="RJ834" s="6"/>
      <c r="RK834" s="6"/>
      <c r="RL834" s="45"/>
      <c r="RM834" s="4"/>
      <c r="RN834" s="4"/>
      <c r="RO834" s="4"/>
      <c r="RP834" s="6"/>
    </row>
    <row r="835" spans="1:484" x14ac:dyDescent="0.25">
      <c r="A835" s="46"/>
      <c r="B835" s="47"/>
      <c r="C835" s="127"/>
      <c r="D835" s="127"/>
      <c r="E835" s="127"/>
      <c r="F835" s="127"/>
      <c r="G835" s="127"/>
      <c r="H835" s="127"/>
      <c r="I835" s="127"/>
      <c r="J835" s="127"/>
      <c r="K835" s="127"/>
      <c r="L835" s="127"/>
      <c r="M835" s="127"/>
      <c r="RG835" s="6"/>
      <c r="RH835" s="6"/>
      <c r="RI835" s="6"/>
      <c r="RJ835" s="6"/>
      <c r="RK835" s="6"/>
      <c r="RL835" s="45"/>
      <c r="RM835" s="4"/>
      <c r="RN835" s="4"/>
      <c r="RO835" s="4"/>
      <c r="RP835" s="6"/>
    </row>
    <row r="836" spans="1:484" x14ac:dyDescent="0.25">
      <c r="A836" s="46"/>
      <c r="B836" s="47"/>
      <c r="C836" s="127"/>
      <c r="D836" s="127"/>
      <c r="E836" s="127"/>
      <c r="F836" s="127"/>
      <c r="G836" s="127"/>
      <c r="H836" s="127"/>
      <c r="I836" s="127"/>
      <c r="J836" s="127"/>
      <c r="K836" s="127"/>
      <c r="L836" s="127"/>
      <c r="M836" s="127"/>
      <c r="RG836" s="6"/>
      <c r="RH836" s="6"/>
      <c r="RI836" s="6"/>
      <c r="RJ836" s="6"/>
      <c r="RK836" s="6"/>
      <c r="RL836" s="45"/>
      <c r="RM836" s="4"/>
      <c r="RN836" s="4"/>
      <c r="RO836" s="4"/>
      <c r="RP836" s="6"/>
    </row>
    <row r="837" spans="1:484" x14ac:dyDescent="0.25">
      <c r="A837" s="46"/>
      <c r="B837" s="47"/>
      <c r="C837" s="127"/>
      <c r="D837" s="127"/>
      <c r="E837" s="127"/>
      <c r="F837" s="127"/>
      <c r="G837" s="127"/>
      <c r="H837" s="127"/>
      <c r="I837" s="127"/>
      <c r="J837" s="127"/>
      <c r="K837" s="127"/>
      <c r="L837" s="127"/>
      <c r="M837" s="127"/>
      <c r="RG837" s="6"/>
      <c r="RH837" s="6"/>
      <c r="RI837" s="6"/>
      <c r="RJ837" s="6"/>
      <c r="RK837" s="6"/>
      <c r="RL837" s="45"/>
      <c r="RM837" s="4"/>
      <c r="RN837" s="4"/>
      <c r="RO837" s="4"/>
      <c r="RP837" s="6"/>
    </row>
    <row r="838" spans="1:484" x14ac:dyDescent="0.25">
      <c r="A838" s="46"/>
      <c r="B838" s="47"/>
      <c r="C838" s="127"/>
      <c r="D838" s="127"/>
      <c r="E838" s="127"/>
      <c r="F838" s="127"/>
      <c r="G838" s="127"/>
      <c r="H838" s="127"/>
      <c r="I838" s="127"/>
      <c r="J838" s="127"/>
      <c r="K838" s="127"/>
      <c r="L838" s="127"/>
      <c r="M838" s="127"/>
      <c r="RG838" s="6"/>
      <c r="RH838" s="6"/>
      <c r="RI838" s="6"/>
      <c r="RJ838" s="6"/>
      <c r="RK838" s="6"/>
      <c r="RL838" s="45"/>
      <c r="RM838" s="4"/>
      <c r="RN838" s="4"/>
      <c r="RO838" s="4"/>
      <c r="RP838" s="6"/>
    </row>
    <row r="839" spans="1:484" x14ac:dyDescent="0.25">
      <c r="A839" s="46"/>
      <c r="B839" s="47"/>
      <c r="C839" s="127"/>
      <c r="D839" s="127"/>
      <c r="E839" s="127"/>
      <c r="F839" s="127"/>
      <c r="G839" s="127"/>
      <c r="H839" s="127"/>
      <c r="I839" s="127"/>
      <c r="J839" s="127"/>
      <c r="K839" s="127"/>
      <c r="L839" s="127"/>
      <c r="M839" s="127"/>
      <c r="RG839" s="6"/>
      <c r="RH839" s="6"/>
      <c r="RI839" s="6"/>
      <c r="RJ839" s="6"/>
      <c r="RK839" s="6"/>
      <c r="RL839" s="45"/>
      <c r="RM839" s="4"/>
      <c r="RN839" s="4"/>
      <c r="RO839" s="4"/>
      <c r="RP839" s="6"/>
    </row>
    <row r="840" spans="1:484" x14ac:dyDescent="0.25">
      <c r="A840" s="46"/>
      <c r="B840" s="47"/>
      <c r="C840" s="127"/>
      <c r="D840" s="127"/>
      <c r="E840" s="127"/>
      <c r="F840" s="127"/>
      <c r="G840" s="127"/>
      <c r="H840" s="127"/>
      <c r="I840" s="127"/>
      <c r="J840" s="127"/>
      <c r="K840" s="127"/>
      <c r="L840" s="127"/>
      <c r="M840" s="127"/>
      <c r="RG840" s="6"/>
      <c r="RH840" s="6"/>
      <c r="RI840" s="6"/>
      <c r="RJ840" s="6"/>
      <c r="RK840" s="6"/>
      <c r="RL840" s="45"/>
      <c r="RM840" s="4"/>
      <c r="RN840" s="4"/>
      <c r="RO840" s="4"/>
      <c r="RP840" s="6"/>
    </row>
    <row r="841" spans="1:484" x14ac:dyDescent="0.25">
      <c r="A841" s="46"/>
      <c r="B841" s="47"/>
      <c r="C841" s="127"/>
      <c r="D841" s="127"/>
      <c r="E841" s="127"/>
      <c r="F841" s="127"/>
      <c r="G841" s="127"/>
      <c r="H841" s="127"/>
      <c r="I841" s="127"/>
      <c r="J841" s="127"/>
      <c r="K841" s="127"/>
      <c r="L841" s="127"/>
      <c r="M841" s="127"/>
      <c r="RG841" s="6"/>
      <c r="RH841" s="6"/>
      <c r="RI841" s="6"/>
      <c r="RJ841" s="6"/>
      <c r="RK841" s="6"/>
      <c r="RL841" s="45"/>
      <c r="RM841" s="4"/>
      <c r="RN841" s="4"/>
      <c r="RO841" s="4"/>
      <c r="RP841" s="6"/>
    </row>
    <row r="842" spans="1:484" x14ac:dyDescent="0.25">
      <c r="A842" s="46"/>
      <c r="B842" s="47"/>
      <c r="C842" s="127"/>
      <c r="D842" s="127"/>
      <c r="E842" s="127"/>
      <c r="F842" s="127"/>
      <c r="G842" s="127"/>
      <c r="H842" s="127"/>
      <c r="I842" s="127"/>
      <c r="J842" s="127"/>
      <c r="K842" s="127"/>
      <c r="L842" s="127"/>
      <c r="M842" s="127"/>
      <c r="RG842" s="6"/>
      <c r="RH842" s="6"/>
      <c r="RI842" s="6"/>
      <c r="RJ842" s="6"/>
      <c r="RK842" s="6"/>
      <c r="RL842" s="45"/>
      <c r="RM842" s="4"/>
      <c r="RN842" s="4"/>
      <c r="RO842" s="4"/>
      <c r="RP842" s="6"/>
    </row>
    <row r="843" spans="1:484" x14ac:dyDescent="0.25">
      <c r="A843" s="46"/>
      <c r="B843" s="47"/>
      <c r="C843" s="127"/>
      <c r="D843" s="127"/>
      <c r="E843" s="127"/>
      <c r="F843" s="127"/>
      <c r="G843" s="127"/>
      <c r="H843" s="127"/>
      <c r="I843" s="127"/>
      <c r="J843" s="127"/>
      <c r="K843" s="127"/>
      <c r="L843" s="127"/>
      <c r="M843" s="127"/>
      <c r="RG843" s="6"/>
      <c r="RH843" s="6"/>
      <c r="RI843" s="6"/>
      <c r="RJ843" s="6"/>
      <c r="RK843" s="6"/>
      <c r="RL843" s="45"/>
      <c r="RM843" s="4"/>
      <c r="RN843" s="4"/>
      <c r="RO843" s="4"/>
      <c r="RP843" s="6"/>
    </row>
    <row r="844" spans="1:484" x14ac:dyDescent="0.25">
      <c r="A844" s="46"/>
      <c r="B844" s="47"/>
      <c r="C844" s="127"/>
      <c r="D844" s="127"/>
      <c r="E844" s="127"/>
      <c r="F844" s="127"/>
      <c r="G844" s="127"/>
      <c r="H844" s="127"/>
      <c r="I844" s="127"/>
      <c r="J844" s="127"/>
      <c r="K844" s="127"/>
      <c r="L844" s="127"/>
      <c r="M844" s="127"/>
      <c r="RG844" s="6"/>
      <c r="RH844" s="6"/>
      <c r="RI844" s="6"/>
      <c r="RJ844" s="6"/>
      <c r="RK844" s="6"/>
      <c r="RL844" s="45"/>
      <c r="RM844" s="4"/>
      <c r="RN844" s="4"/>
      <c r="RO844" s="4"/>
      <c r="RP844" s="6"/>
    </row>
    <row r="845" spans="1:484" x14ac:dyDescent="0.25">
      <c r="A845" s="46"/>
      <c r="B845" s="47"/>
      <c r="C845" s="127"/>
      <c r="D845" s="127"/>
      <c r="E845" s="127"/>
      <c r="F845" s="127"/>
      <c r="G845" s="127"/>
      <c r="H845" s="127"/>
      <c r="I845" s="127"/>
      <c r="J845" s="127"/>
      <c r="K845" s="127"/>
      <c r="L845" s="127"/>
      <c r="M845" s="127"/>
      <c r="RG845" s="6"/>
      <c r="RH845" s="6"/>
      <c r="RI845" s="6"/>
      <c r="RJ845" s="6"/>
      <c r="RK845" s="6"/>
      <c r="RL845" s="45"/>
      <c r="RM845" s="4"/>
      <c r="RN845" s="4"/>
      <c r="RO845" s="4"/>
      <c r="RP845" s="6"/>
    </row>
    <row r="846" spans="1:484" x14ac:dyDescent="0.25">
      <c r="A846" s="46"/>
      <c r="B846" s="47"/>
      <c r="C846" s="127"/>
      <c r="D846" s="127"/>
      <c r="E846" s="127"/>
      <c r="F846" s="127"/>
      <c r="G846" s="127"/>
      <c r="H846" s="127"/>
      <c r="I846" s="127"/>
      <c r="J846" s="127"/>
      <c r="K846" s="127"/>
      <c r="L846" s="127"/>
      <c r="M846" s="127"/>
      <c r="RG846" s="6"/>
      <c r="RH846" s="6"/>
      <c r="RI846" s="6"/>
      <c r="RJ846" s="6"/>
      <c r="RK846" s="6"/>
      <c r="RL846" s="45"/>
      <c r="RM846" s="4"/>
      <c r="RN846" s="4"/>
      <c r="RO846" s="4"/>
      <c r="RP846" s="6"/>
    </row>
    <row r="847" spans="1:484" x14ac:dyDescent="0.25">
      <c r="A847" s="46"/>
      <c r="B847" s="47"/>
      <c r="C847" s="127"/>
      <c r="D847" s="127"/>
      <c r="E847" s="127"/>
      <c r="F847" s="127"/>
      <c r="G847" s="127"/>
      <c r="H847" s="127"/>
      <c r="I847" s="127"/>
      <c r="J847" s="127"/>
      <c r="K847" s="127"/>
      <c r="L847" s="127"/>
      <c r="M847" s="127"/>
      <c r="RG847" s="6"/>
      <c r="RH847" s="6"/>
      <c r="RI847" s="6"/>
      <c r="RJ847" s="6"/>
      <c r="RK847" s="6"/>
      <c r="RL847" s="45"/>
      <c r="RM847" s="4"/>
      <c r="RN847" s="4"/>
      <c r="RO847" s="4"/>
      <c r="RP847" s="6"/>
    </row>
    <row r="848" spans="1:484" x14ac:dyDescent="0.25">
      <c r="A848" s="46"/>
      <c r="B848" s="47"/>
      <c r="C848" s="127"/>
      <c r="D848" s="127"/>
      <c r="E848" s="127"/>
      <c r="F848" s="127"/>
      <c r="G848" s="127"/>
      <c r="H848" s="127"/>
      <c r="I848" s="127"/>
      <c r="J848" s="127"/>
      <c r="K848" s="127"/>
      <c r="L848" s="127"/>
      <c r="M848" s="127"/>
      <c r="RG848" s="6"/>
      <c r="RH848" s="6"/>
      <c r="RI848" s="6"/>
      <c r="RJ848" s="6"/>
      <c r="RK848" s="6"/>
      <c r="RL848" s="45"/>
      <c r="RM848" s="4"/>
      <c r="RN848" s="4"/>
      <c r="RO848" s="4"/>
      <c r="RP848" s="6"/>
    </row>
    <row r="849" spans="1:484" x14ac:dyDescent="0.25">
      <c r="A849" s="46"/>
      <c r="B849" s="47"/>
      <c r="C849" s="127"/>
      <c r="D849" s="127"/>
      <c r="E849" s="127"/>
      <c r="F849" s="127"/>
      <c r="G849" s="127"/>
      <c r="H849" s="127"/>
      <c r="I849" s="127"/>
      <c r="J849" s="127"/>
      <c r="K849" s="127"/>
      <c r="L849" s="127"/>
      <c r="M849" s="127"/>
      <c r="RG849" s="6"/>
      <c r="RH849" s="6"/>
      <c r="RI849" s="6"/>
      <c r="RJ849" s="6"/>
      <c r="RK849" s="6"/>
      <c r="RL849" s="45"/>
      <c r="RM849" s="4"/>
      <c r="RN849" s="4"/>
      <c r="RO849" s="4"/>
      <c r="RP849" s="6"/>
    </row>
    <row r="850" spans="1:484" x14ac:dyDescent="0.25">
      <c r="A850" s="46"/>
      <c r="B850" s="47"/>
      <c r="C850" s="127"/>
      <c r="D850" s="127"/>
      <c r="E850" s="127"/>
      <c r="F850" s="127"/>
      <c r="G850" s="127"/>
      <c r="H850" s="127"/>
      <c r="I850" s="127"/>
      <c r="J850" s="127"/>
      <c r="K850" s="127"/>
      <c r="L850" s="127"/>
      <c r="M850" s="127"/>
      <c r="RG850" s="6"/>
      <c r="RH850" s="6"/>
      <c r="RI850" s="6"/>
      <c r="RJ850" s="6"/>
      <c r="RK850" s="6"/>
      <c r="RL850" s="45"/>
      <c r="RM850" s="4"/>
      <c r="RN850" s="4"/>
      <c r="RO850" s="4"/>
      <c r="RP850" s="6"/>
    </row>
    <row r="851" spans="1:484" x14ac:dyDescent="0.25">
      <c r="A851" s="46"/>
      <c r="B851" s="47"/>
      <c r="C851" s="127"/>
      <c r="D851" s="127"/>
      <c r="E851" s="127"/>
      <c r="F851" s="127"/>
      <c r="G851" s="127"/>
      <c r="H851" s="127"/>
      <c r="I851" s="127"/>
      <c r="J851" s="127"/>
      <c r="K851" s="127"/>
      <c r="L851" s="127"/>
      <c r="M851" s="127"/>
      <c r="RG851" s="6"/>
      <c r="RH851" s="6"/>
      <c r="RI851" s="6"/>
      <c r="RJ851" s="6"/>
      <c r="RK851" s="6"/>
      <c r="RL851" s="45"/>
      <c r="RM851" s="4"/>
      <c r="RN851" s="4"/>
      <c r="RO851" s="4"/>
      <c r="RP851" s="6"/>
    </row>
    <row r="852" spans="1:484" x14ac:dyDescent="0.25">
      <c r="A852" s="46"/>
      <c r="B852" s="47"/>
      <c r="C852" s="127"/>
      <c r="D852" s="127"/>
      <c r="E852" s="127"/>
      <c r="F852" s="127"/>
      <c r="G852" s="127"/>
      <c r="H852" s="127"/>
      <c r="I852" s="127"/>
      <c r="J852" s="127"/>
      <c r="K852" s="127"/>
      <c r="L852" s="127"/>
      <c r="M852" s="127"/>
      <c r="RG852" s="6"/>
      <c r="RH852" s="6"/>
      <c r="RI852" s="6"/>
      <c r="RJ852" s="6"/>
      <c r="RK852" s="6"/>
      <c r="RL852" s="45"/>
      <c r="RM852" s="4"/>
      <c r="RN852" s="4"/>
      <c r="RO852" s="4"/>
      <c r="RP852" s="6"/>
    </row>
    <row r="853" spans="1:484" x14ac:dyDescent="0.25">
      <c r="A853" s="46"/>
      <c r="B853" s="47"/>
      <c r="C853" s="127"/>
      <c r="D853" s="127"/>
      <c r="E853" s="127"/>
      <c r="F853" s="127"/>
      <c r="G853" s="127"/>
      <c r="H853" s="127"/>
      <c r="I853" s="127"/>
      <c r="J853" s="127"/>
      <c r="K853" s="127"/>
      <c r="L853" s="127"/>
      <c r="M853" s="127"/>
      <c r="RG853" s="6"/>
      <c r="RH853" s="6"/>
      <c r="RI853" s="6"/>
      <c r="RJ853" s="6"/>
      <c r="RK853" s="6"/>
      <c r="RL853" s="45"/>
      <c r="RM853" s="4"/>
      <c r="RN853" s="4"/>
      <c r="RO853" s="4"/>
      <c r="RP853" s="6"/>
    </row>
    <row r="854" spans="1:484" x14ac:dyDescent="0.25">
      <c r="A854" s="46"/>
      <c r="B854" s="47"/>
      <c r="C854" s="127"/>
      <c r="D854" s="127"/>
      <c r="E854" s="127"/>
      <c r="F854" s="127"/>
      <c r="G854" s="127"/>
      <c r="H854" s="127"/>
      <c r="I854" s="127"/>
      <c r="J854" s="127"/>
      <c r="K854" s="127"/>
      <c r="L854" s="127"/>
      <c r="M854" s="127"/>
      <c r="RG854" s="6"/>
      <c r="RH854" s="6"/>
      <c r="RI854" s="6"/>
      <c r="RJ854" s="6"/>
      <c r="RK854" s="6"/>
      <c r="RL854" s="45"/>
      <c r="RM854" s="4"/>
      <c r="RN854" s="4"/>
      <c r="RO854" s="4"/>
      <c r="RP854" s="6"/>
    </row>
    <row r="855" spans="1:484" x14ac:dyDescent="0.25">
      <c r="A855" s="46"/>
      <c r="B855" s="47"/>
      <c r="C855" s="127"/>
      <c r="D855" s="127"/>
      <c r="E855" s="127"/>
      <c r="F855" s="127"/>
      <c r="G855" s="127"/>
      <c r="H855" s="127"/>
      <c r="I855" s="127"/>
      <c r="J855" s="127"/>
      <c r="K855" s="127"/>
      <c r="L855" s="127"/>
      <c r="M855" s="127"/>
      <c r="RG855" s="6"/>
      <c r="RH855" s="6"/>
      <c r="RI855" s="6"/>
      <c r="RJ855" s="6"/>
      <c r="RK855" s="6"/>
      <c r="RL855" s="45"/>
      <c r="RM855" s="4"/>
      <c r="RN855" s="4"/>
      <c r="RO855" s="4"/>
      <c r="RP855" s="6"/>
    </row>
    <row r="856" spans="1:484" x14ac:dyDescent="0.25">
      <c r="A856" s="46"/>
      <c r="B856" s="47"/>
      <c r="C856" s="127"/>
      <c r="D856" s="127"/>
      <c r="E856" s="127"/>
      <c r="F856" s="127"/>
      <c r="G856" s="127"/>
      <c r="H856" s="127"/>
      <c r="I856" s="127"/>
      <c r="J856" s="127"/>
      <c r="K856" s="127"/>
      <c r="L856" s="127"/>
      <c r="M856" s="127"/>
      <c r="RG856" s="6"/>
      <c r="RH856" s="6"/>
      <c r="RI856" s="6"/>
      <c r="RJ856" s="6"/>
      <c r="RK856" s="6"/>
      <c r="RL856" s="45"/>
      <c r="RM856" s="4"/>
      <c r="RN856" s="4"/>
      <c r="RO856" s="4"/>
      <c r="RP856" s="6"/>
    </row>
    <row r="857" spans="1:484" x14ac:dyDescent="0.25">
      <c r="A857" s="46"/>
      <c r="B857" s="47"/>
      <c r="C857" s="127"/>
      <c r="D857" s="127"/>
      <c r="E857" s="127"/>
      <c r="F857" s="127"/>
      <c r="G857" s="127"/>
      <c r="H857" s="127"/>
      <c r="I857" s="127"/>
      <c r="J857" s="127"/>
      <c r="K857" s="127"/>
      <c r="L857" s="127"/>
      <c r="M857" s="127"/>
      <c r="RG857" s="6"/>
      <c r="RH857" s="6"/>
      <c r="RI857" s="6"/>
      <c r="RJ857" s="6"/>
      <c r="RK857" s="6"/>
      <c r="RL857" s="45"/>
      <c r="RM857" s="4"/>
      <c r="RN857" s="4"/>
      <c r="RO857" s="4"/>
      <c r="RP857" s="6"/>
    </row>
    <row r="858" spans="1:484" x14ac:dyDescent="0.25">
      <c r="A858" s="46"/>
      <c r="B858" s="47"/>
      <c r="C858" s="127"/>
      <c r="D858" s="127"/>
      <c r="E858" s="127"/>
      <c r="F858" s="127"/>
      <c r="G858" s="127"/>
      <c r="H858" s="127"/>
      <c r="I858" s="127"/>
      <c r="J858" s="127"/>
      <c r="K858" s="127"/>
      <c r="L858" s="127"/>
      <c r="M858" s="127"/>
      <c r="RG858" s="6"/>
      <c r="RH858" s="6"/>
      <c r="RI858" s="6"/>
      <c r="RJ858" s="6"/>
      <c r="RK858" s="6"/>
      <c r="RL858" s="45"/>
      <c r="RM858" s="4"/>
      <c r="RN858" s="4"/>
      <c r="RO858" s="4"/>
      <c r="RP858" s="6"/>
    </row>
    <row r="859" spans="1:484" x14ac:dyDescent="0.25">
      <c r="A859" s="46"/>
      <c r="B859" s="47"/>
      <c r="C859" s="127"/>
      <c r="D859" s="127"/>
      <c r="E859" s="127"/>
      <c r="F859" s="127"/>
      <c r="G859" s="127"/>
      <c r="H859" s="127"/>
      <c r="I859" s="127"/>
      <c r="J859" s="127"/>
      <c r="K859" s="127"/>
      <c r="L859" s="127"/>
      <c r="M859" s="127"/>
      <c r="RG859" s="6"/>
      <c r="RH859" s="6"/>
      <c r="RI859" s="6"/>
      <c r="RJ859" s="6"/>
      <c r="RK859" s="6"/>
      <c r="RL859" s="45"/>
      <c r="RM859" s="4"/>
      <c r="RN859" s="4"/>
      <c r="RO859" s="4"/>
      <c r="RP859" s="6"/>
    </row>
    <row r="860" spans="1:484" x14ac:dyDescent="0.25">
      <c r="A860" s="46"/>
      <c r="B860" s="47"/>
      <c r="C860" s="127"/>
      <c r="D860" s="127"/>
      <c r="E860" s="127"/>
      <c r="F860" s="127"/>
      <c r="G860" s="127"/>
      <c r="H860" s="127"/>
      <c r="I860" s="127"/>
      <c r="J860" s="127"/>
      <c r="K860" s="127"/>
      <c r="L860" s="127"/>
      <c r="M860" s="127"/>
      <c r="RG860" s="6"/>
      <c r="RH860" s="6"/>
      <c r="RI860" s="6"/>
      <c r="RJ860" s="6"/>
      <c r="RK860" s="6"/>
      <c r="RL860" s="45"/>
      <c r="RM860" s="4"/>
      <c r="RN860" s="4"/>
      <c r="RO860" s="4"/>
      <c r="RP860" s="6"/>
    </row>
    <row r="861" spans="1:484" x14ac:dyDescent="0.25">
      <c r="A861" s="46"/>
      <c r="B861" s="47"/>
      <c r="C861" s="127"/>
      <c r="D861" s="127"/>
      <c r="E861" s="127"/>
      <c r="F861" s="127"/>
      <c r="G861" s="127"/>
      <c r="H861" s="127"/>
      <c r="I861" s="127"/>
      <c r="J861" s="127"/>
      <c r="K861" s="127"/>
      <c r="L861" s="127"/>
      <c r="M861" s="127"/>
      <c r="RG861" s="6"/>
      <c r="RH861" s="6"/>
      <c r="RI861" s="6"/>
      <c r="RJ861" s="6"/>
      <c r="RK861" s="6"/>
      <c r="RL861" s="45"/>
      <c r="RM861" s="4"/>
      <c r="RN861" s="4"/>
      <c r="RO861" s="4"/>
      <c r="RP861" s="6"/>
    </row>
    <row r="862" spans="1:484" x14ac:dyDescent="0.25">
      <c r="A862" s="46"/>
      <c r="B862" s="47"/>
      <c r="C862" s="127"/>
      <c r="D862" s="127"/>
      <c r="E862" s="127"/>
      <c r="F862" s="127"/>
      <c r="G862" s="127"/>
      <c r="H862" s="127"/>
      <c r="I862" s="127"/>
      <c r="J862" s="127"/>
      <c r="K862" s="127"/>
      <c r="L862" s="127"/>
      <c r="M862" s="127"/>
      <c r="RG862" s="6"/>
      <c r="RH862" s="6"/>
      <c r="RI862" s="6"/>
      <c r="RJ862" s="6"/>
      <c r="RK862" s="6"/>
      <c r="RL862" s="45"/>
      <c r="RM862" s="4"/>
      <c r="RN862" s="4"/>
      <c r="RO862" s="4"/>
      <c r="RP862" s="6"/>
    </row>
    <row r="863" spans="1:484" x14ac:dyDescent="0.25">
      <c r="A863" s="46"/>
      <c r="B863" s="47"/>
      <c r="C863" s="127"/>
      <c r="D863" s="127"/>
      <c r="E863" s="127"/>
      <c r="F863" s="127"/>
      <c r="G863" s="127"/>
      <c r="H863" s="127"/>
      <c r="I863" s="127"/>
      <c r="J863" s="127"/>
      <c r="K863" s="127"/>
      <c r="L863" s="127"/>
      <c r="M863" s="127"/>
      <c r="RG863" s="6"/>
      <c r="RH863" s="6"/>
      <c r="RI863" s="6"/>
      <c r="RJ863" s="6"/>
      <c r="RK863" s="6"/>
      <c r="RL863" s="45"/>
      <c r="RM863" s="4"/>
      <c r="RN863" s="4"/>
      <c r="RO863" s="4"/>
      <c r="RP863" s="6"/>
    </row>
    <row r="864" spans="1:484" x14ac:dyDescent="0.25">
      <c r="A864" s="46"/>
      <c r="B864" s="47"/>
      <c r="C864" s="127"/>
      <c r="D864" s="127"/>
      <c r="E864" s="127"/>
      <c r="F864" s="127"/>
      <c r="G864" s="127"/>
      <c r="H864" s="127"/>
      <c r="I864" s="127"/>
      <c r="J864" s="127"/>
      <c r="K864" s="127"/>
      <c r="L864" s="127"/>
      <c r="M864" s="127"/>
      <c r="RG864" s="6"/>
      <c r="RH864" s="6"/>
      <c r="RI864" s="6"/>
      <c r="RJ864" s="6"/>
      <c r="RK864" s="6"/>
      <c r="RL864" s="45"/>
      <c r="RM864" s="4"/>
      <c r="RN864" s="4"/>
      <c r="RO864" s="4"/>
      <c r="RP864" s="6"/>
    </row>
    <row r="865" spans="1:484" x14ac:dyDescent="0.25">
      <c r="A865" s="46"/>
      <c r="B865" s="47"/>
      <c r="C865" s="127"/>
      <c r="D865" s="127"/>
      <c r="E865" s="127"/>
      <c r="F865" s="127"/>
      <c r="G865" s="127"/>
      <c r="H865" s="127"/>
      <c r="I865" s="127"/>
      <c r="J865" s="127"/>
      <c r="K865" s="127"/>
      <c r="L865" s="127"/>
      <c r="M865" s="127"/>
      <c r="RG865" s="6"/>
      <c r="RH865" s="6"/>
      <c r="RI865" s="6"/>
      <c r="RJ865" s="6"/>
      <c r="RK865" s="6"/>
      <c r="RL865" s="45"/>
      <c r="RM865" s="4"/>
      <c r="RN865" s="4"/>
      <c r="RO865" s="4"/>
      <c r="RP865" s="6"/>
    </row>
    <row r="866" spans="1:484" x14ac:dyDescent="0.25">
      <c r="A866" s="46"/>
      <c r="B866" s="47"/>
      <c r="C866" s="127"/>
      <c r="D866" s="127"/>
      <c r="E866" s="127"/>
      <c r="F866" s="127"/>
      <c r="G866" s="127"/>
      <c r="H866" s="127"/>
      <c r="I866" s="127"/>
      <c r="J866" s="127"/>
      <c r="K866" s="127"/>
      <c r="L866" s="127"/>
      <c r="M866" s="127"/>
      <c r="RG866" s="6"/>
      <c r="RH866" s="6"/>
      <c r="RI866" s="6"/>
      <c r="RJ866" s="6"/>
      <c r="RK866" s="6"/>
      <c r="RL866" s="45"/>
      <c r="RM866" s="4"/>
      <c r="RN866" s="4"/>
      <c r="RO866" s="4"/>
      <c r="RP866" s="6"/>
    </row>
    <row r="867" spans="1:484" x14ac:dyDescent="0.25">
      <c r="A867" s="46"/>
      <c r="B867" s="47"/>
      <c r="C867" s="127"/>
      <c r="D867" s="127"/>
      <c r="E867" s="127"/>
      <c r="F867" s="127"/>
      <c r="G867" s="127"/>
      <c r="H867" s="127"/>
      <c r="I867" s="127"/>
      <c r="J867" s="127"/>
      <c r="K867" s="127"/>
      <c r="L867" s="127"/>
      <c r="M867" s="127"/>
      <c r="RG867" s="6"/>
      <c r="RH867" s="6"/>
      <c r="RI867" s="6"/>
      <c r="RJ867" s="6"/>
      <c r="RK867" s="6"/>
      <c r="RL867" s="45"/>
      <c r="RM867" s="4"/>
      <c r="RN867" s="4"/>
      <c r="RO867" s="4"/>
      <c r="RP867" s="6"/>
    </row>
    <row r="868" spans="1:484" x14ac:dyDescent="0.25">
      <c r="A868" s="46"/>
      <c r="B868" s="47"/>
      <c r="C868" s="127"/>
      <c r="D868" s="127"/>
      <c r="E868" s="127"/>
      <c r="F868" s="127"/>
      <c r="G868" s="127"/>
      <c r="H868" s="127"/>
      <c r="I868" s="127"/>
      <c r="J868" s="127"/>
      <c r="K868" s="127"/>
      <c r="L868" s="127"/>
      <c r="M868" s="127"/>
      <c r="RG868" s="6"/>
      <c r="RH868" s="6"/>
      <c r="RI868" s="6"/>
      <c r="RJ868" s="6"/>
      <c r="RK868" s="6"/>
      <c r="RL868" s="45"/>
      <c r="RM868" s="4"/>
      <c r="RN868" s="4"/>
      <c r="RO868" s="4"/>
      <c r="RP868" s="6"/>
    </row>
    <row r="869" spans="1:484" x14ac:dyDescent="0.25">
      <c r="A869" s="46"/>
      <c r="B869" s="47"/>
      <c r="C869" s="127"/>
      <c r="D869" s="127"/>
      <c r="E869" s="127"/>
      <c r="F869" s="127"/>
      <c r="G869" s="127"/>
      <c r="H869" s="127"/>
      <c r="I869" s="127"/>
      <c r="J869" s="127"/>
      <c r="K869" s="127"/>
      <c r="L869" s="127"/>
      <c r="M869" s="127"/>
      <c r="RG869" s="6"/>
      <c r="RH869" s="6"/>
      <c r="RI869" s="6"/>
      <c r="RJ869" s="6"/>
      <c r="RK869" s="6"/>
      <c r="RL869" s="45"/>
      <c r="RM869" s="4"/>
      <c r="RN869" s="4"/>
      <c r="RO869" s="4"/>
      <c r="RP869" s="6"/>
    </row>
    <row r="870" spans="1:484" x14ac:dyDescent="0.25">
      <c r="A870" s="46"/>
      <c r="B870" s="47"/>
      <c r="C870" s="127"/>
      <c r="D870" s="127"/>
      <c r="E870" s="127"/>
      <c r="F870" s="127"/>
      <c r="G870" s="127"/>
      <c r="H870" s="127"/>
      <c r="I870" s="127"/>
      <c r="J870" s="127"/>
      <c r="K870" s="127"/>
      <c r="L870" s="127"/>
      <c r="M870" s="127"/>
      <c r="RG870" s="6"/>
      <c r="RH870" s="6"/>
      <c r="RI870" s="6"/>
      <c r="RJ870" s="6"/>
      <c r="RK870" s="6"/>
      <c r="RL870" s="45"/>
      <c r="RM870" s="4"/>
      <c r="RN870" s="4"/>
      <c r="RO870" s="4"/>
      <c r="RP870" s="6"/>
    </row>
    <row r="871" spans="1:484" x14ac:dyDescent="0.25">
      <c r="A871" s="46"/>
      <c r="B871" s="47"/>
      <c r="C871" s="127"/>
      <c r="D871" s="127"/>
      <c r="E871" s="127"/>
      <c r="F871" s="127"/>
      <c r="G871" s="127"/>
      <c r="H871" s="127"/>
      <c r="I871" s="127"/>
      <c r="J871" s="127"/>
      <c r="K871" s="127"/>
      <c r="L871" s="127"/>
      <c r="M871" s="127"/>
      <c r="RG871" s="6"/>
      <c r="RH871" s="6"/>
      <c r="RI871" s="6"/>
      <c r="RJ871" s="6"/>
      <c r="RK871" s="6"/>
      <c r="RL871" s="45"/>
      <c r="RM871" s="4"/>
      <c r="RN871" s="4"/>
      <c r="RO871" s="4"/>
      <c r="RP871" s="6"/>
    </row>
    <row r="872" spans="1:484" x14ac:dyDescent="0.25">
      <c r="A872" s="46"/>
      <c r="B872" s="47"/>
      <c r="C872" s="127"/>
      <c r="D872" s="127"/>
      <c r="E872" s="127"/>
      <c r="F872" s="127"/>
      <c r="G872" s="127"/>
      <c r="H872" s="127"/>
      <c r="I872" s="127"/>
      <c r="J872" s="127"/>
      <c r="K872" s="127"/>
      <c r="L872" s="127"/>
      <c r="M872" s="127"/>
      <c r="RG872" s="6"/>
      <c r="RH872" s="6"/>
      <c r="RI872" s="6"/>
      <c r="RJ872" s="6"/>
      <c r="RK872" s="6"/>
      <c r="RL872" s="45"/>
      <c r="RM872" s="4"/>
      <c r="RN872" s="4"/>
      <c r="RO872" s="4"/>
      <c r="RP872" s="6"/>
    </row>
    <row r="873" spans="1:484" x14ac:dyDescent="0.25">
      <c r="A873" s="46"/>
      <c r="B873" s="47"/>
      <c r="C873" s="127"/>
      <c r="D873" s="127"/>
      <c r="E873" s="127"/>
      <c r="F873" s="127"/>
      <c r="G873" s="127"/>
      <c r="H873" s="127"/>
      <c r="I873" s="127"/>
      <c r="J873" s="127"/>
      <c r="K873" s="127"/>
      <c r="L873" s="127"/>
      <c r="M873" s="127"/>
      <c r="RG873" s="6"/>
      <c r="RH873" s="6"/>
      <c r="RI873" s="6"/>
      <c r="RJ873" s="6"/>
      <c r="RK873" s="6"/>
      <c r="RL873" s="45"/>
      <c r="RM873" s="4"/>
      <c r="RN873" s="4"/>
      <c r="RO873" s="4"/>
      <c r="RP873" s="6"/>
    </row>
    <row r="874" spans="1:484" x14ac:dyDescent="0.25">
      <c r="A874" s="46"/>
      <c r="B874" s="47"/>
      <c r="C874" s="127"/>
      <c r="D874" s="127"/>
      <c r="E874" s="127"/>
      <c r="F874" s="127"/>
      <c r="G874" s="127"/>
      <c r="H874" s="127"/>
      <c r="I874" s="127"/>
      <c r="J874" s="127"/>
      <c r="K874" s="127"/>
      <c r="L874" s="127"/>
      <c r="M874" s="127"/>
      <c r="RG874" s="6"/>
      <c r="RH874" s="6"/>
      <c r="RI874" s="6"/>
      <c r="RJ874" s="6"/>
      <c r="RK874" s="6"/>
      <c r="RL874" s="45"/>
      <c r="RM874" s="4"/>
      <c r="RN874" s="4"/>
      <c r="RO874" s="4"/>
      <c r="RP874" s="6"/>
    </row>
    <row r="875" spans="1:484" x14ac:dyDescent="0.25">
      <c r="A875" s="46"/>
      <c r="B875" s="47"/>
      <c r="C875" s="127"/>
      <c r="D875" s="127"/>
      <c r="E875" s="127"/>
      <c r="F875" s="127"/>
      <c r="G875" s="127"/>
      <c r="H875" s="127"/>
      <c r="I875" s="127"/>
      <c r="J875" s="127"/>
      <c r="K875" s="127"/>
      <c r="L875" s="127"/>
      <c r="M875" s="127"/>
      <c r="RG875" s="6"/>
      <c r="RH875" s="6"/>
      <c r="RI875" s="6"/>
      <c r="RJ875" s="6"/>
      <c r="RK875" s="6"/>
      <c r="RL875" s="45"/>
      <c r="RM875" s="4"/>
      <c r="RN875" s="4"/>
      <c r="RO875" s="4"/>
      <c r="RP875" s="6"/>
    </row>
    <row r="876" spans="1:484" x14ac:dyDescent="0.25">
      <c r="A876" s="46"/>
      <c r="B876" s="47"/>
      <c r="C876" s="127"/>
      <c r="D876" s="127"/>
      <c r="E876" s="127"/>
      <c r="F876" s="127"/>
      <c r="G876" s="127"/>
      <c r="H876" s="127"/>
      <c r="I876" s="127"/>
      <c r="J876" s="127"/>
      <c r="K876" s="127"/>
      <c r="L876" s="127"/>
      <c r="M876" s="127"/>
      <c r="RG876" s="6"/>
      <c r="RH876" s="6"/>
      <c r="RI876" s="6"/>
      <c r="RJ876" s="6"/>
      <c r="RK876" s="6"/>
      <c r="RL876" s="45"/>
      <c r="RM876" s="4"/>
      <c r="RN876" s="4"/>
      <c r="RO876" s="4"/>
      <c r="RP876" s="6"/>
    </row>
    <row r="877" spans="1:484" x14ac:dyDescent="0.25">
      <c r="A877" s="46"/>
      <c r="B877" s="47"/>
      <c r="C877" s="127"/>
      <c r="D877" s="127"/>
      <c r="E877" s="127"/>
      <c r="F877" s="127"/>
      <c r="G877" s="127"/>
      <c r="H877" s="127"/>
      <c r="I877" s="127"/>
      <c r="J877" s="127"/>
      <c r="K877" s="127"/>
      <c r="L877" s="127"/>
      <c r="M877" s="127"/>
      <c r="RG877" s="6"/>
      <c r="RH877" s="6"/>
      <c r="RI877" s="6"/>
      <c r="RJ877" s="6"/>
      <c r="RK877" s="6"/>
      <c r="RL877" s="45"/>
      <c r="RM877" s="4"/>
      <c r="RN877" s="4"/>
      <c r="RO877" s="4"/>
      <c r="RP877" s="6"/>
    </row>
    <row r="878" spans="1:484" x14ac:dyDescent="0.25">
      <c r="A878" s="46"/>
      <c r="B878" s="47"/>
      <c r="C878" s="127"/>
      <c r="D878" s="127"/>
      <c r="E878" s="127"/>
      <c r="F878" s="127"/>
      <c r="G878" s="127"/>
      <c r="H878" s="127"/>
      <c r="I878" s="127"/>
      <c r="J878" s="127"/>
      <c r="K878" s="127"/>
      <c r="L878" s="127"/>
      <c r="M878" s="127"/>
      <c r="RG878" s="6"/>
      <c r="RH878" s="6"/>
      <c r="RI878" s="6"/>
      <c r="RJ878" s="6"/>
      <c r="RK878" s="6"/>
      <c r="RL878" s="45"/>
      <c r="RM878" s="4"/>
      <c r="RN878" s="4"/>
      <c r="RO878" s="4"/>
      <c r="RP878" s="6"/>
    </row>
    <row r="879" spans="1:484" x14ac:dyDescent="0.25">
      <c r="A879" s="46"/>
      <c r="B879" s="47"/>
      <c r="C879" s="127"/>
      <c r="D879" s="127"/>
      <c r="E879" s="127"/>
      <c r="F879" s="127"/>
      <c r="G879" s="127"/>
      <c r="H879" s="127"/>
      <c r="I879" s="127"/>
      <c r="J879" s="127"/>
      <c r="K879" s="127"/>
      <c r="L879" s="127"/>
      <c r="M879" s="127"/>
      <c r="RG879" s="6"/>
      <c r="RH879" s="6"/>
      <c r="RI879" s="6"/>
      <c r="RJ879" s="6"/>
      <c r="RK879" s="6"/>
      <c r="RL879" s="45"/>
      <c r="RM879" s="4"/>
      <c r="RN879" s="4"/>
      <c r="RO879" s="4"/>
      <c r="RP879" s="6"/>
    </row>
    <row r="880" spans="1:484" x14ac:dyDescent="0.25">
      <c r="A880" s="46"/>
      <c r="B880" s="47"/>
      <c r="C880" s="127"/>
      <c r="D880" s="127"/>
      <c r="E880" s="127"/>
      <c r="F880" s="127"/>
      <c r="G880" s="127"/>
      <c r="H880" s="127"/>
      <c r="I880" s="127"/>
      <c r="J880" s="127"/>
      <c r="K880" s="127"/>
      <c r="L880" s="127"/>
      <c r="M880" s="127"/>
      <c r="RG880" s="6"/>
      <c r="RH880" s="6"/>
      <c r="RI880" s="6"/>
      <c r="RJ880" s="6"/>
      <c r="RK880" s="6"/>
      <c r="RL880" s="45"/>
      <c r="RM880" s="4"/>
      <c r="RN880" s="4"/>
      <c r="RO880" s="4"/>
      <c r="RP880" s="6"/>
    </row>
    <row r="881" spans="1:484" x14ac:dyDescent="0.25">
      <c r="A881" s="46"/>
      <c r="B881" s="47"/>
      <c r="C881" s="127"/>
      <c r="D881" s="127"/>
      <c r="E881" s="127"/>
      <c r="F881" s="127"/>
      <c r="G881" s="127"/>
      <c r="H881" s="127"/>
      <c r="I881" s="127"/>
      <c r="J881" s="127"/>
      <c r="K881" s="127"/>
      <c r="L881" s="127"/>
      <c r="M881" s="127"/>
      <c r="RG881" s="6"/>
      <c r="RH881" s="6"/>
      <c r="RI881" s="6"/>
      <c r="RJ881" s="6"/>
      <c r="RK881" s="6"/>
      <c r="RL881" s="45"/>
      <c r="RM881" s="4"/>
      <c r="RN881" s="4"/>
      <c r="RO881" s="4"/>
      <c r="RP881" s="6"/>
    </row>
    <row r="882" spans="1:484" x14ac:dyDescent="0.25">
      <c r="A882" s="46"/>
      <c r="B882" s="47"/>
      <c r="C882" s="127"/>
      <c r="D882" s="127"/>
      <c r="E882" s="127"/>
      <c r="F882" s="127"/>
      <c r="G882" s="127"/>
      <c r="H882" s="127"/>
      <c r="I882" s="127"/>
      <c r="J882" s="127"/>
      <c r="K882" s="127"/>
      <c r="L882" s="127"/>
      <c r="M882" s="127"/>
      <c r="RG882" s="6"/>
      <c r="RH882" s="6"/>
      <c r="RI882" s="6"/>
      <c r="RJ882" s="6"/>
      <c r="RK882" s="6"/>
      <c r="RL882" s="45"/>
      <c r="RM882" s="4"/>
      <c r="RN882" s="4"/>
      <c r="RO882" s="4"/>
      <c r="RP882" s="6"/>
    </row>
    <row r="883" spans="1:484" x14ac:dyDescent="0.25">
      <c r="A883" s="46"/>
      <c r="B883" s="47"/>
      <c r="C883" s="127"/>
      <c r="D883" s="127"/>
      <c r="E883" s="127"/>
      <c r="F883" s="127"/>
      <c r="G883" s="127"/>
      <c r="H883" s="127"/>
      <c r="I883" s="127"/>
      <c r="J883" s="127"/>
      <c r="K883" s="127"/>
      <c r="L883" s="127"/>
      <c r="M883" s="127"/>
      <c r="RG883" s="6"/>
      <c r="RH883" s="6"/>
      <c r="RI883" s="6"/>
      <c r="RJ883" s="6"/>
      <c r="RK883" s="6"/>
      <c r="RL883" s="45"/>
      <c r="RM883" s="4"/>
      <c r="RN883" s="4"/>
      <c r="RO883" s="4"/>
      <c r="RP883" s="6"/>
    </row>
    <row r="884" spans="1:484" x14ac:dyDescent="0.25">
      <c r="A884" s="46"/>
      <c r="B884" s="47"/>
      <c r="C884" s="127"/>
      <c r="D884" s="127"/>
      <c r="E884" s="127"/>
      <c r="F884" s="127"/>
      <c r="G884" s="127"/>
      <c r="H884" s="127"/>
      <c r="I884" s="127"/>
      <c r="J884" s="127"/>
      <c r="K884" s="127"/>
      <c r="L884" s="127"/>
      <c r="M884" s="127"/>
      <c r="RG884" s="6"/>
      <c r="RH884" s="6"/>
      <c r="RI884" s="6"/>
      <c r="RJ884" s="6"/>
      <c r="RK884" s="6"/>
      <c r="RL884" s="45"/>
      <c r="RM884" s="4"/>
      <c r="RN884" s="4"/>
      <c r="RO884" s="4"/>
      <c r="RP884" s="6"/>
    </row>
    <row r="885" spans="1:484" x14ac:dyDescent="0.25">
      <c r="A885" s="46"/>
      <c r="B885" s="47"/>
      <c r="C885" s="127"/>
      <c r="D885" s="127"/>
      <c r="E885" s="127"/>
      <c r="F885" s="127"/>
      <c r="G885" s="127"/>
      <c r="H885" s="127"/>
      <c r="I885" s="127"/>
      <c r="J885" s="127"/>
      <c r="K885" s="127"/>
      <c r="L885" s="127"/>
      <c r="M885" s="127"/>
      <c r="RG885" s="6"/>
      <c r="RH885" s="6"/>
      <c r="RI885" s="6"/>
      <c r="RJ885" s="6"/>
      <c r="RK885" s="6"/>
      <c r="RL885" s="45"/>
      <c r="RM885" s="4"/>
      <c r="RN885" s="4"/>
      <c r="RO885" s="4"/>
      <c r="RP885" s="6"/>
    </row>
    <row r="886" spans="1:484" x14ac:dyDescent="0.25">
      <c r="A886" s="46"/>
      <c r="B886" s="47"/>
      <c r="C886" s="127"/>
      <c r="D886" s="127"/>
      <c r="E886" s="127"/>
      <c r="F886" s="127"/>
      <c r="G886" s="127"/>
      <c r="H886" s="127"/>
      <c r="I886" s="127"/>
      <c r="J886" s="127"/>
      <c r="K886" s="127"/>
      <c r="L886" s="127"/>
      <c r="M886" s="127"/>
      <c r="RG886" s="6"/>
      <c r="RH886" s="6"/>
      <c r="RI886" s="6"/>
      <c r="RJ886" s="6"/>
      <c r="RK886" s="6"/>
      <c r="RL886" s="45"/>
      <c r="RM886" s="4"/>
      <c r="RN886" s="4"/>
      <c r="RO886" s="4"/>
      <c r="RP886" s="6"/>
    </row>
    <row r="887" spans="1:484" x14ac:dyDescent="0.25">
      <c r="A887" s="46"/>
      <c r="B887" s="47"/>
      <c r="C887" s="127"/>
      <c r="D887" s="127"/>
      <c r="E887" s="127"/>
      <c r="F887" s="127"/>
      <c r="G887" s="127"/>
      <c r="H887" s="127"/>
      <c r="I887" s="127"/>
      <c r="J887" s="127"/>
      <c r="K887" s="127"/>
      <c r="L887" s="127"/>
      <c r="M887" s="127"/>
      <c r="RG887" s="6"/>
      <c r="RH887" s="6"/>
      <c r="RI887" s="6"/>
      <c r="RJ887" s="6"/>
      <c r="RK887" s="6"/>
      <c r="RL887" s="45"/>
      <c r="RM887" s="4"/>
      <c r="RN887" s="4"/>
      <c r="RO887" s="4"/>
      <c r="RP887" s="6"/>
    </row>
    <row r="888" spans="1:484" x14ac:dyDescent="0.25">
      <c r="A888" s="46"/>
      <c r="B888" s="47"/>
      <c r="C888" s="127"/>
      <c r="D888" s="127"/>
      <c r="E888" s="127"/>
      <c r="F888" s="127"/>
      <c r="G888" s="127"/>
      <c r="H888" s="127"/>
      <c r="I888" s="127"/>
      <c r="J888" s="127"/>
      <c r="K888" s="127"/>
      <c r="L888" s="127"/>
      <c r="M888" s="127"/>
      <c r="RG888" s="6"/>
      <c r="RH888" s="6"/>
      <c r="RI888" s="6"/>
      <c r="RJ888" s="6"/>
      <c r="RK888" s="6"/>
      <c r="RL888" s="45"/>
      <c r="RM888" s="4"/>
      <c r="RN888" s="4"/>
      <c r="RO888" s="4"/>
      <c r="RP888" s="6"/>
    </row>
    <row r="889" spans="1:484" x14ac:dyDescent="0.25">
      <c r="A889" s="46"/>
      <c r="B889" s="47"/>
      <c r="C889" s="127"/>
      <c r="D889" s="127"/>
      <c r="E889" s="127"/>
      <c r="F889" s="127"/>
      <c r="G889" s="127"/>
      <c r="H889" s="127"/>
      <c r="I889" s="127"/>
      <c r="J889" s="127"/>
      <c r="K889" s="127"/>
      <c r="L889" s="127"/>
      <c r="M889" s="127"/>
      <c r="RG889" s="6"/>
      <c r="RH889" s="6"/>
      <c r="RI889" s="6"/>
      <c r="RJ889" s="6"/>
      <c r="RK889" s="6"/>
      <c r="RL889" s="45"/>
      <c r="RM889" s="4"/>
      <c r="RN889" s="4"/>
      <c r="RO889" s="4"/>
      <c r="RP889" s="6"/>
    </row>
    <row r="890" spans="1:484" x14ac:dyDescent="0.25">
      <c r="A890" s="46"/>
      <c r="B890" s="47"/>
      <c r="C890" s="127"/>
      <c r="D890" s="127"/>
      <c r="E890" s="127"/>
      <c r="F890" s="127"/>
      <c r="G890" s="127"/>
      <c r="H890" s="127"/>
      <c r="I890" s="127"/>
      <c r="J890" s="127"/>
      <c r="K890" s="127"/>
      <c r="L890" s="127"/>
      <c r="M890" s="127"/>
      <c r="RG890" s="6"/>
      <c r="RH890" s="6"/>
      <c r="RI890" s="6"/>
      <c r="RJ890" s="6"/>
      <c r="RK890" s="6"/>
      <c r="RL890" s="45"/>
      <c r="RM890" s="4"/>
      <c r="RN890" s="4"/>
      <c r="RO890" s="4"/>
      <c r="RP890" s="6"/>
    </row>
    <row r="891" spans="1:484" x14ac:dyDescent="0.25">
      <c r="A891" s="46"/>
      <c r="B891" s="47"/>
      <c r="C891" s="127"/>
      <c r="D891" s="127"/>
      <c r="E891" s="127"/>
      <c r="F891" s="127"/>
      <c r="G891" s="127"/>
      <c r="H891" s="127"/>
      <c r="I891" s="127"/>
      <c r="J891" s="127"/>
      <c r="K891" s="127"/>
      <c r="L891" s="127"/>
      <c r="M891" s="127"/>
      <c r="RG891" s="6"/>
      <c r="RH891" s="6"/>
      <c r="RI891" s="6"/>
      <c r="RJ891" s="6"/>
      <c r="RK891" s="6"/>
      <c r="RL891" s="45"/>
      <c r="RM891" s="4"/>
      <c r="RN891" s="4"/>
      <c r="RO891" s="4"/>
      <c r="RP891" s="6"/>
    </row>
    <row r="892" spans="1:484" x14ac:dyDescent="0.25">
      <c r="A892" s="46"/>
      <c r="B892" s="47"/>
      <c r="C892" s="127"/>
      <c r="D892" s="127"/>
      <c r="E892" s="127"/>
      <c r="F892" s="127"/>
      <c r="G892" s="127"/>
      <c r="H892" s="127"/>
      <c r="I892" s="127"/>
      <c r="J892" s="127"/>
      <c r="K892" s="127"/>
      <c r="L892" s="127"/>
      <c r="M892" s="127"/>
      <c r="RG892" s="6"/>
      <c r="RH892" s="6"/>
      <c r="RI892" s="6"/>
      <c r="RJ892" s="6"/>
      <c r="RK892" s="6"/>
      <c r="RL892" s="45"/>
      <c r="RM892" s="4"/>
      <c r="RN892" s="4"/>
      <c r="RO892" s="4"/>
      <c r="RP892" s="6"/>
    </row>
    <row r="893" spans="1:484" x14ac:dyDescent="0.25">
      <c r="A893" s="46"/>
      <c r="B893" s="47"/>
      <c r="C893" s="127"/>
      <c r="D893" s="127"/>
      <c r="E893" s="127"/>
      <c r="F893" s="127"/>
      <c r="G893" s="127"/>
      <c r="H893" s="127"/>
      <c r="I893" s="127"/>
      <c r="J893" s="127"/>
      <c r="K893" s="127"/>
      <c r="L893" s="127"/>
      <c r="M893" s="127"/>
      <c r="RG893" s="6"/>
      <c r="RH893" s="6"/>
      <c r="RI893" s="6"/>
      <c r="RJ893" s="6"/>
      <c r="RK893" s="6"/>
      <c r="RL893" s="45"/>
      <c r="RM893" s="4"/>
      <c r="RN893" s="4"/>
      <c r="RO893" s="4"/>
      <c r="RP893" s="6"/>
    </row>
    <row r="894" spans="1:484" x14ac:dyDescent="0.25">
      <c r="A894" s="46"/>
      <c r="B894" s="47"/>
      <c r="C894" s="127"/>
      <c r="D894" s="127"/>
      <c r="E894" s="127"/>
      <c r="F894" s="127"/>
      <c r="G894" s="127"/>
      <c r="H894" s="127"/>
      <c r="I894" s="127"/>
      <c r="J894" s="127"/>
      <c r="K894" s="127"/>
      <c r="L894" s="127"/>
      <c r="M894" s="127"/>
      <c r="RG894" s="6"/>
      <c r="RH894" s="6"/>
      <c r="RI894" s="6"/>
      <c r="RJ894" s="6"/>
      <c r="RK894" s="6"/>
      <c r="RL894" s="45"/>
      <c r="RM894" s="4"/>
      <c r="RN894" s="4"/>
      <c r="RO894" s="4"/>
      <c r="RP894" s="6"/>
    </row>
    <row r="895" spans="1:484" x14ac:dyDescent="0.25">
      <c r="A895" s="46"/>
      <c r="B895" s="47"/>
      <c r="C895" s="127"/>
      <c r="D895" s="127"/>
      <c r="E895" s="127"/>
      <c r="F895" s="127"/>
      <c r="G895" s="127"/>
      <c r="H895" s="127"/>
      <c r="I895" s="127"/>
      <c r="J895" s="127"/>
      <c r="K895" s="127"/>
      <c r="L895" s="127"/>
      <c r="M895" s="127"/>
      <c r="RG895" s="6"/>
      <c r="RH895" s="6"/>
      <c r="RI895" s="6"/>
      <c r="RJ895" s="6"/>
      <c r="RK895" s="6"/>
      <c r="RL895" s="45"/>
      <c r="RM895" s="4"/>
      <c r="RN895" s="4"/>
      <c r="RO895" s="4"/>
      <c r="RP895" s="6"/>
    </row>
    <row r="896" spans="1:484" x14ac:dyDescent="0.25">
      <c r="A896" s="46"/>
      <c r="B896" s="47"/>
      <c r="C896" s="127"/>
      <c r="D896" s="127"/>
      <c r="E896" s="127"/>
      <c r="F896" s="127"/>
      <c r="G896" s="127"/>
      <c r="H896" s="127"/>
      <c r="I896" s="127"/>
      <c r="J896" s="127"/>
      <c r="K896" s="127"/>
      <c r="L896" s="127"/>
      <c r="M896" s="127"/>
      <c r="RG896" s="6"/>
      <c r="RH896" s="6"/>
      <c r="RI896" s="6"/>
      <c r="RJ896" s="6"/>
      <c r="RK896" s="6"/>
      <c r="RL896" s="45"/>
      <c r="RM896" s="4"/>
      <c r="RN896" s="4"/>
      <c r="RO896" s="4"/>
      <c r="RP896" s="6"/>
    </row>
    <row r="897" spans="1:484" x14ac:dyDescent="0.25">
      <c r="A897" s="46"/>
      <c r="B897" s="47"/>
      <c r="C897" s="127"/>
      <c r="D897" s="127"/>
      <c r="E897" s="127"/>
      <c r="F897" s="127"/>
      <c r="G897" s="127"/>
      <c r="H897" s="127"/>
      <c r="I897" s="127"/>
      <c r="J897" s="127"/>
      <c r="K897" s="127"/>
      <c r="L897" s="127"/>
      <c r="M897" s="127"/>
      <c r="RG897" s="6"/>
      <c r="RH897" s="6"/>
      <c r="RI897" s="6"/>
      <c r="RJ897" s="6"/>
      <c r="RK897" s="6"/>
      <c r="RL897" s="45"/>
      <c r="RM897" s="4"/>
      <c r="RN897" s="4"/>
      <c r="RO897" s="4"/>
      <c r="RP897" s="6"/>
    </row>
    <row r="898" spans="1:484" x14ac:dyDescent="0.25">
      <c r="A898" s="46"/>
      <c r="B898" s="47"/>
      <c r="C898" s="127"/>
      <c r="D898" s="127"/>
      <c r="E898" s="127"/>
      <c r="F898" s="127"/>
      <c r="G898" s="127"/>
      <c r="H898" s="127"/>
      <c r="I898" s="127"/>
      <c r="J898" s="127"/>
      <c r="K898" s="127"/>
      <c r="L898" s="127"/>
      <c r="M898" s="127"/>
      <c r="RG898" s="6"/>
      <c r="RH898" s="6"/>
      <c r="RI898" s="6"/>
      <c r="RJ898" s="6"/>
      <c r="RK898" s="6"/>
      <c r="RL898" s="45"/>
      <c r="RM898" s="4"/>
      <c r="RN898" s="4"/>
      <c r="RO898" s="4"/>
      <c r="RP898" s="6"/>
    </row>
    <row r="899" spans="1:484" x14ac:dyDescent="0.25">
      <c r="A899" s="46"/>
      <c r="B899" s="47"/>
      <c r="C899" s="127"/>
      <c r="D899" s="127"/>
      <c r="E899" s="127"/>
      <c r="F899" s="127"/>
      <c r="G899" s="127"/>
      <c r="H899" s="127"/>
      <c r="I899" s="127"/>
      <c r="J899" s="127"/>
      <c r="K899" s="127"/>
      <c r="L899" s="127"/>
      <c r="M899" s="127"/>
      <c r="RG899" s="6"/>
      <c r="RH899" s="6"/>
      <c r="RI899" s="6"/>
      <c r="RJ899" s="6"/>
      <c r="RK899" s="6"/>
      <c r="RL899" s="45"/>
      <c r="RM899" s="4"/>
      <c r="RN899" s="4"/>
      <c r="RO899" s="4"/>
      <c r="RP899" s="6"/>
    </row>
    <row r="900" spans="1:484" x14ac:dyDescent="0.25">
      <c r="A900" s="46"/>
      <c r="B900" s="47"/>
      <c r="C900" s="127"/>
      <c r="D900" s="127"/>
      <c r="E900" s="127"/>
      <c r="F900" s="127"/>
      <c r="G900" s="127"/>
      <c r="H900" s="127"/>
      <c r="I900" s="127"/>
      <c r="J900" s="127"/>
      <c r="K900" s="127"/>
      <c r="L900" s="127"/>
      <c r="M900" s="127"/>
      <c r="RG900" s="6"/>
      <c r="RH900" s="6"/>
      <c r="RI900" s="6"/>
      <c r="RJ900" s="6"/>
      <c r="RK900" s="6"/>
      <c r="RL900" s="45"/>
      <c r="RM900" s="4"/>
      <c r="RN900" s="4"/>
      <c r="RO900" s="4"/>
      <c r="RP900" s="6"/>
    </row>
    <row r="901" spans="1:484" x14ac:dyDescent="0.25">
      <c r="A901" s="46"/>
      <c r="B901" s="47"/>
      <c r="C901" s="127"/>
      <c r="D901" s="127"/>
      <c r="E901" s="127"/>
      <c r="F901" s="127"/>
      <c r="G901" s="127"/>
      <c r="H901" s="127"/>
      <c r="I901" s="127"/>
      <c r="J901" s="127"/>
      <c r="K901" s="127"/>
      <c r="L901" s="127"/>
      <c r="M901" s="127"/>
      <c r="RG901" s="6"/>
      <c r="RH901" s="6"/>
      <c r="RI901" s="6"/>
      <c r="RJ901" s="6"/>
      <c r="RK901" s="6"/>
      <c r="RL901" s="45"/>
      <c r="RM901" s="4"/>
      <c r="RN901" s="4"/>
      <c r="RO901" s="4"/>
      <c r="RP901" s="6"/>
    </row>
    <row r="902" spans="1:484" x14ac:dyDescent="0.25">
      <c r="A902" s="46"/>
      <c r="B902" s="47"/>
      <c r="C902" s="127"/>
      <c r="D902" s="127"/>
      <c r="E902" s="127"/>
      <c r="F902" s="127"/>
      <c r="G902" s="127"/>
      <c r="H902" s="127"/>
      <c r="I902" s="127"/>
      <c r="J902" s="127"/>
      <c r="K902" s="127"/>
      <c r="L902" s="127"/>
      <c r="M902" s="127"/>
      <c r="RG902" s="6"/>
      <c r="RH902" s="6"/>
      <c r="RI902" s="6"/>
      <c r="RJ902" s="6"/>
      <c r="RK902" s="6"/>
      <c r="RL902" s="45"/>
      <c r="RM902" s="4"/>
      <c r="RN902" s="4"/>
      <c r="RO902" s="4"/>
      <c r="RP902" s="6"/>
    </row>
    <row r="903" spans="1:484" x14ac:dyDescent="0.25">
      <c r="A903" s="46"/>
      <c r="B903" s="47"/>
      <c r="C903" s="127"/>
      <c r="D903" s="127"/>
      <c r="E903" s="127"/>
      <c r="F903" s="127"/>
      <c r="G903" s="127"/>
      <c r="H903" s="127"/>
      <c r="I903" s="127"/>
      <c r="J903" s="127"/>
      <c r="K903" s="127"/>
      <c r="L903" s="127"/>
      <c r="M903" s="127"/>
      <c r="RG903" s="6"/>
      <c r="RH903" s="6"/>
      <c r="RI903" s="6"/>
      <c r="RJ903" s="6"/>
      <c r="RK903" s="6"/>
      <c r="RL903" s="45"/>
      <c r="RM903" s="4"/>
      <c r="RN903" s="4"/>
      <c r="RO903" s="4"/>
      <c r="RP903" s="6"/>
    </row>
    <row r="904" spans="1:484" x14ac:dyDescent="0.25">
      <c r="A904" s="46"/>
      <c r="B904" s="47"/>
      <c r="C904" s="127"/>
      <c r="D904" s="127"/>
      <c r="E904" s="127"/>
      <c r="F904" s="127"/>
      <c r="G904" s="127"/>
      <c r="H904" s="127"/>
      <c r="I904" s="127"/>
      <c r="J904" s="127"/>
      <c r="K904" s="127"/>
      <c r="L904" s="127"/>
      <c r="M904" s="127"/>
      <c r="RG904" s="6"/>
      <c r="RH904" s="6"/>
      <c r="RI904" s="6"/>
      <c r="RJ904" s="6"/>
      <c r="RK904" s="6"/>
      <c r="RL904" s="45"/>
      <c r="RM904" s="4"/>
      <c r="RN904" s="4"/>
      <c r="RO904" s="4"/>
      <c r="RP904" s="6"/>
    </row>
    <row r="905" spans="1:484" x14ac:dyDescent="0.25">
      <c r="A905" s="46"/>
      <c r="B905" s="47"/>
      <c r="C905" s="127"/>
      <c r="D905" s="127"/>
      <c r="E905" s="127"/>
      <c r="F905" s="127"/>
      <c r="G905" s="127"/>
      <c r="H905" s="127"/>
      <c r="I905" s="127"/>
      <c r="J905" s="127"/>
      <c r="K905" s="127"/>
      <c r="L905" s="127"/>
      <c r="M905" s="127"/>
      <c r="RG905" s="6"/>
      <c r="RH905" s="6"/>
      <c r="RI905" s="6"/>
      <c r="RJ905" s="6"/>
      <c r="RK905" s="6"/>
      <c r="RL905" s="45"/>
      <c r="RM905" s="4"/>
      <c r="RN905" s="4"/>
      <c r="RO905" s="4"/>
      <c r="RP905" s="6"/>
    </row>
    <row r="906" spans="1:484" x14ac:dyDescent="0.25">
      <c r="A906" s="46"/>
      <c r="B906" s="47"/>
      <c r="C906" s="127"/>
      <c r="D906" s="127"/>
      <c r="E906" s="127"/>
      <c r="F906" s="127"/>
      <c r="G906" s="127"/>
      <c r="H906" s="127"/>
      <c r="I906" s="127"/>
      <c r="J906" s="127"/>
      <c r="K906" s="127"/>
      <c r="L906" s="127"/>
      <c r="M906" s="127"/>
      <c r="RG906" s="6"/>
      <c r="RH906" s="6"/>
      <c r="RI906" s="6"/>
      <c r="RJ906" s="6"/>
      <c r="RK906" s="6"/>
      <c r="RL906" s="45"/>
      <c r="RM906" s="4"/>
      <c r="RN906" s="4"/>
      <c r="RO906" s="4"/>
      <c r="RP906" s="6"/>
    </row>
    <row r="907" spans="1:484" x14ac:dyDescent="0.25">
      <c r="A907" s="46"/>
      <c r="B907" s="47"/>
      <c r="C907" s="127"/>
      <c r="D907" s="127"/>
      <c r="E907" s="127"/>
      <c r="F907" s="127"/>
      <c r="G907" s="127"/>
      <c r="H907" s="127"/>
      <c r="I907" s="127"/>
      <c r="J907" s="127"/>
      <c r="K907" s="127"/>
      <c r="L907" s="127"/>
      <c r="M907" s="127"/>
      <c r="RG907" s="6"/>
      <c r="RH907" s="6"/>
      <c r="RI907" s="6"/>
      <c r="RJ907" s="6"/>
      <c r="RK907" s="6"/>
      <c r="RL907" s="45"/>
      <c r="RM907" s="4"/>
      <c r="RN907" s="4"/>
      <c r="RO907" s="4"/>
      <c r="RP907" s="6"/>
    </row>
    <row r="908" spans="1:484" x14ac:dyDescent="0.25">
      <c r="A908" s="46"/>
      <c r="B908" s="47"/>
      <c r="C908" s="127"/>
      <c r="D908" s="127"/>
      <c r="E908" s="127"/>
      <c r="F908" s="127"/>
      <c r="G908" s="127"/>
      <c r="H908" s="127"/>
      <c r="I908" s="127"/>
      <c r="J908" s="127"/>
      <c r="K908" s="127"/>
      <c r="L908" s="127"/>
      <c r="M908" s="127"/>
      <c r="RG908" s="6"/>
      <c r="RH908" s="6"/>
      <c r="RI908" s="6"/>
      <c r="RJ908" s="6"/>
      <c r="RK908" s="6"/>
      <c r="RL908" s="45"/>
      <c r="RM908" s="4"/>
      <c r="RN908" s="4"/>
      <c r="RO908" s="4"/>
      <c r="RP908" s="6"/>
    </row>
    <row r="909" spans="1:484" x14ac:dyDescent="0.25">
      <c r="A909" s="46"/>
      <c r="B909" s="47"/>
      <c r="C909" s="127"/>
      <c r="D909" s="127"/>
      <c r="E909" s="127"/>
      <c r="F909" s="127"/>
      <c r="G909" s="127"/>
      <c r="H909" s="127"/>
      <c r="I909" s="127"/>
      <c r="J909" s="127"/>
      <c r="K909" s="127"/>
      <c r="L909" s="127"/>
      <c r="M909" s="127"/>
      <c r="RG909" s="6"/>
      <c r="RH909" s="6"/>
      <c r="RI909" s="6"/>
      <c r="RJ909" s="6"/>
      <c r="RK909" s="6"/>
      <c r="RL909" s="45"/>
      <c r="RM909" s="4"/>
      <c r="RN909" s="4"/>
      <c r="RO909" s="4"/>
      <c r="RP909" s="6"/>
    </row>
    <row r="910" spans="1:484" x14ac:dyDescent="0.25">
      <c r="A910" s="46"/>
      <c r="B910" s="47"/>
      <c r="C910" s="127"/>
      <c r="D910" s="127"/>
      <c r="E910" s="127"/>
      <c r="F910" s="127"/>
      <c r="G910" s="127"/>
      <c r="H910" s="127"/>
      <c r="I910" s="127"/>
      <c r="J910" s="127"/>
      <c r="K910" s="127"/>
      <c r="L910" s="127"/>
      <c r="M910" s="127"/>
      <c r="RG910" s="6"/>
      <c r="RH910" s="6"/>
      <c r="RI910" s="6"/>
      <c r="RJ910" s="6"/>
      <c r="RK910" s="6"/>
      <c r="RL910" s="45"/>
      <c r="RM910" s="4"/>
      <c r="RN910" s="4"/>
      <c r="RO910" s="4"/>
      <c r="RP910" s="6"/>
    </row>
    <row r="911" spans="1:484" x14ac:dyDescent="0.25">
      <c r="A911" s="46"/>
      <c r="B911" s="47"/>
      <c r="C911" s="127"/>
      <c r="D911" s="127"/>
      <c r="E911" s="127"/>
      <c r="F911" s="127"/>
      <c r="G911" s="127"/>
      <c r="H911" s="127"/>
      <c r="I911" s="127"/>
      <c r="J911" s="127"/>
      <c r="K911" s="127"/>
      <c r="L911" s="127"/>
      <c r="M911" s="127"/>
      <c r="RG911" s="6"/>
      <c r="RH911" s="6"/>
      <c r="RI911" s="6"/>
      <c r="RJ911" s="6"/>
      <c r="RK911" s="6"/>
      <c r="RL911" s="45"/>
      <c r="RM911" s="4"/>
      <c r="RN911" s="4"/>
      <c r="RO911" s="4"/>
      <c r="RP911" s="6"/>
    </row>
    <row r="912" spans="1:484" x14ac:dyDescent="0.25">
      <c r="A912" s="46"/>
      <c r="B912" s="47"/>
      <c r="C912" s="127"/>
      <c r="D912" s="127"/>
      <c r="E912" s="127"/>
      <c r="F912" s="127"/>
      <c r="G912" s="127"/>
      <c r="H912" s="127"/>
      <c r="I912" s="127"/>
      <c r="J912" s="127"/>
      <c r="K912" s="127"/>
      <c r="L912" s="127"/>
      <c r="M912" s="127"/>
      <c r="RG912" s="6"/>
      <c r="RH912" s="6"/>
      <c r="RI912" s="6"/>
      <c r="RJ912" s="6"/>
      <c r="RK912" s="6"/>
      <c r="RL912" s="45"/>
      <c r="RM912" s="4"/>
      <c r="RN912" s="4"/>
      <c r="RO912" s="4"/>
      <c r="RP912" s="6"/>
    </row>
    <row r="913" spans="1:484" x14ac:dyDescent="0.25">
      <c r="A913" s="46"/>
      <c r="B913" s="47"/>
      <c r="C913" s="127"/>
      <c r="D913" s="127"/>
      <c r="E913" s="127"/>
      <c r="F913" s="127"/>
      <c r="G913" s="127"/>
      <c r="H913" s="127"/>
      <c r="I913" s="127"/>
      <c r="J913" s="127"/>
      <c r="K913" s="127"/>
      <c r="L913" s="127"/>
      <c r="M913" s="127"/>
      <c r="RG913" s="6"/>
      <c r="RH913" s="6"/>
      <c r="RI913" s="6"/>
      <c r="RJ913" s="6"/>
      <c r="RK913" s="6"/>
      <c r="RL913" s="45"/>
      <c r="RM913" s="4"/>
      <c r="RN913" s="4"/>
      <c r="RO913" s="4"/>
      <c r="RP913" s="6"/>
    </row>
    <row r="914" spans="1:484" x14ac:dyDescent="0.25">
      <c r="A914" s="46"/>
      <c r="B914" s="47"/>
      <c r="C914" s="127"/>
      <c r="D914" s="127"/>
      <c r="E914" s="127"/>
      <c r="F914" s="127"/>
      <c r="G914" s="127"/>
      <c r="H914" s="127"/>
      <c r="I914" s="127"/>
      <c r="J914" s="127"/>
      <c r="K914" s="127"/>
      <c r="L914" s="127"/>
      <c r="M914" s="127"/>
      <c r="RG914" s="6"/>
      <c r="RH914" s="6"/>
      <c r="RI914" s="6"/>
      <c r="RJ914" s="6"/>
      <c r="RK914" s="6"/>
      <c r="RL914" s="45"/>
      <c r="RM914" s="4"/>
      <c r="RN914" s="4"/>
      <c r="RO914" s="4"/>
      <c r="RP914" s="6"/>
    </row>
    <row r="915" spans="1:484" x14ac:dyDescent="0.25">
      <c r="A915" s="46"/>
      <c r="B915" s="47"/>
      <c r="C915" s="127"/>
      <c r="D915" s="127"/>
      <c r="E915" s="127"/>
      <c r="F915" s="127"/>
      <c r="G915" s="127"/>
      <c r="H915" s="127"/>
      <c r="I915" s="127"/>
      <c r="J915" s="127"/>
      <c r="K915" s="127"/>
      <c r="L915" s="127"/>
      <c r="M915" s="127"/>
      <c r="RG915" s="6"/>
      <c r="RH915" s="6"/>
      <c r="RI915" s="6"/>
      <c r="RJ915" s="6"/>
      <c r="RK915" s="6"/>
      <c r="RL915" s="45"/>
      <c r="RM915" s="4"/>
      <c r="RN915" s="4"/>
      <c r="RO915" s="4"/>
      <c r="RP915" s="6"/>
    </row>
    <row r="916" spans="1:484" x14ac:dyDescent="0.25">
      <c r="A916" s="46"/>
      <c r="B916" s="47"/>
      <c r="C916" s="127"/>
      <c r="D916" s="127"/>
      <c r="E916" s="127"/>
      <c r="F916" s="127"/>
      <c r="G916" s="127"/>
      <c r="H916" s="127"/>
      <c r="I916" s="127"/>
      <c r="J916" s="127"/>
      <c r="K916" s="127"/>
      <c r="L916" s="127"/>
      <c r="M916" s="127"/>
      <c r="RG916" s="6"/>
      <c r="RH916" s="6"/>
      <c r="RI916" s="6"/>
      <c r="RJ916" s="6"/>
      <c r="RK916" s="6"/>
      <c r="RL916" s="45"/>
      <c r="RM916" s="4"/>
      <c r="RN916" s="4"/>
      <c r="RO916" s="4"/>
      <c r="RP916" s="6"/>
    </row>
    <row r="917" spans="1:484" x14ac:dyDescent="0.25">
      <c r="A917" s="46"/>
      <c r="B917" s="47"/>
      <c r="C917" s="127"/>
      <c r="D917" s="127"/>
      <c r="E917" s="127"/>
      <c r="F917" s="127"/>
      <c r="G917" s="127"/>
      <c r="H917" s="127"/>
      <c r="I917" s="127"/>
      <c r="J917" s="127"/>
      <c r="K917" s="127"/>
      <c r="L917" s="127"/>
      <c r="M917" s="127"/>
      <c r="RG917" s="6"/>
      <c r="RH917" s="6"/>
      <c r="RI917" s="6"/>
      <c r="RJ917" s="6"/>
      <c r="RK917" s="6"/>
      <c r="RL917" s="45"/>
      <c r="RM917" s="4"/>
      <c r="RN917" s="4"/>
      <c r="RO917" s="4"/>
      <c r="RP917" s="6"/>
    </row>
    <row r="918" spans="1:484" x14ac:dyDescent="0.25">
      <c r="A918" s="46"/>
      <c r="B918" s="47"/>
      <c r="C918" s="127"/>
      <c r="D918" s="127"/>
      <c r="E918" s="127"/>
      <c r="F918" s="127"/>
      <c r="G918" s="127"/>
      <c r="H918" s="127"/>
      <c r="I918" s="127"/>
      <c r="J918" s="127"/>
      <c r="K918" s="127"/>
      <c r="L918" s="127"/>
      <c r="M918" s="127"/>
      <c r="RG918" s="6"/>
      <c r="RH918" s="6"/>
      <c r="RI918" s="6"/>
      <c r="RJ918" s="6"/>
      <c r="RK918" s="6"/>
      <c r="RL918" s="45"/>
      <c r="RM918" s="4"/>
      <c r="RN918" s="4"/>
      <c r="RO918" s="4"/>
      <c r="RP918" s="6"/>
    </row>
    <row r="919" spans="1:484" x14ac:dyDescent="0.25">
      <c r="A919" s="46"/>
      <c r="B919" s="47"/>
      <c r="C919" s="127"/>
      <c r="D919" s="127"/>
      <c r="E919" s="127"/>
      <c r="F919" s="127"/>
      <c r="G919" s="127"/>
      <c r="H919" s="127"/>
      <c r="I919" s="127"/>
      <c r="J919" s="127"/>
      <c r="K919" s="127"/>
      <c r="L919" s="127"/>
      <c r="M919" s="127"/>
      <c r="RG919" s="6"/>
      <c r="RH919" s="6"/>
      <c r="RI919" s="6"/>
      <c r="RJ919" s="6"/>
      <c r="RK919" s="6"/>
      <c r="RL919" s="45"/>
      <c r="RM919" s="4"/>
      <c r="RN919" s="4"/>
      <c r="RO919" s="4"/>
      <c r="RP919" s="6"/>
    </row>
    <row r="920" spans="1:484" x14ac:dyDescent="0.25">
      <c r="A920" s="46"/>
      <c r="B920" s="47"/>
      <c r="C920" s="127"/>
      <c r="D920" s="127"/>
      <c r="E920" s="127"/>
      <c r="F920" s="127"/>
      <c r="G920" s="127"/>
      <c r="H920" s="127"/>
      <c r="I920" s="127"/>
      <c r="J920" s="127"/>
      <c r="K920" s="127"/>
      <c r="L920" s="127"/>
      <c r="M920" s="127"/>
      <c r="RG920" s="6"/>
      <c r="RH920" s="6"/>
      <c r="RI920" s="6"/>
      <c r="RJ920" s="6"/>
      <c r="RK920" s="6"/>
      <c r="RL920" s="45"/>
      <c r="RM920" s="4"/>
      <c r="RN920" s="4"/>
      <c r="RO920" s="4"/>
      <c r="RP920" s="6"/>
    </row>
    <row r="921" spans="1:484" x14ac:dyDescent="0.25">
      <c r="A921" s="46"/>
      <c r="B921" s="47"/>
      <c r="C921" s="127"/>
      <c r="D921" s="127"/>
      <c r="E921" s="127"/>
      <c r="F921" s="127"/>
      <c r="G921" s="127"/>
      <c r="H921" s="127"/>
      <c r="I921" s="127"/>
      <c r="J921" s="127"/>
      <c r="K921" s="127"/>
      <c r="L921" s="127"/>
      <c r="M921" s="127"/>
      <c r="RG921" s="6"/>
      <c r="RH921" s="6"/>
      <c r="RI921" s="6"/>
      <c r="RJ921" s="6"/>
      <c r="RK921" s="6"/>
      <c r="RL921" s="45"/>
      <c r="RM921" s="4"/>
      <c r="RN921" s="4"/>
      <c r="RO921" s="4"/>
      <c r="RP921" s="6"/>
    </row>
    <row r="922" spans="1:484" x14ac:dyDescent="0.25">
      <c r="A922" s="46"/>
      <c r="B922" s="47"/>
      <c r="C922" s="127"/>
      <c r="D922" s="127"/>
      <c r="E922" s="127"/>
      <c r="F922" s="127"/>
      <c r="G922" s="127"/>
      <c r="H922" s="127"/>
      <c r="I922" s="127"/>
      <c r="J922" s="127"/>
      <c r="K922" s="127"/>
      <c r="L922" s="127"/>
      <c r="M922" s="127"/>
      <c r="RG922" s="6"/>
      <c r="RH922" s="6"/>
      <c r="RI922" s="6"/>
      <c r="RJ922" s="6"/>
      <c r="RK922" s="6"/>
      <c r="RL922" s="45"/>
      <c r="RM922" s="4"/>
      <c r="RN922" s="4"/>
      <c r="RO922" s="4"/>
      <c r="RP922" s="6"/>
    </row>
    <row r="923" spans="1:484" x14ac:dyDescent="0.25">
      <c r="A923" s="46"/>
      <c r="B923" s="47"/>
      <c r="C923" s="127"/>
      <c r="D923" s="127"/>
      <c r="E923" s="127"/>
      <c r="F923" s="127"/>
      <c r="G923" s="127"/>
      <c r="H923" s="127"/>
      <c r="I923" s="127"/>
      <c r="J923" s="127"/>
      <c r="K923" s="127"/>
      <c r="L923" s="127"/>
      <c r="M923" s="127"/>
      <c r="RG923" s="6"/>
      <c r="RH923" s="6"/>
      <c r="RI923" s="6"/>
      <c r="RJ923" s="6"/>
      <c r="RK923" s="6"/>
      <c r="RL923" s="45"/>
      <c r="RM923" s="4"/>
      <c r="RN923" s="4"/>
      <c r="RO923" s="4"/>
      <c r="RP923" s="6"/>
    </row>
    <row r="924" spans="1:484" x14ac:dyDescent="0.25">
      <c r="A924" s="46"/>
      <c r="B924" s="47"/>
      <c r="C924" s="127"/>
      <c r="D924" s="127"/>
      <c r="E924" s="127"/>
      <c r="F924" s="127"/>
      <c r="G924" s="127"/>
      <c r="H924" s="127"/>
      <c r="I924" s="127"/>
      <c r="J924" s="127"/>
      <c r="K924" s="127"/>
      <c r="L924" s="127"/>
      <c r="M924" s="127"/>
      <c r="RG924" s="6"/>
      <c r="RH924" s="6"/>
      <c r="RI924" s="6"/>
      <c r="RJ924" s="6"/>
      <c r="RK924" s="6"/>
      <c r="RL924" s="45"/>
      <c r="RM924" s="4"/>
      <c r="RN924" s="4"/>
      <c r="RO924" s="4"/>
      <c r="RP924" s="6"/>
    </row>
    <row r="925" spans="1:484" x14ac:dyDescent="0.25">
      <c r="A925" s="46"/>
      <c r="B925" s="47"/>
      <c r="C925" s="127"/>
      <c r="D925" s="127"/>
      <c r="E925" s="127"/>
      <c r="F925" s="127"/>
      <c r="G925" s="127"/>
      <c r="H925" s="127"/>
      <c r="I925" s="127"/>
      <c r="J925" s="127"/>
      <c r="K925" s="127"/>
      <c r="L925" s="127"/>
      <c r="M925" s="127"/>
      <c r="RG925" s="6"/>
      <c r="RH925" s="6"/>
      <c r="RI925" s="6"/>
      <c r="RJ925" s="6"/>
      <c r="RK925" s="6"/>
      <c r="RL925" s="45"/>
      <c r="RM925" s="4"/>
      <c r="RN925" s="4"/>
      <c r="RO925" s="4"/>
      <c r="RP925" s="6"/>
    </row>
    <row r="926" spans="1:484" x14ac:dyDescent="0.25">
      <c r="A926" s="46"/>
      <c r="B926" s="47"/>
      <c r="C926" s="127"/>
      <c r="D926" s="127"/>
      <c r="E926" s="127"/>
      <c r="F926" s="127"/>
      <c r="G926" s="127"/>
      <c r="H926" s="127"/>
      <c r="I926" s="127"/>
      <c r="J926" s="127"/>
      <c r="K926" s="127"/>
      <c r="L926" s="127"/>
      <c r="M926" s="127"/>
      <c r="RG926" s="6"/>
      <c r="RH926" s="6"/>
      <c r="RI926" s="6"/>
      <c r="RJ926" s="6"/>
      <c r="RK926" s="6"/>
      <c r="RL926" s="45"/>
      <c r="RM926" s="4"/>
      <c r="RN926" s="4"/>
      <c r="RO926" s="4"/>
      <c r="RP926" s="6"/>
    </row>
    <row r="927" spans="1:484" x14ac:dyDescent="0.25">
      <c r="A927" s="46"/>
      <c r="B927" s="47"/>
      <c r="C927" s="127"/>
      <c r="D927" s="127"/>
      <c r="E927" s="127"/>
      <c r="F927" s="127"/>
      <c r="G927" s="127"/>
      <c r="H927" s="127"/>
      <c r="I927" s="127"/>
      <c r="J927" s="127"/>
      <c r="K927" s="127"/>
      <c r="L927" s="127"/>
      <c r="M927" s="127"/>
      <c r="RG927" s="6"/>
      <c r="RH927" s="6"/>
      <c r="RI927" s="6"/>
      <c r="RJ927" s="6"/>
      <c r="RK927" s="6"/>
      <c r="RL927" s="45"/>
      <c r="RM927" s="4"/>
      <c r="RN927" s="4"/>
      <c r="RO927" s="4"/>
      <c r="RP927" s="6"/>
    </row>
    <row r="928" spans="1:484" x14ac:dyDescent="0.25">
      <c r="A928" s="46"/>
      <c r="B928" s="47"/>
      <c r="C928" s="127"/>
      <c r="D928" s="127"/>
      <c r="E928" s="127"/>
      <c r="F928" s="127"/>
      <c r="G928" s="127"/>
      <c r="H928" s="127"/>
      <c r="I928" s="127"/>
      <c r="J928" s="127"/>
      <c r="K928" s="127"/>
      <c r="L928" s="127"/>
      <c r="M928" s="127"/>
      <c r="RG928" s="6"/>
      <c r="RH928" s="6"/>
      <c r="RI928" s="6"/>
      <c r="RJ928" s="6"/>
      <c r="RK928" s="6"/>
      <c r="RL928" s="45"/>
      <c r="RM928" s="4"/>
      <c r="RN928" s="4"/>
      <c r="RO928" s="4"/>
      <c r="RP928" s="6"/>
    </row>
    <row r="929" spans="1:484" x14ac:dyDescent="0.25">
      <c r="A929" s="46"/>
      <c r="B929" s="47"/>
      <c r="C929" s="127"/>
      <c r="D929" s="127"/>
      <c r="E929" s="127"/>
      <c r="F929" s="127"/>
      <c r="G929" s="127"/>
      <c r="H929" s="127"/>
      <c r="I929" s="127"/>
      <c r="J929" s="127"/>
      <c r="K929" s="127"/>
      <c r="L929" s="127"/>
      <c r="M929" s="127"/>
      <c r="RG929" s="6"/>
      <c r="RH929" s="6"/>
      <c r="RI929" s="6"/>
      <c r="RJ929" s="6"/>
      <c r="RK929" s="6"/>
      <c r="RL929" s="45"/>
      <c r="RM929" s="4"/>
      <c r="RN929" s="4"/>
      <c r="RO929" s="4"/>
      <c r="RP929" s="6"/>
    </row>
    <row r="930" spans="1:484" x14ac:dyDescent="0.25">
      <c r="A930" s="46"/>
      <c r="B930" s="47"/>
      <c r="C930" s="127"/>
      <c r="D930" s="127"/>
      <c r="E930" s="127"/>
      <c r="F930" s="127"/>
      <c r="G930" s="127"/>
      <c r="H930" s="127"/>
      <c r="I930" s="127"/>
      <c r="J930" s="127"/>
      <c r="K930" s="127"/>
      <c r="L930" s="127"/>
      <c r="M930" s="127"/>
      <c r="RG930" s="6"/>
      <c r="RH930" s="6"/>
      <c r="RI930" s="6"/>
      <c r="RJ930" s="6"/>
      <c r="RK930" s="6"/>
      <c r="RL930" s="45"/>
      <c r="RM930" s="4"/>
      <c r="RN930" s="4"/>
      <c r="RO930" s="4"/>
      <c r="RP930" s="6"/>
    </row>
    <row r="931" spans="1:484" x14ac:dyDescent="0.25">
      <c r="A931" s="46"/>
      <c r="B931" s="47"/>
      <c r="C931" s="127"/>
      <c r="D931" s="127"/>
      <c r="E931" s="127"/>
      <c r="F931" s="127"/>
      <c r="G931" s="127"/>
      <c r="H931" s="127"/>
      <c r="I931" s="127"/>
      <c r="J931" s="127"/>
      <c r="K931" s="127"/>
      <c r="L931" s="127"/>
      <c r="M931" s="127"/>
      <c r="RG931" s="6"/>
      <c r="RH931" s="6"/>
      <c r="RI931" s="6"/>
      <c r="RJ931" s="6"/>
      <c r="RK931" s="6"/>
      <c r="RL931" s="45"/>
      <c r="RM931" s="4"/>
      <c r="RN931" s="4"/>
      <c r="RO931" s="4"/>
      <c r="RP931" s="6"/>
    </row>
    <row r="932" spans="1:484" x14ac:dyDescent="0.25">
      <c r="A932" s="46"/>
      <c r="B932" s="47"/>
      <c r="C932" s="127"/>
      <c r="D932" s="127"/>
      <c r="E932" s="127"/>
      <c r="F932" s="127"/>
      <c r="G932" s="127"/>
      <c r="H932" s="127"/>
      <c r="I932" s="127"/>
      <c r="J932" s="127"/>
      <c r="K932" s="127"/>
      <c r="L932" s="127"/>
      <c r="M932" s="127"/>
      <c r="RG932" s="6"/>
      <c r="RH932" s="6"/>
      <c r="RI932" s="6"/>
      <c r="RJ932" s="6"/>
      <c r="RK932" s="6"/>
      <c r="RL932" s="45"/>
      <c r="RM932" s="4"/>
      <c r="RN932" s="4"/>
      <c r="RO932" s="4"/>
      <c r="RP932" s="6"/>
    </row>
    <row r="933" spans="1:484" x14ac:dyDescent="0.25">
      <c r="A933" s="46"/>
      <c r="B933" s="47"/>
      <c r="C933" s="127"/>
      <c r="D933" s="127"/>
      <c r="E933" s="127"/>
      <c r="F933" s="127"/>
      <c r="G933" s="127"/>
      <c r="H933" s="127"/>
      <c r="I933" s="127"/>
      <c r="J933" s="127"/>
      <c r="K933" s="127"/>
      <c r="L933" s="127"/>
      <c r="M933" s="127"/>
      <c r="RG933" s="6"/>
      <c r="RH933" s="6"/>
      <c r="RI933" s="6"/>
      <c r="RJ933" s="6"/>
      <c r="RK933" s="6"/>
      <c r="RL933" s="45"/>
      <c r="RM933" s="4"/>
      <c r="RN933" s="4"/>
      <c r="RO933" s="4"/>
      <c r="RP933" s="6"/>
    </row>
    <row r="934" spans="1:484" x14ac:dyDescent="0.25">
      <c r="A934" s="46"/>
      <c r="B934" s="47"/>
      <c r="C934" s="127"/>
      <c r="D934" s="127"/>
      <c r="E934" s="127"/>
      <c r="F934" s="127"/>
      <c r="G934" s="127"/>
      <c r="H934" s="127"/>
      <c r="I934" s="127"/>
      <c r="J934" s="127"/>
      <c r="K934" s="127"/>
      <c r="L934" s="127"/>
      <c r="M934" s="127"/>
      <c r="RG934" s="6"/>
      <c r="RH934" s="6"/>
      <c r="RI934" s="6"/>
      <c r="RJ934" s="6"/>
      <c r="RK934" s="6"/>
      <c r="RL934" s="45"/>
      <c r="RM934" s="4"/>
      <c r="RN934" s="4"/>
      <c r="RO934" s="4"/>
      <c r="RP934" s="6"/>
    </row>
    <row r="935" spans="1:484" x14ac:dyDescent="0.25">
      <c r="A935" s="46"/>
      <c r="B935" s="47"/>
      <c r="C935" s="127"/>
      <c r="D935" s="127"/>
      <c r="E935" s="127"/>
      <c r="F935" s="127"/>
      <c r="G935" s="127"/>
      <c r="H935" s="127"/>
      <c r="I935" s="127"/>
      <c r="J935" s="127"/>
      <c r="K935" s="127"/>
      <c r="L935" s="127"/>
      <c r="M935" s="127"/>
      <c r="RG935" s="6"/>
      <c r="RH935" s="6"/>
      <c r="RI935" s="6"/>
      <c r="RJ935" s="6"/>
      <c r="RK935" s="6"/>
      <c r="RL935" s="45"/>
      <c r="RM935" s="4"/>
      <c r="RN935" s="4"/>
      <c r="RO935" s="4"/>
      <c r="RP935" s="6"/>
    </row>
    <row r="936" spans="1:484" x14ac:dyDescent="0.25">
      <c r="A936" s="46"/>
      <c r="B936" s="47"/>
      <c r="C936" s="127"/>
      <c r="D936" s="127"/>
      <c r="E936" s="127"/>
      <c r="F936" s="127"/>
      <c r="G936" s="127"/>
      <c r="H936" s="127"/>
      <c r="I936" s="127"/>
      <c r="J936" s="127"/>
      <c r="K936" s="127"/>
      <c r="L936" s="127"/>
      <c r="M936" s="127"/>
      <c r="RG936" s="6"/>
      <c r="RH936" s="6"/>
      <c r="RI936" s="6"/>
      <c r="RJ936" s="6"/>
      <c r="RK936" s="6"/>
      <c r="RL936" s="45"/>
      <c r="RM936" s="4"/>
      <c r="RN936" s="4"/>
      <c r="RO936" s="4"/>
      <c r="RP936" s="6"/>
    </row>
    <row r="937" spans="1:484" x14ac:dyDescent="0.25">
      <c r="A937" s="46"/>
      <c r="B937" s="47"/>
      <c r="C937" s="127"/>
      <c r="D937" s="127"/>
      <c r="E937" s="127"/>
      <c r="F937" s="127"/>
      <c r="G937" s="127"/>
      <c r="H937" s="127"/>
      <c r="I937" s="127"/>
      <c r="J937" s="127"/>
      <c r="K937" s="127"/>
      <c r="L937" s="127"/>
      <c r="M937" s="127"/>
      <c r="RG937" s="6"/>
      <c r="RH937" s="6"/>
      <c r="RI937" s="6"/>
      <c r="RJ937" s="6"/>
      <c r="RK937" s="6"/>
      <c r="RL937" s="45"/>
      <c r="RM937" s="4"/>
      <c r="RN937" s="4"/>
      <c r="RO937" s="4"/>
      <c r="RP937" s="6"/>
    </row>
    <row r="938" spans="1:484" x14ac:dyDescent="0.25">
      <c r="A938" s="46"/>
      <c r="B938" s="47"/>
      <c r="C938" s="127"/>
      <c r="D938" s="127"/>
      <c r="E938" s="127"/>
      <c r="F938" s="127"/>
      <c r="G938" s="127"/>
      <c r="H938" s="127"/>
      <c r="I938" s="127"/>
      <c r="J938" s="127"/>
      <c r="K938" s="127"/>
      <c r="L938" s="127"/>
      <c r="M938" s="127"/>
      <c r="RG938" s="6"/>
      <c r="RH938" s="6"/>
      <c r="RI938" s="6"/>
      <c r="RJ938" s="6"/>
      <c r="RK938" s="6"/>
      <c r="RL938" s="45"/>
      <c r="RM938" s="4"/>
      <c r="RN938" s="4"/>
      <c r="RO938" s="4"/>
      <c r="RP938" s="6"/>
    </row>
    <row r="939" spans="1:484" x14ac:dyDescent="0.25">
      <c r="A939" s="46"/>
      <c r="B939" s="47"/>
      <c r="C939" s="127"/>
      <c r="D939" s="127"/>
      <c r="E939" s="127"/>
      <c r="F939" s="127"/>
      <c r="G939" s="127"/>
      <c r="H939" s="127"/>
      <c r="I939" s="127"/>
      <c r="J939" s="127"/>
      <c r="K939" s="127"/>
      <c r="L939" s="127"/>
      <c r="M939" s="127"/>
      <c r="RG939" s="6"/>
      <c r="RH939" s="6"/>
      <c r="RI939" s="6"/>
      <c r="RJ939" s="6"/>
      <c r="RK939" s="6"/>
      <c r="RL939" s="45"/>
      <c r="RM939" s="4"/>
      <c r="RN939" s="4"/>
      <c r="RO939" s="4"/>
      <c r="RP939" s="6"/>
    </row>
    <row r="940" spans="1:484" x14ac:dyDescent="0.25">
      <c r="A940" s="46"/>
      <c r="B940" s="47"/>
      <c r="C940" s="127"/>
      <c r="D940" s="127"/>
      <c r="E940" s="127"/>
      <c r="F940" s="127"/>
      <c r="G940" s="127"/>
      <c r="H940" s="127"/>
      <c r="I940" s="127"/>
      <c r="J940" s="127"/>
      <c r="K940" s="127"/>
      <c r="L940" s="127"/>
      <c r="M940" s="127"/>
      <c r="RG940" s="6"/>
      <c r="RH940" s="6"/>
      <c r="RI940" s="6"/>
      <c r="RJ940" s="6"/>
      <c r="RK940" s="6"/>
      <c r="RL940" s="45"/>
      <c r="RM940" s="4"/>
      <c r="RN940" s="4"/>
      <c r="RO940" s="4"/>
      <c r="RP940" s="6"/>
    </row>
    <row r="941" spans="1:484" x14ac:dyDescent="0.25">
      <c r="A941" s="46"/>
      <c r="B941" s="47"/>
      <c r="C941" s="127"/>
      <c r="D941" s="127"/>
      <c r="E941" s="127"/>
      <c r="F941" s="127"/>
      <c r="G941" s="127"/>
      <c r="H941" s="127"/>
      <c r="I941" s="127"/>
      <c r="J941" s="127"/>
      <c r="K941" s="127"/>
      <c r="L941" s="127"/>
      <c r="M941" s="127"/>
      <c r="RG941" s="6"/>
      <c r="RH941" s="6"/>
      <c r="RI941" s="6"/>
      <c r="RJ941" s="6"/>
      <c r="RK941" s="6"/>
      <c r="RL941" s="45"/>
      <c r="RM941" s="4"/>
      <c r="RN941" s="4"/>
      <c r="RO941" s="4"/>
      <c r="RP941" s="6"/>
    </row>
    <row r="942" spans="1:484" x14ac:dyDescent="0.25">
      <c r="A942" s="46"/>
      <c r="B942" s="47"/>
      <c r="C942" s="127"/>
      <c r="D942" s="127"/>
      <c r="E942" s="127"/>
      <c r="F942" s="127"/>
      <c r="G942" s="127"/>
      <c r="H942" s="127"/>
      <c r="I942" s="127"/>
      <c r="J942" s="127"/>
      <c r="K942" s="127"/>
      <c r="L942" s="127"/>
      <c r="M942" s="127"/>
      <c r="RG942" s="6"/>
      <c r="RH942" s="6"/>
      <c r="RI942" s="6"/>
      <c r="RJ942" s="6"/>
      <c r="RK942" s="6"/>
      <c r="RL942" s="45"/>
      <c r="RM942" s="4"/>
      <c r="RN942" s="4"/>
      <c r="RO942" s="4"/>
      <c r="RP942" s="6"/>
    </row>
    <row r="943" spans="1:484" x14ac:dyDescent="0.25">
      <c r="A943" s="46"/>
      <c r="B943" s="47"/>
      <c r="C943" s="127"/>
      <c r="D943" s="127"/>
      <c r="E943" s="127"/>
      <c r="F943" s="127"/>
      <c r="G943" s="127"/>
      <c r="H943" s="127"/>
      <c r="I943" s="127"/>
      <c r="J943" s="127"/>
      <c r="K943" s="127"/>
      <c r="L943" s="127"/>
      <c r="M943" s="127"/>
      <c r="RG943" s="6"/>
      <c r="RH943" s="6"/>
      <c r="RI943" s="6"/>
      <c r="RJ943" s="6"/>
      <c r="RK943" s="6"/>
      <c r="RL943" s="45"/>
      <c r="RM943" s="4"/>
      <c r="RN943" s="4"/>
      <c r="RO943" s="4"/>
      <c r="RP943" s="6"/>
    </row>
    <row r="944" spans="1:484" x14ac:dyDescent="0.25">
      <c r="A944" s="46"/>
      <c r="B944" s="47"/>
      <c r="C944" s="127"/>
      <c r="D944" s="127"/>
      <c r="E944" s="127"/>
      <c r="F944" s="127"/>
      <c r="G944" s="127"/>
      <c r="H944" s="127"/>
      <c r="I944" s="127"/>
      <c r="J944" s="127"/>
      <c r="K944" s="127"/>
      <c r="L944" s="127"/>
      <c r="M944" s="127"/>
      <c r="RG944" s="6"/>
      <c r="RH944" s="6"/>
      <c r="RI944" s="6"/>
      <c r="RJ944" s="6"/>
      <c r="RK944" s="6"/>
      <c r="RL944" s="45"/>
      <c r="RM944" s="4"/>
      <c r="RN944" s="4"/>
      <c r="RO944" s="4"/>
      <c r="RP944" s="6"/>
    </row>
    <row r="945" spans="1:484" x14ac:dyDescent="0.25">
      <c r="A945" s="46"/>
      <c r="B945" s="47"/>
      <c r="C945" s="127"/>
      <c r="D945" s="127"/>
      <c r="E945" s="127"/>
      <c r="F945" s="127"/>
      <c r="G945" s="127"/>
      <c r="H945" s="127"/>
      <c r="I945" s="127"/>
      <c r="J945" s="127"/>
      <c r="K945" s="127"/>
      <c r="L945" s="127"/>
      <c r="M945" s="127"/>
      <c r="RG945" s="6"/>
      <c r="RH945" s="6"/>
      <c r="RI945" s="6"/>
      <c r="RJ945" s="6"/>
      <c r="RK945" s="6"/>
      <c r="RL945" s="45"/>
      <c r="RM945" s="4"/>
      <c r="RN945" s="4"/>
      <c r="RO945" s="4"/>
      <c r="RP945" s="6"/>
    </row>
    <row r="946" spans="1:484" x14ac:dyDescent="0.25">
      <c r="A946" s="46"/>
      <c r="B946" s="47"/>
      <c r="C946" s="127"/>
      <c r="D946" s="127"/>
      <c r="E946" s="127"/>
      <c r="F946" s="127"/>
      <c r="G946" s="127"/>
      <c r="H946" s="127"/>
      <c r="I946" s="127"/>
      <c r="J946" s="127"/>
      <c r="K946" s="127"/>
      <c r="L946" s="127"/>
      <c r="M946" s="127"/>
      <c r="RG946" s="6"/>
      <c r="RH946" s="6"/>
      <c r="RI946" s="6"/>
      <c r="RJ946" s="6"/>
      <c r="RK946" s="6"/>
      <c r="RL946" s="45"/>
      <c r="RM946" s="4"/>
      <c r="RN946" s="4"/>
      <c r="RO946" s="4"/>
      <c r="RP946" s="6"/>
    </row>
    <row r="947" spans="1:484" x14ac:dyDescent="0.25">
      <c r="A947" s="46"/>
      <c r="B947" s="47"/>
      <c r="C947" s="127"/>
      <c r="D947" s="127"/>
      <c r="E947" s="127"/>
      <c r="F947" s="127"/>
      <c r="G947" s="127"/>
      <c r="H947" s="127"/>
      <c r="I947" s="127"/>
      <c r="J947" s="127"/>
      <c r="K947" s="127"/>
      <c r="L947" s="127"/>
      <c r="M947" s="127"/>
      <c r="RG947" s="6"/>
      <c r="RH947" s="6"/>
      <c r="RI947" s="6"/>
      <c r="RJ947" s="6"/>
      <c r="RK947" s="6"/>
      <c r="RL947" s="45"/>
      <c r="RM947" s="4"/>
      <c r="RN947" s="4"/>
      <c r="RO947" s="4"/>
      <c r="RP947" s="6"/>
    </row>
    <row r="948" spans="1:484" x14ac:dyDescent="0.25">
      <c r="A948" s="46"/>
      <c r="B948" s="47"/>
      <c r="C948" s="127"/>
      <c r="D948" s="127"/>
      <c r="E948" s="127"/>
      <c r="F948" s="127"/>
      <c r="G948" s="127"/>
      <c r="H948" s="127"/>
      <c r="I948" s="127"/>
      <c r="J948" s="127"/>
      <c r="K948" s="127"/>
      <c r="L948" s="127"/>
      <c r="M948" s="127"/>
      <c r="RG948" s="6"/>
      <c r="RH948" s="6"/>
      <c r="RI948" s="6"/>
      <c r="RJ948" s="6"/>
      <c r="RK948" s="6"/>
      <c r="RL948" s="45"/>
      <c r="RM948" s="4"/>
      <c r="RN948" s="4"/>
      <c r="RO948" s="4"/>
      <c r="RP948" s="6"/>
    </row>
    <row r="949" spans="1:484" x14ac:dyDescent="0.25">
      <c r="A949" s="46"/>
      <c r="B949" s="47"/>
      <c r="C949" s="127"/>
      <c r="D949" s="127"/>
      <c r="E949" s="127"/>
      <c r="F949" s="127"/>
      <c r="G949" s="127"/>
      <c r="H949" s="127"/>
      <c r="I949" s="127"/>
      <c r="J949" s="127"/>
      <c r="K949" s="127"/>
      <c r="L949" s="127"/>
      <c r="M949" s="127"/>
      <c r="RG949" s="6"/>
      <c r="RH949" s="6"/>
      <c r="RI949" s="6"/>
      <c r="RJ949" s="6"/>
      <c r="RK949" s="6"/>
      <c r="RL949" s="45"/>
      <c r="RM949" s="4"/>
      <c r="RN949" s="4"/>
      <c r="RO949" s="4"/>
      <c r="RP949" s="6"/>
    </row>
    <row r="950" spans="1:484" x14ac:dyDescent="0.25">
      <c r="A950" s="46"/>
      <c r="B950" s="47"/>
      <c r="C950" s="127"/>
      <c r="D950" s="127"/>
      <c r="E950" s="127"/>
      <c r="F950" s="127"/>
      <c r="G950" s="127"/>
      <c r="H950" s="127"/>
      <c r="I950" s="127"/>
      <c r="J950" s="127"/>
      <c r="K950" s="127"/>
      <c r="L950" s="127"/>
      <c r="M950" s="127"/>
      <c r="RG950" s="6"/>
      <c r="RH950" s="6"/>
      <c r="RI950" s="6"/>
      <c r="RJ950" s="6"/>
      <c r="RK950" s="6"/>
      <c r="RL950" s="45"/>
      <c r="RM950" s="4"/>
      <c r="RN950" s="4"/>
      <c r="RO950" s="4"/>
      <c r="RP950" s="6"/>
    </row>
    <row r="951" spans="1:484" x14ac:dyDescent="0.25">
      <c r="A951" s="46"/>
      <c r="B951" s="47"/>
      <c r="C951" s="127"/>
      <c r="D951" s="127"/>
      <c r="E951" s="127"/>
      <c r="F951" s="127"/>
      <c r="G951" s="127"/>
      <c r="H951" s="127"/>
      <c r="I951" s="127"/>
      <c r="J951" s="127"/>
      <c r="K951" s="127"/>
      <c r="L951" s="127"/>
      <c r="M951" s="127"/>
      <c r="RG951" s="6"/>
      <c r="RH951" s="6"/>
      <c r="RI951" s="6"/>
      <c r="RJ951" s="6"/>
      <c r="RK951" s="6"/>
      <c r="RL951" s="45"/>
      <c r="RM951" s="4"/>
      <c r="RN951" s="4"/>
      <c r="RO951" s="4"/>
      <c r="RP951" s="6"/>
    </row>
    <row r="952" spans="1:484" x14ac:dyDescent="0.25">
      <c r="A952" s="46"/>
      <c r="B952" s="47"/>
      <c r="C952" s="127"/>
      <c r="D952" s="127"/>
      <c r="E952" s="127"/>
      <c r="F952" s="127"/>
      <c r="G952" s="127"/>
      <c r="H952" s="127"/>
      <c r="I952" s="127"/>
      <c r="J952" s="127"/>
      <c r="K952" s="127"/>
      <c r="L952" s="127"/>
      <c r="M952" s="127"/>
      <c r="RG952" s="6"/>
      <c r="RH952" s="6"/>
      <c r="RI952" s="6"/>
      <c r="RJ952" s="6"/>
      <c r="RK952" s="6"/>
      <c r="RL952" s="45"/>
      <c r="RM952" s="4"/>
      <c r="RN952" s="4"/>
      <c r="RO952" s="4"/>
      <c r="RP952" s="6"/>
    </row>
    <row r="953" spans="1:484" x14ac:dyDescent="0.25">
      <c r="A953" s="46"/>
      <c r="B953" s="47"/>
      <c r="C953" s="127"/>
      <c r="D953" s="127"/>
      <c r="E953" s="127"/>
      <c r="F953" s="127"/>
      <c r="G953" s="127"/>
      <c r="H953" s="127"/>
      <c r="I953" s="127"/>
      <c r="J953" s="127"/>
      <c r="K953" s="127"/>
      <c r="L953" s="127"/>
      <c r="M953" s="127"/>
      <c r="RG953" s="6"/>
      <c r="RH953" s="6"/>
      <c r="RI953" s="6"/>
      <c r="RJ953" s="6"/>
      <c r="RK953" s="6"/>
      <c r="RL953" s="45"/>
      <c r="RM953" s="4"/>
      <c r="RN953" s="4"/>
      <c r="RO953" s="4"/>
      <c r="RP953" s="6"/>
    </row>
    <row r="954" spans="1:484" x14ac:dyDescent="0.25">
      <c r="A954" s="46"/>
      <c r="B954" s="47"/>
      <c r="C954" s="127"/>
      <c r="D954" s="127"/>
      <c r="E954" s="127"/>
      <c r="F954" s="127"/>
      <c r="G954" s="127"/>
      <c r="H954" s="127"/>
      <c r="I954" s="127"/>
      <c r="J954" s="127"/>
      <c r="K954" s="127"/>
      <c r="L954" s="127"/>
      <c r="M954" s="127"/>
      <c r="RG954" s="6"/>
      <c r="RH954" s="6"/>
      <c r="RI954" s="6"/>
      <c r="RJ954" s="6"/>
      <c r="RK954" s="6"/>
      <c r="RL954" s="45"/>
      <c r="RM954" s="4"/>
      <c r="RN954" s="4"/>
      <c r="RO954" s="4"/>
      <c r="RP954" s="6"/>
    </row>
    <row r="955" spans="1:484" x14ac:dyDescent="0.25">
      <c r="A955" s="46"/>
      <c r="B955" s="47"/>
      <c r="C955" s="127"/>
      <c r="D955" s="127"/>
      <c r="E955" s="127"/>
      <c r="F955" s="127"/>
      <c r="G955" s="127"/>
      <c r="H955" s="127"/>
      <c r="I955" s="127"/>
      <c r="J955" s="127"/>
      <c r="K955" s="127"/>
      <c r="L955" s="127"/>
      <c r="M955" s="127"/>
      <c r="RG955" s="6"/>
      <c r="RH955" s="6"/>
      <c r="RI955" s="6"/>
      <c r="RJ955" s="6"/>
      <c r="RK955" s="6"/>
      <c r="RL955" s="45"/>
      <c r="RM955" s="4"/>
      <c r="RN955" s="4"/>
      <c r="RO955" s="4"/>
      <c r="RP955" s="6"/>
    </row>
    <row r="956" spans="1:484" x14ac:dyDescent="0.25">
      <c r="A956" s="46"/>
      <c r="B956" s="47"/>
      <c r="C956" s="127"/>
      <c r="D956" s="127"/>
      <c r="E956" s="127"/>
      <c r="F956" s="127"/>
      <c r="G956" s="127"/>
      <c r="H956" s="127"/>
      <c r="I956" s="127"/>
      <c r="J956" s="127"/>
      <c r="K956" s="127"/>
      <c r="L956" s="127"/>
      <c r="M956" s="127"/>
      <c r="RG956" s="6"/>
      <c r="RH956" s="6"/>
      <c r="RI956" s="6"/>
      <c r="RJ956" s="6"/>
      <c r="RK956" s="6"/>
      <c r="RL956" s="45"/>
      <c r="RM956" s="4"/>
      <c r="RN956" s="4"/>
      <c r="RO956" s="4"/>
      <c r="RP956" s="6"/>
    </row>
    <row r="957" spans="1:484" x14ac:dyDescent="0.25">
      <c r="A957" s="46"/>
      <c r="B957" s="47"/>
      <c r="C957" s="127"/>
      <c r="D957" s="127"/>
      <c r="E957" s="127"/>
      <c r="F957" s="127"/>
      <c r="G957" s="127"/>
      <c r="H957" s="127"/>
      <c r="I957" s="127"/>
      <c r="J957" s="127"/>
      <c r="K957" s="127"/>
      <c r="L957" s="127"/>
      <c r="M957" s="127"/>
      <c r="RG957" s="6"/>
      <c r="RH957" s="6"/>
      <c r="RI957" s="6"/>
      <c r="RJ957" s="6"/>
      <c r="RK957" s="6"/>
      <c r="RL957" s="45"/>
      <c r="RM957" s="4"/>
      <c r="RN957" s="4"/>
      <c r="RO957" s="4"/>
      <c r="RP957" s="6"/>
    </row>
    <row r="958" spans="1:484" x14ac:dyDescent="0.25">
      <c r="A958" s="46"/>
      <c r="B958" s="47"/>
      <c r="C958" s="127"/>
      <c r="D958" s="127"/>
      <c r="E958" s="127"/>
      <c r="F958" s="127"/>
      <c r="G958" s="127"/>
      <c r="H958" s="127"/>
      <c r="I958" s="127"/>
      <c r="J958" s="127"/>
      <c r="K958" s="127"/>
      <c r="L958" s="127"/>
      <c r="M958" s="127"/>
      <c r="RG958" s="6"/>
      <c r="RH958" s="6"/>
      <c r="RI958" s="6"/>
      <c r="RJ958" s="6"/>
      <c r="RK958" s="6"/>
      <c r="RL958" s="45"/>
      <c r="RM958" s="4"/>
      <c r="RN958" s="4"/>
      <c r="RO958" s="4"/>
      <c r="RP958" s="6"/>
    </row>
    <row r="959" spans="1:484" x14ac:dyDescent="0.25">
      <c r="A959" s="46"/>
      <c r="B959" s="47"/>
      <c r="C959" s="127"/>
      <c r="D959" s="127"/>
      <c r="E959" s="127"/>
      <c r="F959" s="127"/>
      <c r="G959" s="127"/>
      <c r="H959" s="127"/>
      <c r="I959" s="127"/>
      <c r="J959" s="127"/>
      <c r="K959" s="127"/>
      <c r="L959" s="127"/>
      <c r="M959" s="127"/>
      <c r="RG959" s="6"/>
      <c r="RH959" s="6"/>
      <c r="RI959" s="6"/>
      <c r="RJ959" s="6"/>
      <c r="RK959" s="6"/>
      <c r="RL959" s="45"/>
      <c r="RM959" s="4"/>
      <c r="RN959" s="4"/>
      <c r="RO959" s="4"/>
      <c r="RP959" s="6"/>
    </row>
    <row r="960" spans="1:484" x14ac:dyDescent="0.25">
      <c r="A960" s="46"/>
      <c r="B960" s="47"/>
      <c r="C960" s="127"/>
      <c r="D960" s="127"/>
      <c r="E960" s="127"/>
      <c r="F960" s="127"/>
      <c r="G960" s="127"/>
      <c r="H960" s="127"/>
      <c r="I960" s="127"/>
      <c r="J960" s="127"/>
      <c r="K960" s="127"/>
      <c r="L960" s="127"/>
      <c r="M960" s="127"/>
      <c r="RG960" s="6"/>
      <c r="RH960" s="6"/>
      <c r="RI960" s="6"/>
      <c r="RJ960" s="6"/>
      <c r="RK960" s="6"/>
      <c r="RL960" s="45"/>
      <c r="RM960" s="4"/>
      <c r="RN960" s="4"/>
      <c r="RO960" s="4"/>
      <c r="RP960" s="6"/>
    </row>
    <row r="961" spans="1:484" x14ac:dyDescent="0.25">
      <c r="A961" s="46"/>
      <c r="B961" s="47"/>
      <c r="C961" s="127"/>
      <c r="D961" s="127"/>
      <c r="E961" s="127"/>
      <c r="F961" s="127"/>
      <c r="G961" s="127"/>
      <c r="H961" s="127"/>
      <c r="I961" s="127"/>
      <c r="J961" s="127"/>
      <c r="K961" s="127"/>
      <c r="L961" s="127"/>
      <c r="M961" s="127"/>
      <c r="RG961" s="6"/>
      <c r="RH961" s="6"/>
      <c r="RI961" s="6"/>
      <c r="RJ961" s="6"/>
      <c r="RK961" s="6"/>
      <c r="RL961" s="45"/>
      <c r="RM961" s="4"/>
      <c r="RN961" s="4"/>
      <c r="RO961" s="4"/>
      <c r="RP961" s="6"/>
    </row>
    <row r="962" spans="1:484" x14ac:dyDescent="0.25">
      <c r="A962" s="46"/>
      <c r="B962" s="47"/>
      <c r="C962" s="127"/>
      <c r="D962" s="127"/>
      <c r="E962" s="127"/>
      <c r="F962" s="127"/>
      <c r="G962" s="127"/>
      <c r="H962" s="127"/>
      <c r="I962" s="127"/>
      <c r="J962" s="127"/>
      <c r="K962" s="127"/>
      <c r="L962" s="127"/>
      <c r="M962" s="127"/>
      <c r="RG962" s="6"/>
      <c r="RH962" s="6"/>
      <c r="RI962" s="6"/>
      <c r="RJ962" s="6"/>
      <c r="RK962" s="6"/>
      <c r="RL962" s="45"/>
      <c r="RM962" s="4"/>
      <c r="RN962" s="4"/>
      <c r="RO962" s="4"/>
      <c r="RP962" s="6"/>
    </row>
    <row r="963" spans="1:484" x14ac:dyDescent="0.25">
      <c r="A963" s="46"/>
      <c r="B963" s="47"/>
      <c r="C963" s="127"/>
      <c r="D963" s="127"/>
      <c r="E963" s="127"/>
      <c r="F963" s="127"/>
      <c r="G963" s="127"/>
      <c r="H963" s="127"/>
      <c r="I963" s="127"/>
      <c r="J963" s="127"/>
      <c r="K963" s="127"/>
      <c r="L963" s="127"/>
      <c r="M963" s="127"/>
      <c r="RG963" s="6"/>
      <c r="RH963" s="6"/>
      <c r="RI963" s="6"/>
      <c r="RJ963" s="6"/>
      <c r="RK963" s="6"/>
      <c r="RL963" s="45"/>
      <c r="RM963" s="4"/>
      <c r="RN963" s="4"/>
      <c r="RO963" s="4"/>
      <c r="RP963" s="6"/>
    </row>
    <row r="964" spans="1:484" x14ac:dyDescent="0.25">
      <c r="A964" s="46"/>
      <c r="B964" s="47"/>
      <c r="C964" s="127"/>
      <c r="D964" s="127"/>
      <c r="E964" s="127"/>
      <c r="F964" s="127"/>
      <c r="G964" s="127"/>
      <c r="H964" s="127"/>
      <c r="I964" s="127"/>
      <c r="J964" s="127"/>
      <c r="K964" s="127"/>
      <c r="L964" s="127"/>
      <c r="M964" s="127"/>
      <c r="RG964" s="6"/>
      <c r="RH964" s="6"/>
      <c r="RI964" s="6"/>
      <c r="RJ964" s="6"/>
      <c r="RK964" s="6"/>
      <c r="RL964" s="45"/>
      <c r="RM964" s="4"/>
      <c r="RN964" s="4"/>
      <c r="RO964" s="4"/>
      <c r="RP964" s="6"/>
    </row>
    <row r="965" spans="1:484" x14ac:dyDescent="0.25">
      <c r="A965" s="46"/>
      <c r="B965" s="47"/>
      <c r="C965" s="127"/>
      <c r="D965" s="127"/>
      <c r="E965" s="127"/>
      <c r="F965" s="127"/>
      <c r="G965" s="127"/>
      <c r="H965" s="127"/>
      <c r="I965" s="127"/>
      <c r="J965" s="127"/>
      <c r="K965" s="127"/>
      <c r="L965" s="127"/>
      <c r="M965" s="127"/>
      <c r="RG965" s="6"/>
      <c r="RH965" s="6"/>
      <c r="RI965" s="6"/>
      <c r="RJ965" s="6"/>
      <c r="RK965" s="6"/>
      <c r="RL965" s="45"/>
      <c r="RM965" s="4"/>
      <c r="RN965" s="4"/>
      <c r="RO965" s="4"/>
      <c r="RP965" s="6"/>
    </row>
    <row r="966" spans="1:484" x14ac:dyDescent="0.25">
      <c r="A966" s="46"/>
      <c r="B966" s="47"/>
      <c r="C966" s="127"/>
      <c r="D966" s="127"/>
      <c r="E966" s="127"/>
      <c r="F966" s="127"/>
      <c r="G966" s="127"/>
      <c r="H966" s="127"/>
      <c r="I966" s="127"/>
      <c r="J966" s="127"/>
      <c r="K966" s="127"/>
      <c r="L966" s="127"/>
      <c r="M966" s="127"/>
      <c r="RG966" s="6"/>
      <c r="RH966" s="6"/>
      <c r="RI966" s="6"/>
      <c r="RJ966" s="6"/>
      <c r="RK966" s="6"/>
      <c r="RL966" s="45"/>
      <c r="RM966" s="4"/>
      <c r="RN966" s="4"/>
      <c r="RO966" s="4"/>
      <c r="RP966" s="6"/>
    </row>
    <row r="967" spans="1:484" x14ac:dyDescent="0.25">
      <c r="A967" s="46"/>
      <c r="B967" s="47"/>
      <c r="C967" s="127"/>
      <c r="D967" s="127"/>
      <c r="E967" s="127"/>
      <c r="F967" s="127"/>
      <c r="G967" s="127"/>
      <c r="H967" s="127"/>
      <c r="I967" s="127"/>
      <c r="J967" s="127"/>
      <c r="K967" s="127"/>
      <c r="L967" s="127"/>
      <c r="M967" s="127"/>
      <c r="RG967" s="6"/>
      <c r="RH967" s="6"/>
      <c r="RI967" s="6"/>
      <c r="RJ967" s="6"/>
      <c r="RK967" s="6"/>
      <c r="RL967" s="45"/>
      <c r="RM967" s="4"/>
      <c r="RN967" s="4"/>
      <c r="RO967" s="4"/>
      <c r="RP967" s="6"/>
    </row>
    <row r="968" spans="1:484" x14ac:dyDescent="0.25">
      <c r="A968" s="46"/>
      <c r="B968" s="47"/>
      <c r="C968" s="127"/>
      <c r="D968" s="127"/>
      <c r="E968" s="127"/>
      <c r="F968" s="127"/>
      <c r="G968" s="127"/>
      <c r="H968" s="127"/>
      <c r="I968" s="127"/>
      <c r="J968" s="127"/>
      <c r="K968" s="127"/>
      <c r="L968" s="127"/>
      <c r="M968" s="127"/>
      <c r="RG968" s="6"/>
      <c r="RH968" s="6"/>
      <c r="RI968" s="6"/>
      <c r="RJ968" s="6"/>
      <c r="RK968" s="6"/>
      <c r="RL968" s="45"/>
      <c r="RM968" s="4"/>
      <c r="RN968" s="4"/>
      <c r="RO968" s="4"/>
      <c r="RP968" s="6"/>
    </row>
    <row r="969" spans="1:484" x14ac:dyDescent="0.25">
      <c r="A969" s="46"/>
      <c r="B969" s="47"/>
      <c r="C969" s="127"/>
      <c r="D969" s="127"/>
      <c r="E969" s="127"/>
      <c r="F969" s="127"/>
      <c r="G969" s="127"/>
      <c r="H969" s="127"/>
      <c r="I969" s="127"/>
      <c r="J969" s="127"/>
      <c r="K969" s="127"/>
      <c r="L969" s="127"/>
      <c r="M969" s="127"/>
      <c r="RG969" s="6"/>
      <c r="RH969" s="6"/>
      <c r="RI969" s="6"/>
      <c r="RJ969" s="6"/>
      <c r="RK969" s="6"/>
      <c r="RL969" s="45"/>
      <c r="RM969" s="4"/>
      <c r="RN969" s="4"/>
      <c r="RO969" s="4"/>
      <c r="RP969" s="6"/>
    </row>
    <row r="970" spans="1:484" x14ac:dyDescent="0.25">
      <c r="A970" s="46"/>
      <c r="B970" s="47"/>
      <c r="C970" s="127"/>
      <c r="D970" s="127"/>
      <c r="E970" s="127"/>
      <c r="F970" s="127"/>
      <c r="G970" s="127"/>
      <c r="H970" s="127"/>
      <c r="I970" s="127"/>
      <c r="J970" s="127"/>
      <c r="K970" s="127"/>
      <c r="L970" s="127"/>
      <c r="M970" s="127"/>
      <c r="RG970" s="6"/>
      <c r="RH970" s="6"/>
      <c r="RI970" s="6"/>
      <c r="RJ970" s="6"/>
      <c r="RK970" s="6"/>
      <c r="RL970" s="45"/>
      <c r="RM970" s="4"/>
      <c r="RN970" s="4"/>
      <c r="RO970" s="4"/>
      <c r="RP970" s="6"/>
    </row>
    <row r="971" spans="1:484" x14ac:dyDescent="0.25">
      <c r="A971" s="46"/>
      <c r="B971" s="47"/>
      <c r="C971" s="127"/>
      <c r="D971" s="127"/>
      <c r="E971" s="127"/>
      <c r="F971" s="127"/>
      <c r="G971" s="127"/>
      <c r="H971" s="127"/>
      <c r="I971" s="127"/>
      <c r="J971" s="127"/>
      <c r="K971" s="127"/>
      <c r="L971" s="127"/>
      <c r="M971" s="127"/>
      <c r="RG971" s="6"/>
      <c r="RH971" s="6"/>
      <c r="RI971" s="6"/>
      <c r="RJ971" s="6"/>
      <c r="RK971" s="6"/>
      <c r="RL971" s="45"/>
      <c r="RM971" s="4"/>
      <c r="RN971" s="4"/>
      <c r="RO971" s="4"/>
      <c r="RP971" s="6"/>
    </row>
    <row r="972" spans="1:484" x14ac:dyDescent="0.25">
      <c r="A972" s="46"/>
      <c r="B972" s="47"/>
      <c r="C972" s="127"/>
      <c r="D972" s="127"/>
      <c r="E972" s="127"/>
      <c r="F972" s="127"/>
      <c r="G972" s="127"/>
      <c r="H972" s="127"/>
      <c r="I972" s="127"/>
      <c r="J972" s="127"/>
      <c r="K972" s="127"/>
      <c r="L972" s="127"/>
      <c r="M972" s="127"/>
      <c r="RG972" s="6"/>
      <c r="RH972" s="6"/>
      <c r="RI972" s="6"/>
      <c r="RJ972" s="6"/>
      <c r="RK972" s="6"/>
      <c r="RL972" s="45"/>
      <c r="RM972" s="4"/>
      <c r="RN972" s="4"/>
      <c r="RO972" s="4"/>
      <c r="RP972" s="6"/>
    </row>
    <row r="973" spans="1:484" x14ac:dyDescent="0.25">
      <c r="A973" s="46"/>
      <c r="B973" s="47"/>
      <c r="C973" s="127"/>
      <c r="D973" s="127"/>
      <c r="E973" s="127"/>
      <c r="F973" s="127"/>
      <c r="G973" s="127"/>
      <c r="H973" s="127"/>
      <c r="I973" s="127"/>
      <c r="J973" s="127"/>
      <c r="K973" s="127"/>
      <c r="L973" s="127"/>
      <c r="M973" s="127"/>
      <c r="RG973" s="6"/>
      <c r="RH973" s="6"/>
      <c r="RI973" s="6"/>
      <c r="RJ973" s="6"/>
      <c r="RK973" s="6"/>
      <c r="RL973" s="45"/>
      <c r="RM973" s="4"/>
      <c r="RN973" s="4"/>
      <c r="RO973" s="4"/>
      <c r="RP973" s="6"/>
    </row>
    <row r="974" spans="1:484" x14ac:dyDescent="0.25">
      <c r="A974" s="46"/>
      <c r="B974" s="47"/>
      <c r="C974" s="127"/>
      <c r="D974" s="127"/>
      <c r="E974" s="127"/>
      <c r="F974" s="127"/>
      <c r="G974" s="127"/>
      <c r="H974" s="127"/>
      <c r="I974" s="127"/>
      <c r="J974" s="127"/>
      <c r="K974" s="127"/>
      <c r="L974" s="127"/>
      <c r="M974" s="127"/>
      <c r="RG974" s="6"/>
      <c r="RH974" s="6"/>
      <c r="RI974" s="6"/>
      <c r="RJ974" s="6"/>
      <c r="RK974" s="6"/>
      <c r="RL974" s="45"/>
      <c r="RM974" s="4"/>
      <c r="RN974" s="4"/>
      <c r="RO974" s="4"/>
      <c r="RP974" s="6"/>
    </row>
    <row r="975" spans="1:484" x14ac:dyDescent="0.25">
      <c r="A975" s="46"/>
      <c r="B975" s="47"/>
      <c r="C975" s="127"/>
      <c r="D975" s="127"/>
      <c r="E975" s="127"/>
      <c r="F975" s="127"/>
      <c r="G975" s="127"/>
      <c r="H975" s="127"/>
      <c r="I975" s="127"/>
      <c r="J975" s="127"/>
      <c r="K975" s="127"/>
      <c r="L975" s="127"/>
      <c r="M975" s="127"/>
      <c r="RG975" s="6"/>
      <c r="RH975" s="6"/>
      <c r="RI975" s="6"/>
      <c r="RJ975" s="6"/>
      <c r="RK975" s="6"/>
      <c r="RL975" s="45"/>
      <c r="RM975" s="4"/>
      <c r="RN975" s="4"/>
      <c r="RO975" s="4"/>
      <c r="RP975" s="6"/>
    </row>
    <row r="976" spans="1:484" x14ac:dyDescent="0.25">
      <c r="A976" s="46"/>
      <c r="B976" s="47"/>
      <c r="C976" s="127"/>
      <c r="D976" s="127"/>
      <c r="E976" s="127"/>
      <c r="F976" s="127"/>
      <c r="G976" s="127"/>
      <c r="H976" s="127"/>
      <c r="I976" s="127"/>
      <c r="J976" s="127"/>
      <c r="K976" s="127"/>
      <c r="L976" s="127"/>
      <c r="M976" s="127"/>
      <c r="RG976" s="6"/>
      <c r="RH976" s="6"/>
      <c r="RI976" s="6"/>
      <c r="RJ976" s="6"/>
      <c r="RK976" s="6"/>
      <c r="RL976" s="45"/>
      <c r="RM976" s="4"/>
      <c r="RN976" s="4"/>
      <c r="RO976" s="4"/>
      <c r="RP976" s="6"/>
    </row>
    <row r="977" spans="1:484" x14ac:dyDescent="0.25">
      <c r="A977" s="46"/>
      <c r="B977" s="47"/>
      <c r="C977" s="127"/>
      <c r="D977" s="127"/>
      <c r="E977" s="127"/>
      <c r="F977" s="127"/>
      <c r="G977" s="127"/>
      <c r="H977" s="127"/>
      <c r="I977" s="127"/>
      <c r="J977" s="127"/>
      <c r="K977" s="127"/>
      <c r="L977" s="127"/>
      <c r="M977" s="127"/>
      <c r="RG977" s="6"/>
      <c r="RH977" s="6"/>
      <c r="RI977" s="6"/>
      <c r="RJ977" s="6"/>
      <c r="RK977" s="6"/>
      <c r="RL977" s="45"/>
      <c r="RM977" s="4"/>
      <c r="RN977" s="4"/>
      <c r="RO977" s="4"/>
      <c r="RP977" s="6"/>
    </row>
    <row r="978" spans="1:484" x14ac:dyDescent="0.25">
      <c r="A978" s="46"/>
      <c r="B978" s="47"/>
      <c r="C978" s="127"/>
      <c r="D978" s="127"/>
      <c r="E978" s="127"/>
      <c r="F978" s="127"/>
      <c r="G978" s="127"/>
      <c r="H978" s="127"/>
      <c r="I978" s="127"/>
      <c r="J978" s="127"/>
      <c r="K978" s="127"/>
      <c r="L978" s="127"/>
      <c r="M978" s="127"/>
      <c r="RG978" s="6"/>
      <c r="RH978" s="6"/>
      <c r="RI978" s="6"/>
      <c r="RJ978" s="6"/>
      <c r="RK978" s="6"/>
      <c r="RL978" s="45"/>
      <c r="RM978" s="4"/>
      <c r="RN978" s="4"/>
      <c r="RO978" s="4"/>
      <c r="RP978" s="6"/>
    </row>
    <row r="979" spans="1:484" x14ac:dyDescent="0.25">
      <c r="A979" s="46"/>
      <c r="B979" s="47"/>
      <c r="C979" s="127"/>
      <c r="D979" s="127"/>
      <c r="E979" s="127"/>
      <c r="F979" s="127"/>
      <c r="G979" s="127"/>
      <c r="H979" s="127"/>
      <c r="I979" s="127"/>
      <c r="J979" s="127"/>
      <c r="K979" s="127"/>
      <c r="L979" s="127"/>
      <c r="M979" s="127"/>
      <c r="RG979" s="6"/>
      <c r="RH979" s="6"/>
      <c r="RI979" s="6"/>
      <c r="RJ979" s="6"/>
      <c r="RK979" s="6"/>
      <c r="RL979" s="45"/>
      <c r="RM979" s="4"/>
      <c r="RN979" s="4"/>
      <c r="RO979" s="4"/>
      <c r="RP979" s="6"/>
    </row>
    <row r="980" spans="1:484" x14ac:dyDescent="0.25">
      <c r="A980" s="46"/>
      <c r="B980" s="47"/>
      <c r="C980" s="127"/>
      <c r="D980" s="127"/>
      <c r="E980" s="127"/>
      <c r="F980" s="127"/>
      <c r="G980" s="127"/>
      <c r="H980" s="127"/>
      <c r="I980" s="127"/>
      <c r="J980" s="127"/>
      <c r="K980" s="127"/>
      <c r="L980" s="127"/>
      <c r="M980" s="127"/>
      <c r="RG980" s="6"/>
      <c r="RH980" s="6"/>
      <c r="RI980" s="6"/>
      <c r="RJ980" s="6"/>
      <c r="RK980" s="6"/>
      <c r="RL980" s="45"/>
      <c r="RM980" s="4"/>
      <c r="RN980" s="4"/>
      <c r="RO980" s="4"/>
      <c r="RP980" s="6"/>
    </row>
    <row r="981" spans="1:484" x14ac:dyDescent="0.25">
      <c r="A981" s="46"/>
      <c r="B981" s="47"/>
      <c r="C981" s="127"/>
      <c r="D981" s="127"/>
      <c r="E981" s="127"/>
      <c r="F981" s="127"/>
      <c r="G981" s="127"/>
      <c r="H981" s="127"/>
      <c r="I981" s="127"/>
      <c r="J981" s="127"/>
      <c r="K981" s="127"/>
      <c r="L981" s="127"/>
      <c r="M981" s="127"/>
      <c r="RG981" s="6"/>
      <c r="RH981" s="6"/>
      <c r="RI981" s="6"/>
      <c r="RJ981" s="6"/>
      <c r="RK981" s="6"/>
      <c r="RL981" s="45"/>
      <c r="RM981" s="4"/>
      <c r="RN981" s="4"/>
      <c r="RO981" s="4"/>
      <c r="RP981" s="6"/>
    </row>
    <row r="982" spans="1:484" x14ac:dyDescent="0.25">
      <c r="A982" s="46"/>
      <c r="B982" s="47"/>
      <c r="C982" s="127"/>
      <c r="D982" s="127"/>
      <c r="E982" s="127"/>
      <c r="F982" s="127"/>
      <c r="G982" s="127"/>
      <c r="H982" s="127"/>
      <c r="I982" s="127"/>
      <c r="J982" s="127"/>
      <c r="K982" s="127"/>
      <c r="L982" s="127"/>
      <c r="M982" s="127"/>
      <c r="RG982" s="6"/>
      <c r="RH982" s="6"/>
      <c r="RI982" s="6"/>
      <c r="RJ982" s="6"/>
      <c r="RK982" s="6"/>
      <c r="RL982" s="45"/>
      <c r="RM982" s="4"/>
      <c r="RN982" s="4"/>
      <c r="RO982" s="4"/>
      <c r="RP982" s="6"/>
    </row>
    <row r="983" spans="1:484" x14ac:dyDescent="0.25">
      <c r="A983" s="46"/>
      <c r="B983" s="47"/>
      <c r="C983" s="127"/>
      <c r="D983" s="127"/>
      <c r="E983" s="127"/>
      <c r="F983" s="127"/>
      <c r="G983" s="127"/>
      <c r="H983" s="127"/>
      <c r="I983" s="127"/>
      <c r="J983" s="127"/>
      <c r="K983" s="127"/>
      <c r="L983" s="127"/>
      <c r="M983" s="127"/>
      <c r="RG983" s="6"/>
      <c r="RH983" s="6"/>
      <c r="RI983" s="6"/>
      <c r="RJ983" s="6"/>
      <c r="RK983" s="6"/>
      <c r="RL983" s="45"/>
      <c r="RM983" s="4"/>
      <c r="RN983" s="4"/>
      <c r="RO983" s="4"/>
      <c r="RP983" s="6"/>
    </row>
    <row r="984" spans="1:484" x14ac:dyDescent="0.25">
      <c r="A984" s="46"/>
      <c r="B984" s="47"/>
      <c r="C984" s="127"/>
      <c r="D984" s="127"/>
      <c r="E984" s="127"/>
      <c r="F984" s="127"/>
      <c r="G984" s="127"/>
      <c r="H984" s="127"/>
      <c r="I984" s="127"/>
      <c r="J984" s="127"/>
      <c r="K984" s="127"/>
      <c r="L984" s="127"/>
      <c r="M984" s="127"/>
      <c r="RG984" s="6"/>
      <c r="RH984" s="6"/>
      <c r="RI984" s="6"/>
      <c r="RJ984" s="6"/>
      <c r="RK984" s="6"/>
      <c r="RL984" s="45"/>
      <c r="RM984" s="4"/>
      <c r="RN984" s="4"/>
      <c r="RO984" s="4"/>
      <c r="RP984" s="6"/>
    </row>
    <row r="985" spans="1:484" x14ac:dyDescent="0.25">
      <c r="A985" s="46"/>
      <c r="B985" s="47"/>
      <c r="C985" s="127"/>
      <c r="D985" s="127"/>
      <c r="E985" s="127"/>
      <c r="F985" s="127"/>
      <c r="G985" s="127"/>
      <c r="H985" s="127"/>
      <c r="I985" s="127"/>
      <c r="J985" s="127"/>
      <c r="K985" s="127"/>
      <c r="L985" s="127"/>
      <c r="M985" s="127"/>
      <c r="RG985" s="6"/>
      <c r="RH985" s="6"/>
      <c r="RI985" s="6"/>
      <c r="RJ985" s="6"/>
      <c r="RK985" s="6"/>
      <c r="RL985" s="45"/>
      <c r="RM985" s="4"/>
      <c r="RN985" s="4"/>
      <c r="RO985" s="4"/>
      <c r="RP985" s="6"/>
    </row>
    <row r="986" spans="1:484" x14ac:dyDescent="0.25">
      <c r="A986" s="46"/>
      <c r="B986" s="47"/>
      <c r="C986" s="127"/>
      <c r="D986" s="127"/>
      <c r="E986" s="127"/>
      <c r="F986" s="127"/>
      <c r="G986" s="127"/>
      <c r="H986" s="127"/>
      <c r="I986" s="127"/>
      <c r="J986" s="127"/>
      <c r="K986" s="127"/>
      <c r="L986" s="127"/>
      <c r="M986" s="127"/>
      <c r="RG986" s="6"/>
      <c r="RH986" s="6"/>
      <c r="RI986" s="6"/>
      <c r="RJ986" s="6"/>
      <c r="RK986" s="6"/>
      <c r="RL986" s="45"/>
      <c r="RM986" s="4"/>
      <c r="RN986" s="4"/>
      <c r="RO986" s="4"/>
      <c r="RP986" s="6"/>
    </row>
    <row r="987" spans="1:484" x14ac:dyDescent="0.25">
      <c r="A987" s="46"/>
      <c r="B987" s="47"/>
      <c r="C987" s="127"/>
      <c r="D987" s="127"/>
      <c r="E987" s="127"/>
      <c r="F987" s="127"/>
      <c r="G987" s="127"/>
      <c r="H987" s="127"/>
      <c r="I987" s="127"/>
      <c r="J987" s="127"/>
      <c r="K987" s="127"/>
      <c r="L987" s="127"/>
      <c r="M987" s="127"/>
      <c r="RG987" s="6"/>
      <c r="RH987" s="6"/>
      <c r="RI987" s="6"/>
      <c r="RJ987" s="6"/>
      <c r="RK987" s="6"/>
      <c r="RL987" s="45"/>
      <c r="RM987" s="4"/>
      <c r="RN987" s="4"/>
      <c r="RO987" s="4"/>
      <c r="RP987" s="6"/>
    </row>
    <row r="988" spans="1:484" x14ac:dyDescent="0.25">
      <c r="A988" s="46"/>
      <c r="B988" s="47"/>
      <c r="C988" s="127"/>
      <c r="D988" s="127"/>
      <c r="E988" s="127"/>
      <c r="F988" s="127"/>
      <c r="G988" s="127"/>
      <c r="H988" s="127"/>
      <c r="I988" s="127"/>
      <c r="J988" s="127"/>
      <c r="K988" s="127"/>
      <c r="L988" s="127"/>
      <c r="M988" s="127"/>
      <c r="RG988" s="6"/>
      <c r="RH988" s="6"/>
      <c r="RI988" s="6"/>
      <c r="RJ988" s="6"/>
      <c r="RK988" s="6"/>
      <c r="RL988" s="45"/>
      <c r="RM988" s="4"/>
      <c r="RN988" s="4"/>
      <c r="RO988" s="4"/>
      <c r="RP988" s="6"/>
    </row>
    <row r="989" spans="1:484" x14ac:dyDescent="0.25">
      <c r="A989" s="46"/>
      <c r="B989" s="47"/>
      <c r="C989" s="127"/>
      <c r="D989" s="127"/>
      <c r="E989" s="127"/>
      <c r="F989" s="127"/>
      <c r="G989" s="127"/>
      <c r="H989" s="127"/>
      <c r="I989" s="127"/>
      <c r="J989" s="127"/>
      <c r="K989" s="127"/>
      <c r="L989" s="127"/>
      <c r="M989" s="127"/>
      <c r="RG989" s="6"/>
      <c r="RH989" s="6"/>
      <c r="RI989" s="6"/>
      <c r="RJ989" s="6"/>
      <c r="RK989" s="6"/>
      <c r="RL989" s="45"/>
      <c r="RM989" s="4"/>
      <c r="RN989" s="4"/>
      <c r="RO989" s="4"/>
      <c r="RP989" s="6"/>
    </row>
    <row r="990" spans="1:484" x14ac:dyDescent="0.25">
      <c r="A990" s="46"/>
      <c r="B990" s="47"/>
      <c r="C990" s="127"/>
      <c r="D990" s="127"/>
      <c r="E990" s="127"/>
      <c r="F990" s="127"/>
      <c r="G990" s="127"/>
      <c r="H990" s="127"/>
      <c r="I990" s="127"/>
      <c r="J990" s="127"/>
      <c r="K990" s="127"/>
      <c r="L990" s="127"/>
      <c r="M990" s="127"/>
      <c r="RG990" s="6"/>
      <c r="RH990" s="6"/>
      <c r="RI990" s="6"/>
      <c r="RJ990" s="6"/>
      <c r="RK990" s="6"/>
      <c r="RL990" s="45"/>
      <c r="RM990" s="4"/>
      <c r="RN990" s="4"/>
      <c r="RO990" s="4"/>
      <c r="RP990" s="6"/>
    </row>
    <row r="991" spans="1:484" x14ac:dyDescent="0.25">
      <c r="A991" s="46"/>
      <c r="B991" s="47"/>
      <c r="C991" s="127"/>
      <c r="D991" s="127"/>
      <c r="E991" s="127"/>
      <c r="F991" s="127"/>
      <c r="G991" s="127"/>
      <c r="H991" s="127"/>
      <c r="I991" s="127"/>
      <c r="J991" s="127"/>
      <c r="K991" s="127"/>
      <c r="L991" s="127"/>
      <c r="M991" s="127"/>
      <c r="RG991" s="6"/>
      <c r="RH991" s="6"/>
      <c r="RI991" s="6"/>
      <c r="RJ991" s="6"/>
      <c r="RK991" s="6"/>
      <c r="RL991" s="45"/>
      <c r="RM991" s="4"/>
      <c r="RN991" s="4"/>
      <c r="RO991" s="4"/>
      <c r="RP991" s="6"/>
    </row>
    <row r="992" spans="1:484" x14ac:dyDescent="0.25">
      <c r="A992" s="46"/>
      <c r="B992" s="47"/>
      <c r="C992" s="127"/>
      <c r="D992" s="127"/>
      <c r="E992" s="127"/>
      <c r="F992" s="127"/>
      <c r="G992" s="127"/>
      <c r="H992" s="127"/>
      <c r="I992" s="127"/>
      <c r="J992" s="127"/>
      <c r="K992" s="127"/>
      <c r="L992" s="127"/>
      <c r="M992" s="127"/>
      <c r="RG992" s="6"/>
      <c r="RH992" s="6"/>
      <c r="RI992" s="6"/>
      <c r="RJ992" s="6"/>
      <c r="RK992" s="6"/>
      <c r="RL992" s="45"/>
      <c r="RM992" s="4"/>
      <c r="RN992" s="4"/>
      <c r="RO992" s="4"/>
      <c r="RP992" s="6"/>
    </row>
    <row r="993" spans="1:484" x14ac:dyDescent="0.25">
      <c r="A993" s="46"/>
      <c r="B993" s="47"/>
      <c r="C993" s="127"/>
      <c r="D993" s="127"/>
      <c r="E993" s="127"/>
      <c r="F993" s="127"/>
      <c r="G993" s="127"/>
      <c r="H993" s="127"/>
      <c r="I993" s="127"/>
      <c r="J993" s="127"/>
      <c r="K993" s="127"/>
      <c r="L993" s="127"/>
      <c r="M993" s="127"/>
      <c r="RG993" s="6"/>
      <c r="RH993" s="6"/>
      <c r="RI993" s="6"/>
      <c r="RJ993" s="6"/>
      <c r="RK993" s="6"/>
      <c r="RL993" s="45"/>
      <c r="RM993" s="4"/>
      <c r="RN993" s="4"/>
      <c r="RO993" s="4"/>
      <c r="RP993" s="6"/>
    </row>
    <row r="994" spans="1:484" x14ac:dyDescent="0.25">
      <c r="A994" s="46"/>
      <c r="B994" s="47"/>
      <c r="C994" s="127"/>
      <c r="D994" s="127"/>
      <c r="E994" s="127"/>
      <c r="F994" s="127"/>
      <c r="G994" s="127"/>
      <c r="H994" s="127"/>
      <c r="I994" s="127"/>
      <c r="J994" s="127"/>
      <c r="K994" s="127"/>
      <c r="L994" s="127"/>
      <c r="M994" s="127"/>
      <c r="RG994" s="6"/>
      <c r="RH994" s="6"/>
      <c r="RI994" s="6"/>
      <c r="RJ994" s="6"/>
      <c r="RK994" s="6"/>
      <c r="RL994" s="45"/>
      <c r="RM994" s="4"/>
      <c r="RN994" s="4"/>
      <c r="RO994" s="4"/>
      <c r="RP994" s="6"/>
    </row>
    <row r="995" spans="1:484" x14ac:dyDescent="0.25">
      <c r="A995" s="46"/>
      <c r="B995" s="47"/>
      <c r="C995" s="127"/>
      <c r="D995" s="127"/>
      <c r="E995" s="127"/>
      <c r="F995" s="127"/>
      <c r="G995" s="127"/>
      <c r="H995" s="127"/>
      <c r="I995" s="127"/>
      <c r="J995" s="127"/>
      <c r="K995" s="127"/>
      <c r="L995" s="127"/>
      <c r="M995" s="127"/>
      <c r="RG995" s="6"/>
      <c r="RH995" s="6"/>
      <c r="RI995" s="6"/>
      <c r="RJ995" s="6"/>
      <c r="RK995" s="6"/>
      <c r="RL995" s="45"/>
      <c r="RM995" s="4"/>
      <c r="RN995" s="4"/>
      <c r="RO995" s="4"/>
      <c r="RP995" s="6"/>
    </row>
    <row r="996" spans="1:484" x14ac:dyDescent="0.25">
      <c r="A996" s="46"/>
      <c r="B996" s="47"/>
      <c r="C996" s="127"/>
      <c r="D996" s="127"/>
      <c r="E996" s="127"/>
      <c r="F996" s="127"/>
      <c r="G996" s="127"/>
      <c r="H996" s="127"/>
      <c r="I996" s="127"/>
      <c r="J996" s="127"/>
      <c r="K996" s="127"/>
      <c r="L996" s="127"/>
      <c r="M996" s="127"/>
      <c r="RG996" s="6"/>
      <c r="RH996" s="6"/>
      <c r="RI996" s="6"/>
      <c r="RJ996" s="6"/>
      <c r="RK996" s="6"/>
      <c r="RL996" s="45"/>
      <c r="RM996" s="4"/>
      <c r="RN996" s="4"/>
      <c r="RO996" s="4"/>
      <c r="RP996" s="6"/>
    </row>
    <row r="997" spans="1:484" x14ac:dyDescent="0.25">
      <c r="A997" s="46"/>
      <c r="B997" s="47"/>
      <c r="C997" s="127"/>
      <c r="D997" s="127"/>
      <c r="E997" s="127"/>
      <c r="F997" s="127"/>
      <c r="G997" s="127"/>
      <c r="H997" s="127"/>
      <c r="I997" s="127"/>
      <c r="J997" s="127"/>
      <c r="K997" s="127"/>
      <c r="L997" s="127"/>
      <c r="M997" s="127"/>
      <c r="RG997" s="6"/>
      <c r="RH997" s="6"/>
      <c r="RI997" s="6"/>
      <c r="RJ997" s="6"/>
      <c r="RK997" s="6"/>
      <c r="RL997" s="45"/>
      <c r="RM997" s="4"/>
      <c r="RN997" s="4"/>
      <c r="RO997" s="4"/>
      <c r="RP997" s="6"/>
    </row>
    <row r="998" spans="1:484" x14ac:dyDescent="0.25">
      <c r="A998" s="46"/>
      <c r="B998" s="47"/>
      <c r="C998" s="127"/>
      <c r="D998" s="127"/>
      <c r="E998" s="127"/>
      <c r="F998" s="127"/>
      <c r="G998" s="127"/>
      <c r="H998" s="127"/>
      <c r="I998" s="127"/>
      <c r="J998" s="127"/>
      <c r="K998" s="127"/>
      <c r="L998" s="127"/>
      <c r="M998" s="127"/>
      <c r="RG998" s="6"/>
      <c r="RH998" s="6"/>
      <c r="RI998" s="6"/>
      <c r="RJ998" s="6"/>
      <c r="RK998" s="6"/>
      <c r="RL998" s="45"/>
      <c r="RM998" s="4"/>
      <c r="RN998" s="4"/>
      <c r="RO998" s="4"/>
      <c r="RP998" s="6"/>
    </row>
    <row r="999" spans="1:484" x14ac:dyDescent="0.25">
      <c r="A999" s="46"/>
      <c r="B999" s="47"/>
      <c r="C999" s="127"/>
      <c r="D999" s="127"/>
      <c r="E999" s="127"/>
      <c r="F999" s="127"/>
      <c r="G999" s="127"/>
      <c r="H999" s="127"/>
      <c r="I999" s="127"/>
      <c r="J999" s="127"/>
      <c r="K999" s="127"/>
      <c r="L999" s="127"/>
      <c r="M999" s="127"/>
      <c r="RG999" s="6"/>
      <c r="RH999" s="6"/>
      <c r="RI999" s="6"/>
      <c r="RJ999" s="6"/>
      <c r="RK999" s="6"/>
      <c r="RL999" s="45"/>
      <c r="RM999" s="4"/>
      <c r="RN999" s="4"/>
      <c r="RO999" s="4"/>
      <c r="RP999" s="6"/>
    </row>
    <row r="1000" spans="1:484" x14ac:dyDescent="0.25">
      <c r="A1000" s="46"/>
      <c r="B1000" s="47"/>
      <c r="C1000" s="127"/>
      <c r="D1000" s="127"/>
      <c r="E1000" s="127"/>
      <c r="F1000" s="127"/>
      <c r="G1000" s="127"/>
      <c r="H1000" s="127"/>
      <c r="I1000" s="127"/>
      <c r="J1000" s="127"/>
      <c r="K1000" s="127"/>
      <c r="L1000" s="127"/>
      <c r="M1000" s="127"/>
      <c r="RG1000" s="6"/>
      <c r="RH1000" s="6"/>
      <c r="RI1000" s="6"/>
      <c r="RJ1000" s="6"/>
      <c r="RK1000" s="6"/>
      <c r="RL1000" s="45"/>
      <c r="RM1000" s="4"/>
      <c r="RN1000" s="4"/>
      <c r="RO1000" s="4"/>
      <c r="RP1000" s="6"/>
    </row>
    <row r="1001" spans="1:484" x14ac:dyDescent="0.25">
      <c r="A1001" s="46"/>
      <c r="B1001" s="47"/>
      <c r="C1001" s="127"/>
      <c r="D1001" s="127"/>
      <c r="E1001" s="127"/>
      <c r="F1001" s="127"/>
      <c r="G1001" s="127"/>
      <c r="H1001" s="127"/>
      <c r="I1001" s="127"/>
      <c r="J1001" s="127"/>
      <c r="K1001" s="127"/>
      <c r="L1001" s="127"/>
      <c r="M1001" s="127"/>
      <c r="RG1001" s="6"/>
      <c r="RH1001" s="6"/>
      <c r="RI1001" s="6"/>
      <c r="RJ1001" s="6"/>
      <c r="RK1001" s="6"/>
      <c r="RL1001" s="45"/>
      <c r="RM1001" s="4"/>
      <c r="RN1001" s="4"/>
      <c r="RO1001" s="4"/>
      <c r="RP1001" s="6"/>
    </row>
    <row r="1002" spans="1:484" x14ac:dyDescent="0.25">
      <c r="A1002" s="46"/>
      <c r="B1002" s="47"/>
      <c r="C1002" s="127"/>
      <c r="D1002" s="127"/>
      <c r="E1002" s="127"/>
      <c r="F1002" s="127"/>
      <c r="G1002" s="127"/>
      <c r="H1002" s="127"/>
      <c r="I1002" s="127"/>
      <c r="J1002" s="127"/>
      <c r="K1002" s="127"/>
      <c r="L1002" s="127"/>
      <c r="M1002" s="127"/>
      <c r="RG1002" s="6"/>
      <c r="RH1002" s="6"/>
      <c r="RI1002" s="6"/>
      <c r="RJ1002" s="6"/>
      <c r="RK1002" s="6"/>
      <c r="RL1002" s="45"/>
      <c r="RM1002" s="4"/>
      <c r="RN1002" s="4"/>
      <c r="RO1002" s="4"/>
      <c r="RP1002" s="6"/>
    </row>
    <row r="1003" spans="1:484" x14ac:dyDescent="0.25">
      <c r="A1003" s="46"/>
      <c r="B1003" s="47"/>
      <c r="C1003" s="127"/>
      <c r="D1003" s="127"/>
      <c r="E1003" s="127"/>
      <c r="F1003" s="127"/>
      <c r="G1003" s="127"/>
      <c r="H1003" s="127"/>
      <c r="I1003" s="127"/>
      <c r="J1003" s="127"/>
      <c r="K1003" s="127"/>
      <c r="L1003" s="127"/>
      <c r="M1003" s="127"/>
      <c r="RG1003" s="6"/>
      <c r="RH1003" s="6"/>
      <c r="RI1003" s="6"/>
      <c r="RJ1003" s="6"/>
      <c r="RK1003" s="6"/>
      <c r="RL1003" s="45"/>
      <c r="RM1003" s="4"/>
      <c r="RN1003" s="4"/>
      <c r="RO1003" s="4"/>
      <c r="RP1003" s="6"/>
    </row>
    <row r="1004" spans="1:484" x14ac:dyDescent="0.25">
      <c r="A1004" s="46"/>
      <c r="B1004" s="47"/>
      <c r="C1004" s="127"/>
      <c r="D1004" s="127"/>
      <c r="E1004" s="127"/>
      <c r="F1004" s="127"/>
      <c r="G1004" s="127"/>
      <c r="H1004" s="127"/>
      <c r="I1004" s="127"/>
      <c r="J1004" s="127"/>
      <c r="K1004" s="127"/>
      <c r="L1004" s="127"/>
      <c r="M1004" s="127"/>
      <c r="RG1004" s="6"/>
      <c r="RH1004" s="6"/>
      <c r="RI1004" s="6"/>
      <c r="RJ1004" s="6"/>
      <c r="RK1004" s="6"/>
      <c r="RL1004" s="45"/>
      <c r="RM1004" s="4"/>
      <c r="RN1004" s="4"/>
      <c r="RO1004" s="4"/>
      <c r="RP1004" s="6"/>
    </row>
    <row r="1005" spans="1:484" x14ac:dyDescent="0.25">
      <c r="A1005" s="46"/>
      <c r="B1005" s="47"/>
      <c r="C1005" s="127"/>
      <c r="D1005" s="127"/>
      <c r="E1005" s="127"/>
      <c r="F1005" s="127"/>
      <c r="G1005" s="127"/>
      <c r="H1005" s="127"/>
      <c r="I1005" s="127"/>
      <c r="J1005" s="127"/>
      <c r="K1005" s="127"/>
      <c r="L1005" s="127"/>
      <c r="M1005" s="127"/>
      <c r="RG1005" s="6"/>
      <c r="RH1005" s="6"/>
      <c r="RI1005" s="6"/>
      <c r="RJ1005" s="6"/>
      <c r="RK1005" s="6"/>
      <c r="RL1005" s="45"/>
      <c r="RM1005" s="4"/>
      <c r="RN1005" s="4"/>
      <c r="RO1005" s="4"/>
      <c r="RP1005" s="6"/>
    </row>
    <row r="1006" spans="1:484" x14ac:dyDescent="0.25">
      <c r="A1006" s="46"/>
      <c r="B1006" s="47"/>
      <c r="C1006" s="127"/>
      <c r="D1006" s="127"/>
      <c r="E1006" s="127"/>
      <c r="F1006" s="127"/>
      <c r="G1006" s="127"/>
      <c r="H1006" s="127"/>
      <c r="I1006" s="127"/>
      <c r="J1006" s="127"/>
      <c r="K1006" s="127"/>
      <c r="L1006" s="127"/>
      <c r="M1006" s="127"/>
      <c r="RG1006" s="6"/>
      <c r="RH1006" s="6"/>
      <c r="RI1006" s="6"/>
      <c r="RJ1006" s="6"/>
      <c r="RK1006" s="6"/>
      <c r="RL1006" s="45"/>
      <c r="RM1006" s="4"/>
      <c r="RN1006" s="4"/>
      <c r="RO1006" s="4"/>
      <c r="RP1006" s="6"/>
    </row>
    <row r="1007" spans="1:484" x14ac:dyDescent="0.25">
      <c r="A1007" s="46"/>
      <c r="B1007" s="47"/>
      <c r="C1007" s="127"/>
      <c r="D1007" s="127"/>
      <c r="E1007" s="127"/>
      <c r="F1007" s="127"/>
      <c r="G1007" s="127"/>
      <c r="H1007" s="127"/>
      <c r="I1007" s="127"/>
      <c r="J1007" s="127"/>
      <c r="K1007" s="127"/>
      <c r="L1007" s="127"/>
      <c r="M1007" s="127"/>
      <c r="RG1007" s="6"/>
      <c r="RH1007" s="6"/>
      <c r="RI1007" s="6"/>
      <c r="RJ1007" s="6"/>
      <c r="RK1007" s="6"/>
      <c r="RL1007" s="45"/>
      <c r="RM1007" s="4"/>
      <c r="RN1007" s="4"/>
      <c r="RO1007" s="4"/>
      <c r="RP1007" s="6"/>
    </row>
    <row r="1008" spans="1:484" x14ac:dyDescent="0.25">
      <c r="A1008" s="46"/>
      <c r="B1008" s="47"/>
      <c r="C1008" s="127"/>
      <c r="D1008" s="127"/>
      <c r="E1008" s="127"/>
      <c r="F1008" s="127"/>
      <c r="G1008" s="127"/>
      <c r="H1008" s="127"/>
      <c r="I1008" s="127"/>
      <c r="J1008" s="127"/>
      <c r="K1008" s="127"/>
      <c r="L1008" s="127"/>
      <c r="M1008" s="127"/>
      <c r="RG1008" s="6"/>
      <c r="RH1008" s="6"/>
      <c r="RI1008" s="6"/>
      <c r="RJ1008" s="6"/>
      <c r="RK1008" s="6"/>
      <c r="RL1008" s="45"/>
      <c r="RM1008" s="4"/>
      <c r="RN1008" s="4"/>
      <c r="RO1008" s="4"/>
      <c r="RP1008" s="6"/>
    </row>
    <row r="1009" spans="1:484" x14ac:dyDescent="0.25">
      <c r="A1009" s="46"/>
      <c r="B1009" s="47"/>
      <c r="C1009" s="127"/>
      <c r="D1009" s="127"/>
      <c r="E1009" s="127"/>
      <c r="F1009" s="127"/>
      <c r="G1009" s="127"/>
      <c r="H1009" s="127"/>
      <c r="I1009" s="127"/>
      <c r="J1009" s="127"/>
      <c r="K1009" s="127"/>
      <c r="L1009" s="127"/>
      <c r="M1009" s="127"/>
      <c r="RG1009" s="6"/>
      <c r="RH1009" s="6"/>
      <c r="RI1009" s="6"/>
      <c r="RJ1009" s="6"/>
      <c r="RK1009" s="6"/>
      <c r="RL1009" s="45"/>
      <c r="RM1009" s="4"/>
      <c r="RN1009" s="4"/>
      <c r="RO1009" s="4"/>
      <c r="RP1009" s="6"/>
    </row>
    <row r="1010" spans="1:484" x14ac:dyDescent="0.25">
      <c r="A1010" s="46"/>
      <c r="B1010" s="47"/>
      <c r="C1010" s="127"/>
      <c r="D1010" s="127"/>
      <c r="E1010" s="127"/>
      <c r="F1010" s="127"/>
      <c r="G1010" s="127"/>
      <c r="H1010" s="127"/>
      <c r="I1010" s="127"/>
      <c r="J1010" s="127"/>
      <c r="K1010" s="127"/>
      <c r="L1010" s="127"/>
      <c r="M1010" s="127"/>
      <c r="RG1010" s="6"/>
      <c r="RH1010" s="6"/>
      <c r="RI1010" s="6"/>
      <c r="RJ1010" s="6"/>
      <c r="RK1010" s="6"/>
      <c r="RL1010" s="45"/>
      <c r="RM1010" s="4"/>
      <c r="RN1010" s="4"/>
      <c r="RO1010" s="4"/>
      <c r="RP1010" s="6"/>
    </row>
    <row r="1011" spans="1:484" x14ac:dyDescent="0.25">
      <c r="A1011" s="46"/>
      <c r="B1011" s="47"/>
      <c r="C1011" s="127"/>
      <c r="D1011" s="127"/>
      <c r="E1011" s="127"/>
      <c r="F1011" s="127"/>
      <c r="G1011" s="127"/>
      <c r="H1011" s="127"/>
      <c r="I1011" s="127"/>
      <c r="J1011" s="127"/>
      <c r="K1011" s="127"/>
      <c r="L1011" s="127"/>
      <c r="M1011" s="127"/>
      <c r="RG1011" s="6"/>
      <c r="RH1011" s="6"/>
      <c r="RI1011" s="6"/>
      <c r="RJ1011" s="6"/>
      <c r="RK1011" s="6"/>
      <c r="RL1011" s="45"/>
      <c r="RM1011" s="4"/>
      <c r="RN1011" s="4"/>
      <c r="RO1011" s="4"/>
      <c r="RP1011" s="6"/>
    </row>
    <row r="1012" spans="1:484" x14ac:dyDescent="0.25">
      <c r="A1012" s="46"/>
      <c r="B1012" s="47"/>
      <c r="C1012" s="127"/>
      <c r="D1012" s="127"/>
      <c r="E1012" s="127"/>
      <c r="F1012" s="127"/>
      <c r="G1012" s="127"/>
      <c r="H1012" s="127"/>
      <c r="I1012" s="127"/>
      <c r="J1012" s="127"/>
      <c r="K1012" s="127"/>
      <c r="L1012" s="127"/>
      <c r="M1012" s="127"/>
      <c r="RG1012" s="6"/>
      <c r="RH1012" s="6"/>
      <c r="RI1012" s="6"/>
      <c r="RJ1012" s="6"/>
      <c r="RK1012" s="6"/>
      <c r="RL1012" s="45"/>
      <c r="RM1012" s="4"/>
      <c r="RN1012" s="4"/>
      <c r="RO1012" s="4"/>
      <c r="RP1012" s="6"/>
    </row>
    <row r="1013" spans="1:484" x14ac:dyDescent="0.25">
      <c r="A1013" s="46"/>
      <c r="B1013" s="47"/>
      <c r="C1013" s="127"/>
      <c r="D1013" s="127"/>
      <c r="E1013" s="127"/>
      <c r="F1013" s="127"/>
      <c r="G1013" s="127"/>
      <c r="H1013" s="127"/>
      <c r="I1013" s="127"/>
      <c r="J1013" s="127"/>
      <c r="K1013" s="127"/>
      <c r="L1013" s="127"/>
      <c r="M1013" s="127"/>
      <c r="RG1013" s="6"/>
      <c r="RH1013" s="6"/>
      <c r="RI1013" s="6"/>
      <c r="RJ1013" s="6"/>
      <c r="RK1013" s="6"/>
      <c r="RL1013" s="45"/>
      <c r="RM1013" s="4"/>
      <c r="RN1013" s="4"/>
      <c r="RO1013" s="4"/>
      <c r="RP1013" s="6"/>
    </row>
    <row r="1014" spans="1:484" x14ac:dyDescent="0.25">
      <c r="A1014" s="46"/>
      <c r="B1014" s="47"/>
      <c r="C1014" s="127"/>
      <c r="D1014" s="127"/>
      <c r="E1014" s="127"/>
      <c r="F1014" s="127"/>
      <c r="G1014" s="127"/>
      <c r="H1014" s="127"/>
      <c r="I1014" s="127"/>
      <c r="J1014" s="127"/>
      <c r="K1014" s="127"/>
      <c r="L1014" s="127"/>
      <c r="M1014" s="127"/>
      <c r="RG1014" s="6"/>
      <c r="RH1014" s="6"/>
      <c r="RI1014" s="6"/>
      <c r="RJ1014" s="6"/>
      <c r="RK1014" s="6"/>
      <c r="RL1014" s="45"/>
      <c r="RM1014" s="4"/>
      <c r="RN1014" s="4"/>
      <c r="RO1014" s="4"/>
      <c r="RP1014" s="6"/>
    </row>
    <row r="1015" spans="1:484" x14ac:dyDescent="0.25">
      <c r="A1015" s="46"/>
      <c r="B1015" s="47"/>
      <c r="C1015" s="127"/>
      <c r="D1015" s="127"/>
      <c r="E1015" s="127"/>
      <c r="F1015" s="127"/>
      <c r="G1015" s="127"/>
      <c r="H1015" s="127"/>
      <c r="I1015" s="127"/>
      <c r="J1015" s="127"/>
      <c r="K1015" s="127"/>
      <c r="L1015" s="127"/>
      <c r="M1015" s="127"/>
      <c r="RG1015" s="6"/>
      <c r="RH1015" s="6"/>
      <c r="RI1015" s="6"/>
      <c r="RJ1015" s="6"/>
      <c r="RK1015" s="6"/>
      <c r="RL1015" s="45"/>
      <c r="RM1015" s="4"/>
      <c r="RN1015" s="4"/>
      <c r="RO1015" s="4"/>
      <c r="RP1015" s="6"/>
    </row>
    <row r="1016" spans="1:484" x14ac:dyDescent="0.25">
      <c r="A1016" s="46"/>
      <c r="B1016" s="47"/>
      <c r="C1016" s="127"/>
      <c r="D1016" s="127"/>
      <c r="E1016" s="127"/>
      <c r="F1016" s="127"/>
      <c r="G1016" s="127"/>
      <c r="H1016" s="127"/>
      <c r="I1016" s="127"/>
      <c r="J1016" s="127"/>
      <c r="K1016" s="127"/>
      <c r="L1016" s="127"/>
      <c r="M1016" s="127"/>
      <c r="RG1016" s="6"/>
      <c r="RH1016" s="6"/>
      <c r="RI1016" s="6"/>
      <c r="RJ1016" s="6"/>
      <c r="RK1016" s="6"/>
      <c r="RL1016" s="45"/>
      <c r="RM1016" s="4"/>
      <c r="RN1016" s="4"/>
      <c r="RO1016" s="4"/>
      <c r="RP1016" s="6"/>
    </row>
    <row r="1017" spans="1:484" x14ac:dyDescent="0.25">
      <c r="A1017" s="46"/>
      <c r="B1017" s="47"/>
      <c r="C1017" s="127"/>
      <c r="D1017" s="127"/>
      <c r="E1017" s="127"/>
      <c r="F1017" s="127"/>
      <c r="G1017" s="127"/>
      <c r="H1017" s="127"/>
      <c r="I1017" s="127"/>
      <c r="J1017" s="127"/>
      <c r="K1017" s="127"/>
      <c r="L1017" s="127"/>
      <c r="M1017" s="127"/>
      <c r="RG1017" s="6"/>
      <c r="RH1017" s="6"/>
      <c r="RI1017" s="6"/>
      <c r="RJ1017" s="6"/>
      <c r="RK1017" s="6"/>
      <c r="RL1017" s="45"/>
      <c r="RM1017" s="4"/>
      <c r="RN1017" s="4"/>
      <c r="RO1017" s="4"/>
      <c r="RP1017" s="6"/>
    </row>
    <row r="1018" spans="1:484" x14ac:dyDescent="0.25">
      <c r="A1018" s="46"/>
      <c r="B1018" s="47"/>
      <c r="C1018" s="127"/>
      <c r="D1018" s="127"/>
      <c r="E1018" s="127"/>
      <c r="F1018" s="127"/>
      <c r="G1018" s="127"/>
      <c r="H1018" s="127"/>
      <c r="I1018" s="127"/>
      <c r="J1018" s="127"/>
      <c r="K1018" s="127"/>
      <c r="L1018" s="127"/>
      <c r="M1018" s="127"/>
      <c r="RG1018" s="6"/>
      <c r="RH1018" s="6"/>
      <c r="RI1018" s="6"/>
      <c r="RJ1018" s="6"/>
      <c r="RK1018" s="6"/>
      <c r="RL1018" s="45"/>
      <c r="RM1018" s="4"/>
      <c r="RN1018" s="4"/>
      <c r="RO1018" s="4"/>
      <c r="RP1018" s="6"/>
    </row>
    <row r="1019" spans="1:484" x14ac:dyDescent="0.25">
      <c r="A1019" s="46"/>
      <c r="B1019" s="47"/>
      <c r="C1019" s="127"/>
      <c r="D1019" s="127"/>
      <c r="E1019" s="127"/>
      <c r="F1019" s="127"/>
      <c r="G1019" s="127"/>
      <c r="H1019" s="127"/>
      <c r="I1019" s="127"/>
      <c r="J1019" s="127"/>
      <c r="K1019" s="127"/>
      <c r="L1019" s="127"/>
      <c r="M1019" s="127"/>
      <c r="RG1019" s="6"/>
      <c r="RH1019" s="6"/>
      <c r="RI1019" s="6"/>
      <c r="RJ1019" s="6"/>
      <c r="RK1019" s="6"/>
      <c r="RL1019" s="45"/>
      <c r="RM1019" s="4"/>
      <c r="RN1019" s="4"/>
      <c r="RO1019" s="4"/>
      <c r="RP1019" s="6"/>
    </row>
    <row r="1020" spans="1:484" x14ac:dyDescent="0.25">
      <c r="A1020" s="46"/>
      <c r="B1020" s="47"/>
      <c r="C1020" s="127"/>
      <c r="D1020" s="127"/>
      <c r="E1020" s="127"/>
      <c r="F1020" s="127"/>
      <c r="G1020" s="127"/>
      <c r="H1020" s="127"/>
      <c r="I1020" s="127"/>
      <c r="J1020" s="127"/>
      <c r="K1020" s="127"/>
      <c r="L1020" s="127"/>
      <c r="M1020" s="127"/>
      <c r="RG1020" s="6"/>
      <c r="RH1020" s="6"/>
      <c r="RI1020" s="6"/>
      <c r="RJ1020" s="6"/>
      <c r="RK1020" s="6"/>
      <c r="RL1020" s="45"/>
      <c r="RM1020" s="4"/>
      <c r="RN1020" s="4"/>
      <c r="RO1020" s="4"/>
      <c r="RP1020" s="6"/>
    </row>
    <row r="1021" spans="1:484" x14ac:dyDescent="0.25">
      <c r="A1021" s="46"/>
      <c r="B1021" s="47"/>
      <c r="C1021" s="127"/>
      <c r="D1021" s="127"/>
      <c r="E1021" s="127"/>
      <c r="F1021" s="127"/>
      <c r="G1021" s="127"/>
      <c r="H1021" s="127"/>
      <c r="I1021" s="127"/>
      <c r="J1021" s="127"/>
      <c r="K1021" s="127"/>
      <c r="L1021" s="127"/>
      <c r="M1021" s="127"/>
      <c r="RG1021" s="6"/>
      <c r="RH1021" s="6"/>
      <c r="RI1021" s="6"/>
      <c r="RJ1021" s="6"/>
      <c r="RK1021" s="6"/>
      <c r="RL1021" s="45"/>
      <c r="RM1021" s="4"/>
      <c r="RN1021" s="4"/>
      <c r="RO1021" s="4"/>
      <c r="RP1021" s="6"/>
    </row>
    <row r="1022" spans="1:484" x14ac:dyDescent="0.25">
      <c r="A1022" s="46"/>
      <c r="B1022" s="47"/>
      <c r="C1022" s="127"/>
      <c r="D1022" s="127"/>
      <c r="E1022" s="127"/>
      <c r="F1022" s="127"/>
      <c r="G1022" s="127"/>
      <c r="H1022" s="127"/>
      <c r="I1022" s="127"/>
      <c r="J1022" s="127"/>
      <c r="K1022" s="127"/>
      <c r="L1022" s="127"/>
      <c r="M1022" s="127"/>
      <c r="RG1022" s="6"/>
      <c r="RH1022" s="6"/>
      <c r="RI1022" s="6"/>
      <c r="RJ1022" s="6"/>
      <c r="RK1022" s="6"/>
      <c r="RL1022" s="45"/>
      <c r="RM1022" s="4"/>
      <c r="RN1022" s="4"/>
      <c r="RO1022" s="4"/>
      <c r="RP1022" s="6"/>
    </row>
    <row r="1023" spans="1:484" x14ac:dyDescent="0.25">
      <c r="A1023" s="46"/>
      <c r="B1023" s="47"/>
      <c r="C1023" s="127"/>
      <c r="D1023" s="127"/>
      <c r="E1023" s="127"/>
      <c r="F1023" s="127"/>
      <c r="G1023" s="127"/>
      <c r="H1023" s="127"/>
      <c r="I1023" s="127"/>
      <c r="J1023" s="127"/>
      <c r="K1023" s="127"/>
      <c r="L1023" s="127"/>
      <c r="M1023" s="127"/>
      <c r="RG1023" s="6"/>
      <c r="RH1023" s="6"/>
      <c r="RI1023" s="6"/>
      <c r="RJ1023" s="6"/>
      <c r="RK1023" s="6"/>
      <c r="RL1023" s="45"/>
      <c r="RM1023" s="4"/>
      <c r="RN1023" s="4"/>
      <c r="RO1023" s="4"/>
      <c r="RP1023" s="6"/>
    </row>
    <row r="1024" spans="1:484" x14ac:dyDescent="0.25">
      <c r="A1024" s="46"/>
      <c r="B1024" s="47"/>
      <c r="C1024" s="127"/>
      <c r="D1024" s="127"/>
      <c r="E1024" s="127"/>
      <c r="F1024" s="127"/>
      <c r="G1024" s="127"/>
      <c r="H1024" s="127"/>
      <c r="I1024" s="127"/>
      <c r="J1024" s="127"/>
      <c r="K1024" s="127"/>
      <c r="L1024" s="127"/>
      <c r="M1024" s="127"/>
      <c r="RG1024" s="6"/>
      <c r="RH1024" s="6"/>
      <c r="RI1024" s="6"/>
      <c r="RJ1024" s="6"/>
      <c r="RK1024" s="6"/>
      <c r="RL1024" s="45"/>
      <c r="RM1024" s="4"/>
      <c r="RN1024" s="4"/>
      <c r="RO1024" s="4"/>
      <c r="RP1024" s="6"/>
    </row>
    <row r="1025" spans="1:484" x14ac:dyDescent="0.25">
      <c r="A1025" s="46"/>
      <c r="B1025" s="47"/>
      <c r="C1025" s="127"/>
      <c r="D1025" s="127"/>
      <c r="E1025" s="127"/>
      <c r="F1025" s="127"/>
      <c r="G1025" s="127"/>
      <c r="H1025" s="127"/>
      <c r="I1025" s="127"/>
      <c r="J1025" s="127"/>
      <c r="K1025" s="127"/>
      <c r="L1025" s="127"/>
      <c r="M1025" s="127"/>
      <c r="RG1025" s="6"/>
      <c r="RH1025" s="6"/>
      <c r="RI1025" s="6"/>
      <c r="RJ1025" s="6"/>
      <c r="RK1025" s="6"/>
      <c r="RL1025" s="45"/>
      <c r="RM1025" s="4"/>
      <c r="RN1025" s="4"/>
      <c r="RO1025" s="4"/>
      <c r="RP1025" s="6"/>
    </row>
    <row r="1026" spans="1:484" x14ac:dyDescent="0.25">
      <c r="A1026" s="46"/>
      <c r="B1026" s="47"/>
      <c r="C1026" s="127"/>
      <c r="D1026" s="127"/>
      <c r="E1026" s="127"/>
      <c r="F1026" s="127"/>
      <c r="G1026" s="127"/>
      <c r="H1026" s="127"/>
      <c r="I1026" s="127"/>
      <c r="J1026" s="127"/>
      <c r="K1026" s="127"/>
      <c r="L1026" s="127"/>
      <c r="M1026" s="127"/>
      <c r="RG1026" s="6"/>
      <c r="RH1026" s="6"/>
      <c r="RI1026" s="6"/>
      <c r="RJ1026" s="6"/>
      <c r="RK1026" s="6"/>
      <c r="RL1026" s="45"/>
      <c r="RM1026" s="4"/>
      <c r="RN1026" s="4"/>
      <c r="RO1026" s="4"/>
      <c r="RP1026" s="6"/>
    </row>
    <row r="1027" spans="1:484" x14ac:dyDescent="0.25">
      <c r="A1027" s="46"/>
      <c r="B1027" s="47"/>
      <c r="C1027" s="127"/>
      <c r="D1027" s="127"/>
      <c r="E1027" s="127"/>
      <c r="F1027" s="127"/>
      <c r="G1027" s="127"/>
      <c r="H1027" s="127"/>
      <c r="I1027" s="127"/>
      <c r="J1027" s="127"/>
      <c r="K1027" s="127"/>
      <c r="L1027" s="127"/>
      <c r="M1027" s="127"/>
      <c r="RG1027" s="6"/>
      <c r="RH1027" s="6"/>
      <c r="RI1027" s="6"/>
      <c r="RJ1027" s="6"/>
      <c r="RK1027" s="6"/>
      <c r="RL1027" s="45"/>
      <c r="RM1027" s="4"/>
      <c r="RN1027" s="4"/>
      <c r="RO1027" s="4"/>
      <c r="RP1027" s="6"/>
    </row>
    <row r="1028" spans="1:484" x14ac:dyDescent="0.25">
      <c r="A1028" s="46"/>
      <c r="B1028" s="47"/>
      <c r="C1028" s="127"/>
      <c r="D1028" s="127"/>
      <c r="E1028" s="127"/>
      <c r="F1028" s="127"/>
      <c r="G1028" s="127"/>
      <c r="H1028" s="127"/>
      <c r="I1028" s="127"/>
      <c r="J1028" s="127"/>
      <c r="K1028" s="127"/>
      <c r="L1028" s="127"/>
      <c r="M1028" s="127"/>
      <c r="RG1028" s="6"/>
      <c r="RH1028" s="6"/>
      <c r="RI1028" s="6"/>
      <c r="RJ1028" s="6"/>
      <c r="RK1028" s="6"/>
      <c r="RL1028" s="45"/>
      <c r="RM1028" s="4"/>
      <c r="RN1028" s="4"/>
      <c r="RO1028" s="4"/>
      <c r="RP1028" s="6"/>
    </row>
    <row r="1029" spans="1:484" x14ac:dyDescent="0.25">
      <c r="A1029" s="46"/>
      <c r="B1029" s="47"/>
      <c r="C1029" s="127"/>
      <c r="D1029" s="127"/>
      <c r="E1029" s="127"/>
      <c r="F1029" s="127"/>
      <c r="G1029" s="127"/>
      <c r="H1029" s="127"/>
      <c r="I1029" s="127"/>
      <c r="J1029" s="127"/>
      <c r="K1029" s="127"/>
      <c r="L1029" s="127"/>
      <c r="M1029" s="127"/>
      <c r="RG1029" s="6"/>
      <c r="RH1029" s="6"/>
      <c r="RI1029" s="6"/>
      <c r="RJ1029" s="6"/>
      <c r="RK1029" s="6"/>
      <c r="RL1029" s="45"/>
      <c r="RM1029" s="4"/>
      <c r="RN1029" s="4"/>
      <c r="RO1029" s="4"/>
      <c r="RP1029" s="6"/>
    </row>
    <row r="1030" spans="1:484" x14ac:dyDescent="0.25">
      <c r="A1030" s="46"/>
      <c r="B1030" s="47"/>
      <c r="C1030" s="127"/>
      <c r="D1030" s="127"/>
      <c r="E1030" s="127"/>
      <c r="F1030" s="127"/>
      <c r="G1030" s="127"/>
      <c r="H1030" s="127"/>
      <c r="I1030" s="127"/>
      <c r="J1030" s="127"/>
      <c r="K1030" s="127"/>
      <c r="L1030" s="127"/>
      <c r="M1030" s="127"/>
      <c r="RG1030" s="6"/>
      <c r="RH1030" s="6"/>
      <c r="RI1030" s="6"/>
      <c r="RJ1030" s="6"/>
      <c r="RK1030" s="6"/>
      <c r="RL1030" s="45"/>
      <c r="RM1030" s="4"/>
      <c r="RN1030" s="4"/>
      <c r="RO1030" s="4"/>
      <c r="RP1030" s="6"/>
    </row>
    <row r="1031" spans="1:484" x14ac:dyDescent="0.25">
      <c r="A1031" s="46"/>
      <c r="B1031" s="47"/>
      <c r="C1031" s="127"/>
      <c r="D1031" s="127"/>
      <c r="E1031" s="127"/>
      <c r="F1031" s="127"/>
      <c r="G1031" s="127"/>
      <c r="H1031" s="127"/>
      <c r="I1031" s="127"/>
      <c r="J1031" s="127"/>
      <c r="K1031" s="127"/>
      <c r="L1031" s="127"/>
      <c r="M1031" s="127"/>
      <c r="RG1031" s="6"/>
      <c r="RH1031" s="6"/>
      <c r="RI1031" s="6"/>
      <c r="RJ1031" s="6"/>
      <c r="RK1031" s="6"/>
      <c r="RL1031" s="45"/>
      <c r="RM1031" s="4"/>
      <c r="RN1031" s="4"/>
      <c r="RO1031" s="4"/>
      <c r="RP1031" s="6"/>
    </row>
    <row r="1032" spans="1:484" x14ac:dyDescent="0.25">
      <c r="A1032" s="46"/>
      <c r="B1032" s="47"/>
      <c r="C1032" s="127"/>
      <c r="D1032" s="127"/>
      <c r="E1032" s="127"/>
      <c r="F1032" s="127"/>
      <c r="G1032" s="127"/>
      <c r="H1032" s="127"/>
      <c r="I1032" s="127"/>
      <c r="J1032" s="127"/>
      <c r="K1032" s="127"/>
      <c r="L1032" s="127"/>
      <c r="M1032" s="127"/>
      <c r="RG1032" s="6"/>
      <c r="RH1032" s="6"/>
      <c r="RI1032" s="6"/>
      <c r="RJ1032" s="6"/>
      <c r="RK1032" s="6"/>
      <c r="RL1032" s="45"/>
      <c r="RM1032" s="4"/>
      <c r="RN1032" s="4"/>
      <c r="RO1032" s="4"/>
      <c r="RP1032" s="6"/>
    </row>
    <row r="1033" spans="1:484" x14ac:dyDescent="0.25">
      <c r="A1033" s="46"/>
      <c r="B1033" s="47"/>
      <c r="C1033" s="127"/>
      <c r="D1033" s="127"/>
      <c r="E1033" s="127"/>
      <c r="F1033" s="127"/>
      <c r="G1033" s="127"/>
      <c r="H1033" s="127"/>
      <c r="I1033" s="127"/>
      <c r="J1033" s="127"/>
      <c r="K1033" s="127"/>
      <c r="L1033" s="127"/>
      <c r="M1033" s="127"/>
      <c r="RG1033" s="6"/>
      <c r="RH1033" s="6"/>
      <c r="RI1033" s="6"/>
      <c r="RJ1033" s="6"/>
      <c r="RK1033" s="6"/>
      <c r="RL1033" s="45"/>
      <c r="RM1033" s="4"/>
      <c r="RN1033" s="4"/>
      <c r="RO1033" s="4"/>
      <c r="RP1033" s="6"/>
    </row>
    <row r="1034" spans="1:484" x14ac:dyDescent="0.25">
      <c r="A1034" s="46"/>
      <c r="B1034" s="47"/>
      <c r="C1034" s="127"/>
      <c r="D1034" s="127"/>
      <c r="E1034" s="127"/>
      <c r="F1034" s="127"/>
      <c r="G1034" s="127"/>
      <c r="H1034" s="127"/>
      <c r="I1034" s="127"/>
      <c r="J1034" s="127"/>
      <c r="K1034" s="127"/>
      <c r="L1034" s="127"/>
      <c r="M1034" s="127"/>
      <c r="RG1034" s="6"/>
      <c r="RH1034" s="6"/>
      <c r="RI1034" s="6"/>
      <c r="RJ1034" s="6"/>
      <c r="RK1034" s="6"/>
      <c r="RL1034" s="45"/>
      <c r="RM1034" s="4"/>
      <c r="RN1034" s="4"/>
      <c r="RO1034" s="4"/>
      <c r="RP1034" s="6"/>
    </row>
    <row r="1035" spans="1:484" x14ac:dyDescent="0.25">
      <c r="A1035" s="46"/>
      <c r="B1035" s="47"/>
      <c r="C1035" s="127"/>
      <c r="D1035" s="127"/>
      <c r="E1035" s="127"/>
      <c r="F1035" s="127"/>
      <c r="G1035" s="127"/>
      <c r="H1035" s="127"/>
      <c r="I1035" s="127"/>
      <c r="J1035" s="127"/>
      <c r="K1035" s="127"/>
      <c r="L1035" s="127"/>
      <c r="M1035" s="127"/>
      <c r="RG1035" s="6"/>
      <c r="RH1035" s="6"/>
      <c r="RI1035" s="6"/>
      <c r="RJ1035" s="6"/>
      <c r="RK1035" s="6"/>
      <c r="RL1035" s="45"/>
      <c r="RM1035" s="4"/>
      <c r="RN1035" s="4"/>
      <c r="RO1035" s="4"/>
      <c r="RP1035" s="6"/>
    </row>
    <row r="1036" spans="1:484" x14ac:dyDescent="0.25">
      <c r="A1036" s="46"/>
      <c r="B1036" s="47"/>
      <c r="C1036" s="127"/>
      <c r="D1036" s="127"/>
      <c r="E1036" s="127"/>
      <c r="F1036" s="127"/>
      <c r="G1036" s="127"/>
      <c r="H1036" s="127"/>
      <c r="I1036" s="127"/>
      <c r="J1036" s="127"/>
      <c r="K1036" s="127"/>
      <c r="L1036" s="127"/>
      <c r="M1036" s="127"/>
      <c r="RG1036" s="6"/>
      <c r="RH1036" s="6"/>
      <c r="RI1036" s="6"/>
      <c r="RJ1036" s="6"/>
      <c r="RK1036" s="6"/>
      <c r="RL1036" s="45"/>
      <c r="RM1036" s="4"/>
      <c r="RN1036" s="4"/>
      <c r="RO1036" s="4"/>
      <c r="RP1036" s="6"/>
    </row>
    <row r="1037" spans="1:484" x14ac:dyDescent="0.25">
      <c r="A1037" s="46"/>
      <c r="B1037" s="47"/>
      <c r="C1037" s="127"/>
      <c r="D1037" s="127"/>
      <c r="E1037" s="127"/>
      <c r="F1037" s="127"/>
      <c r="G1037" s="127"/>
      <c r="H1037" s="127"/>
      <c r="I1037" s="127"/>
      <c r="J1037" s="127"/>
      <c r="K1037" s="127"/>
      <c r="L1037" s="127"/>
      <c r="M1037" s="127"/>
      <c r="RG1037" s="6"/>
      <c r="RH1037" s="6"/>
      <c r="RI1037" s="6"/>
      <c r="RJ1037" s="6"/>
      <c r="RK1037" s="6"/>
      <c r="RL1037" s="45"/>
      <c r="RM1037" s="4"/>
      <c r="RN1037" s="4"/>
      <c r="RO1037" s="4"/>
      <c r="RP1037" s="6"/>
    </row>
    <row r="1038" spans="1:484" x14ac:dyDescent="0.25">
      <c r="A1038" s="46"/>
      <c r="B1038" s="47"/>
      <c r="C1038" s="127"/>
      <c r="D1038" s="127"/>
      <c r="E1038" s="127"/>
      <c r="F1038" s="127"/>
      <c r="G1038" s="127"/>
      <c r="H1038" s="127"/>
      <c r="I1038" s="127"/>
      <c r="J1038" s="127"/>
      <c r="K1038" s="127"/>
      <c r="L1038" s="127"/>
      <c r="M1038" s="127"/>
      <c r="RG1038" s="6"/>
      <c r="RH1038" s="6"/>
      <c r="RI1038" s="6"/>
      <c r="RJ1038" s="6"/>
      <c r="RK1038" s="6"/>
      <c r="RL1038" s="45"/>
      <c r="RM1038" s="4"/>
      <c r="RN1038" s="4"/>
      <c r="RO1038" s="4"/>
      <c r="RP1038" s="6"/>
    </row>
    <row r="1039" spans="1:484" x14ac:dyDescent="0.25">
      <c r="A1039" s="46"/>
      <c r="B1039" s="47"/>
      <c r="C1039" s="127"/>
      <c r="D1039" s="127"/>
      <c r="E1039" s="127"/>
      <c r="F1039" s="127"/>
      <c r="G1039" s="127"/>
      <c r="H1039" s="127"/>
      <c r="I1039" s="127"/>
      <c r="J1039" s="127"/>
      <c r="K1039" s="127"/>
      <c r="L1039" s="127"/>
      <c r="M1039" s="127"/>
      <c r="RG1039" s="6"/>
      <c r="RH1039" s="6"/>
      <c r="RI1039" s="6"/>
      <c r="RJ1039" s="6"/>
      <c r="RK1039" s="6"/>
      <c r="RL1039" s="45"/>
      <c r="RM1039" s="4"/>
      <c r="RN1039" s="4"/>
      <c r="RO1039" s="4"/>
      <c r="RP1039" s="6"/>
    </row>
    <row r="1040" spans="1:484" x14ac:dyDescent="0.25">
      <c r="A1040" s="46"/>
      <c r="B1040" s="47"/>
      <c r="C1040" s="127"/>
      <c r="D1040" s="127"/>
      <c r="E1040" s="127"/>
      <c r="F1040" s="127"/>
      <c r="G1040" s="127"/>
      <c r="H1040" s="127"/>
      <c r="I1040" s="127"/>
      <c r="J1040" s="127"/>
      <c r="K1040" s="127"/>
      <c r="L1040" s="127"/>
      <c r="M1040" s="127"/>
      <c r="RG1040" s="6"/>
      <c r="RH1040" s="6"/>
      <c r="RI1040" s="6"/>
      <c r="RJ1040" s="6"/>
      <c r="RK1040" s="6"/>
      <c r="RL1040" s="45"/>
      <c r="RM1040" s="4"/>
      <c r="RN1040" s="4"/>
      <c r="RO1040" s="4"/>
      <c r="RP1040" s="6"/>
    </row>
    <row r="1041" spans="1:484" x14ac:dyDescent="0.25">
      <c r="A1041" s="46"/>
      <c r="B1041" s="47"/>
      <c r="C1041" s="127"/>
      <c r="D1041" s="127"/>
      <c r="E1041" s="127"/>
      <c r="F1041" s="127"/>
      <c r="G1041" s="127"/>
      <c r="H1041" s="127"/>
      <c r="I1041" s="127"/>
      <c r="J1041" s="127"/>
      <c r="K1041" s="127"/>
      <c r="L1041" s="127"/>
      <c r="M1041" s="127"/>
      <c r="RG1041" s="6"/>
      <c r="RH1041" s="6"/>
      <c r="RI1041" s="6"/>
      <c r="RJ1041" s="6"/>
      <c r="RK1041" s="6"/>
      <c r="RL1041" s="45"/>
      <c r="RM1041" s="4"/>
      <c r="RN1041" s="4"/>
      <c r="RO1041" s="4"/>
      <c r="RP1041" s="6"/>
    </row>
    <row r="1042" spans="1:484" x14ac:dyDescent="0.25">
      <c r="A1042" s="46"/>
      <c r="B1042" s="47"/>
      <c r="C1042" s="127"/>
      <c r="D1042" s="127"/>
      <c r="E1042" s="127"/>
      <c r="F1042" s="127"/>
      <c r="G1042" s="127"/>
      <c r="H1042" s="127"/>
      <c r="I1042" s="127"/>
      <c r="J1042" s="127"/>
      <c r="K1042" s="127"/>
      <c r="L1042" s="127"/>
      <c r="M1042" s="127"/>
      <c r="RG1042" s="6"/>
      <c r="RH1042" s="6"/>
      <c r="RI1042" s="6"/>
      <c r="RJ1042" s="6"/>
      <c r="RK1042" s="6"/>
      <c r="RL1042" s="45"/>
      <c r="RM1042" s="4"/>
      <c r="RN1042" s="4"/>
      <c r="RO1042" s="4"/>
      <c r="RP1042" s="6"/>
    </row>
    <row r="1043" spans="1:484" x14ac:dyDescent="0.25">
      <c r="A1043" s="46"/>
      <c r="B1043" s="47"/>
      <c r="C1043" s="127"/>
      <c r="D1043" s="127"/>
      <c r="E1043" s="127"/>
      <c r="F1043" s="127"/>
      <c r="G1043" s="127"/>
      <c r="H1043" s="127"/>
      <c r="I1043" s="127"/>
      <c r="J1043" s="127"/>
      <c r="K1043" s="127"/>
      <c r="L1043" s="127"/>
      <c r="M1043" s="127"/>
      <c r="RG1043" s="6"/>
      <c r="RH1043" s="6"/>
      <c r="RI1043" s="6"/>
      <c r="RJ1043" s="6"/>
      <c r="RK1043" s="6"/>
      <c r="RL1043" s="45"/>
      <c r="RM1043" s="4"/>
      <c r="RN1043" s="4"/>
      <c r="RO1043" s="4"/>
      <c r="RP1043" s="6"/>
    </row>
    <row r="1044" spans="1:484" x14ac:dyDescent="0.25">
      <c r="A1044" s="46"/>
      <c r="B1044" s="47"/>
      <c r="C1044" s="127"/>
      <c r="D1044" s="127"/>
      <c r="E1044" s="127"/>
      <c r="F1044" s="127"/>
      <c r="G1044" s="127"/>
      <c r="H1044" s="127"/>
      <c r="I1044" s="127"/>
      <c r="J1044" s="127"/>
      <c r="K1044" s="127"/>
      <c r="L1044" s="127"/>
      <c r="M1044" s="127"/>
      <c r="RG1044" s="6"/>
      <c r="RH1044" s="6"/>
      <c r="RI1044" s="6"/>
      <c r="RJ1044" s="6"/>
      <c r="RK1044" s="6"/>
      <c r="RL1044" s="45"/>
      <c r="RM1044" s="4"/>
      <c r="RN1044" s="4"/>
      <c r="RO1044" s="4"/>
      <c r="RP1044" s="6"/>
    </row>
    <row r="1045" spans="1:484" x14ac:dyDescent="0.25">
      <c r="A1045" s="46"/>
      <c r="B1045" s="47"/>
      <c r="C1045" s="127"/>
      <c r="D1045" s="127"/>
      <c r="E1045" s="127"/>
      <c r="F1045" s="127"/>
      <c r="G1045" s="127"/>
      <c r="H1045" s="127"/>
      <c r="I1045" s="127"/>
      <c r="J1045" s="127"/>
      <c r="K1045" s="127"/>
      <c r="L1045" s="127"/>
      <c r="M1045" s="127"/>
      <c r="RG1045" s="6"/>
      <c r="RH1045" s="6"/>
      <c r="RI1045" s="6"/>
      <c r="RJ1045" s="6"/>
      <c r="RK1045" s="6"/>
      <c r="RL1045" s="45"/>
      <c r="RM1045" s="4"/>
      <c r="RN1045" s="4"/>
      <c r="RO1045" s="4"/>
      <c r="RP1045" s="6"/>
    </row>
    <row r="1046" spans="1:484" x14ac:dyDescent="0.25">
      <c r="A1046" s="46"/>
      <c r="B1046" s="47"/>
      <c r="C1046" s="127"/>
      <c r="D1046" s="127"/>
      <c r="E1046" s="127"/>
      <c r="F1046" s="127"/>
      <c r="G1046" s="127"/>
      <c r="H1046" s="127"/>
      <c r="I1046" s="127"/>
      <c r="J1046" s="127"/>
      <c r="K1046" s="127"/>
      <c r="L1046" s="127"/>
      <c r="M1046" s="127"/>
      <c r="RG1046" s="6"/>
      <c r="RH1046" s="6"/>
      <c r="RI1046" s="6"/>
      <c r="RJ1046" s="6"/>
      <c r="RK1046" s="6"/>
      <c r="RL1046" s="45"/>
      <c r="RM1046" s="4"/>
      <c r="RN1046" s="4"/>
      <c r="RO1046" s="4"/>
      <c r="RP1046" s="6"/>
    </row>
    <row r="1047" spans="1:484" x14ac:dyDescent="0.25">
      <c r="A1047" s="46"/>
      <c r="B1047" s="47"/>
      <c r="C1047" s="127"/>
      <c r="D1047" s="127"/>
      <c r="E1047" s="127"/>
      <c r="F1047" s="127"/>
      <c r="G1047" s="127"/>
      <c r="H1047" s="127"/>
      <c r="I1047" s="127"/>
      <c r="J1047" s="127"/>
      <c r="K1047" s="127"/>
      <c r="L1047" s="127"/>
      <c r="M1047" s="127"/>
      <c r="RG1047" s="6"/>
      <c r="RH1047" s="6"/>
      <c r="RI1047" s="6"/>
      <c r="RJ1047" s="6"/>
      <c r="RK1047" s="6"/>
      <c r="RL1047" s="45"/>
      <c r="RM1047" s="4"/>
      <c r="RN1047" s="4"/>
      <c r="RO1047" s="4"/>
      <c r="RP1047" s="6"/>
    </row>
    <row r="1048" spans="1:484" x14ac:dyDescent="0.25">
      <c r="A1048" s="46"/>
      <c r="B1048" s="47"/>
      <c r="C1048" s="127"/>
      <c r="D1048" s="127"/>
      <c r="E1048" s="127"/>
      <c r="F1048" s="127"/>
      <c r="G1048" s="127"/>
      <c r="H1048" s="127"/>
      <c r="I1048" s="127"/>
      <c r="J1048" s="127"/>
      <c r="K1048" s="127"/>
      <c r="L1048" s="127"/>
      <c r="M1048" s="127"/>
      <c r="RG1048" s="6"/>
      <c r="RH1048" s="6"/>
      <c r="RI1048" s="6"/>
      <c r="RJ1048" s="6"/>
      <c r="RK1048" s="6"/>
      <c r="RL1048" s="45"/>
      <c r="RM1048" s="4"/>
      <c r="RN1048" s="4"/>
      <c r="RO1048" s="4"/>
      <c r="RP1048" s="6"/>
    </row>
    <row r="1049" spans="1:484" x14ac:dyDescent="0.25">
      <c r="A1049" s="46"/>
      <c r="B1049" s="47"/>
      <c r="C1049" s="127"/>
      <c r="D1049" s="127"/>
      <c r="E1049" s="127"/>
      <c r="F1049" s="127"/>
      <c r="G1049" s="127"/>
      <c r="H1049" s="127"/>
      <c r="I1049" s="127"/>
      <c r="J1049" s="127"/>
      <c r="K1049" s="127"/>
      <c r="L1049" s="127"/>
      <c r="M1049" s="127"/>
      <c r="RG1049" s="6"/>
      <c r="RH1049" s="6"/>
      <c r="RI1049" s="6"/>
      <c r="RJ1049" s="6"/>
      <c r="RK1049" s="6"/>
      <c r="RL1049" s="45"/>
      <c r="RM1049" s="4"/>
      <c r="RN1049" s="4"/>
      <c r="RO1049" s="4"/>
      <c r="RP1049" s="6"/>
    </row>
    <row r="1050" spans="1:484" x14ac:dyDescent="0.25">
      <c r="A1050" s="46"/>
      <c r="B1050" s="47"/>
      <c r="C1050" s="127"/>
      <c r="D1050" s="127"/>
      <c r="E1050" s="127"/>
      <c r="F1050" s="127"/>
      <c r="G1050" s="127"/>
      <c r="H1050" s="127"/>
      <c r="I1050" s="127"/>
      <c r="J1050" s="127"/>
      <c r="K1050" s="127"/>
      <c r="L1050" s="127"/>
      <c r="M1050" s="127"/>
      <c r="RG1050" s="6"/>
      <c r="RH1050" s="6"/>
      <c r="RI1050" s="6"/>
      <c r="RJ1050" s="6"/>
      <c r="RK1050" s="6"/>
      <c r="RL1050" s="45"/>
      <c r="RM1050" s="4"/>
      <c r="RN1050" s="4"/>
      <c r="RO1050" s="4"/>
      <c r="RP1050" s="6"/>
    </row>
    <row r="1051" spans="1:484" x14ac:dyDescent="0.25">
      <c r="A1051" s="46"/>
      <c r="B1051" s="47"/>
      <c r="C1051" s="127"/>
      <c r="D1051" s="127"/>
      <c r="E1051" s="127"/>
      <c r="F1051" s="127"/>
      <c r="G1051" s="127"/>
      <c r="H1051" s="127"/>
      <c r="I1051" s="127"/>
      <c r="J1051" s="127"/>
      <c r="K1051" s="127"/>
      <c r="L1051" s="127"/>
      <c r="M1051" s="127"/>
      <c r="RG1051" s="6"/>
      <c r="RH1051" s="6"/>
      <c r="RI1051" s="6"/>
      <c r="RJ1051" s="6"/>
      <c r="RK1051" s="6"/>
      <c r="RL1051" s="45"/>
      <c r="RM1051" s="4"/>
      <c r="RN1051" s="4"/>
      <c r="RO1051" s="4"/>
      <c r="RP1051" s="6"/>
    </row>
    <row r="1052" spans="1:484" x14ac:dyDescent="0.25">
      <c r="A1052" s="46"/>
      <c r="B1052" s="47"/>
      <c r="C1052" s="127"/>
      <c r="D1052" s="127"/>
      <c r="E1052" s="127"/>
      <c r="F1052" s="127"/>
      <c r="G1052" s="127"/>
      <c r="H1052" s="127"/>
      <c r="I1052" s="127"/>
      <c r="J1052" s="127"/>
      <c r="K1052" s="127"/>
      <c r="L1052" s="127"/>
      <c r="M1052" s="127"/>
      <c r="RG1052" s="6"/>
      <c r="RH1052" s="6"/>
      <c r="RI1052" s="6"/>
      <c r="RJ1052" s="6"/>
      <c r="RK1052" s="6"/>
      <c r="RL1052" s="45"/>
      <c r="RM1052" s="4"/>
      <c r="RN1052" s="4"/>
      <c r="RO1052" s="4"/>
      <c r="RP1052" s="6"/>
    </row>
    <row r="1053" spans="1:484" x14ac:dyDescent="0.25">
      <c r="A1053" s="46"/>
      <c r="B1053" s="47"/>
      <c r="C1053" s="127"/>
      <c r="D1053" s="127"/>
      <c r="E1053" s="127"/>
      <c r="F1053" s="127"/>
      <c r="G1053" s="127"/>
      <c r="H1053" s="127"/>
      <c r="I1053" s="127"/>
      <c r="J1053" s="127"/>
      <c r="K1053" s="127"/>
      <c r="L1053" s="127"/>
      <c r="M1053" s="127"/>
      <c r="RG1053" s="6"/>
      <c r="RH1053" s="6"/>
      <c r="RI1053" s="6"/>
      <c r="RJ1053" s="6"/>
      <c r="RK1053" s="6"/>
      <c r="RL1053" s="45"/>
      <c r="RM1053" s="4"/>
      <c r="RN1053" s="4"/>
      <c r="RO1053" s="4"/>
      <c r="RP1053" s="6"/>
    </row>
    <row r="1054" spans="1:484" x14ac:dyDescent="0.25">
      <c r="A1054" s="46"/>
      <c r="B1054" s="47"/>
      <c r="C1054" s="127"/>
      <c r="D1054" s="127"/>
      <c r="E1054" s="127"/>
      <c r="F1054" s="127"/>
      <c r="G1054" s="127"/>
      <c r="H1054" s="127"/>
      <c r="I1054" s="127"/>
      <c r="J1054" s="127"/>
      <c r="K1054" s="127"/>
      <c r="L1054" s="127"/>
      <c r="M1054" s="127"/>
      <c r="RG1054" s="6"/>
      <c r="RH1054" s="6"/>
      <c r="RI1054" s="6"/>
      <c r="RJ1054" s="6"/>
      <c r="RK1054" s="6"/>
      <c r="RL1054" s="45"/>
      <c r="RM1054" s="4"/>
      <c r="RN1054" s="4"/>
      <c r="RO1054" s="4"/>
      <c r="RP1054" s="6"/>
    </row>
    <row r="1055" spans="1:484" x14ac:dyDescent="0.25">
      <c r="A1055" s="46"/>
      <c r="B1055" s="47"/>
      <c r="C1055" s="127"/>
      <c r="D1055" s="127"/>
      <c r="E1055" s="127"/>
      <c r="F1055" s="127"/>
      <c r="G1055" s="127"/>
      <c r="H1055" s="127"/>
      <c r="I1055" s="127"/>
      <c r="J1055" s="127"/>
      <c r="K1055" s="127"/>
      <c r="L1055" s="127"/>
      <c r="M1055" s="127"/>
      <c r="RG1055" s="6"/>
      <c r="RH1055" s="6"/>
      <c r="RI1055" s="6"/>
      <c r="RJ1055" s="6"/>
      <c r="RK1055" s="6"/>
      <c r="RL1055" s="45"/>
      <c r="RM1055" s="4"/>
      <c r="RN1055" s="4"/>
      <c r="RO1055" s="4"/>
      <c r="RP1055" s="6"/>
    </row>
    <row r="1056" spans="1:484" x14ac:dyDescent="0.25">
      <c r="A1056" s="46"/>
      <c r="B1056" s="47"/>
      <c r="C1056" s="127"/>
      <c r="D1056" s="127"/>
      <c r="E1056" s="127"/>
      <c r="F1056" s="127"/>
      <c r="G1056" s="127"/>
      <c r="H1056" s="127"/>
      <c r="I1056" s="127"/>
      <c r="J1056" s="127"/>
      <c r="K1056" s="127"/>
      <c r="L1056" s="127"/>
      <c r="M1056" s="127"/>
      <c r="RG1056" s="6"/>
      <c r="RH1056" s="6"/>
      <c r="RI1056" s="6"/>
      <c r="RJ1056" s="6"/>
      <c r="RK1056" s="6"/>
      <c r="RL1056" s="45"/>
      <c r="RM1056" s="4"/>
      <c r="RN1056" s="4"/>
      <c r="RO1056" s="4"/>
      <c r="RP1056" s="6"/>
    </row>
    <row r="1057" spans="1:484" x14ac:dyDescent="0.25">
      <c r="A1057" s="46"/>
      <c r="B1057" s="47"/>
      <c r="C1057" s="127"/>
      <c r="D1057" s="127"/>
      <c r="E1057" s="127"/>
      <c r="F1057" s="127"/>
      <c r="G1057" s="127"/>
      <c r="H1057" s="127"/>
      <c r="I1057" s="127"/>
      <c r="J1057" s="127"/>
      <c r="K1057" s="127"/>
      <c r="L1057" s="127"/>
      <c r="M1057" s="127"/>
      <c r="RG1057" s="6"/>
      <c r="RH1057" s="6"/>
      <c r="RI1057" s="6"/>
      <c r="RJ1057" s="6"/>
      <c r="RK1057" s="6"/>
      <c r="RL1057" s="45"/>
      <c r="RM1057" s="4"/>
      <c r="RN1057" s="4"/>
      <c r="RO1057" s="4"/>
      <c r="RP1057" s="6"/>
    </row>
    <row r="1058" spans="1:484" x14ac:dyDescent="0.25">
      <c r="A1058" s="46"/>
      <c r="B1058" s="47"/>
      <c r="C1058" s="127"/>
      <c r="D1058" s="127"/>
      <c r="E1058" s="127"/>
      <c r="F1058" s="127"/>
      <c r="G1058" s="127"/>
      <c r="H1058" s="127"/>
      <c r="I1058" s="127"/>
      <c r="J1058" s="127"/>
      <c r="K1058" s="127"/>
      <c r="L1058" s="127"/>
      <c r="M1058" s="127"/>
      <c r="RG1058" s="6"/>
      <c r="RH1058" s="6"/>
      <c r="RI1058" s="6"/>
      <c r="RJ1058" s="6"/>
      <c r="RK1058" s="6"/>
      <c r="RL1058" s="45"/>
      <c r="RM1058" s="4"/>
      <c r="RN1058" s="4"/>
      <c r="RO1058" s="4"/>
      <c r="RP1058" s="6"/>
    </row>
    <row r="1059" spans="1:484" x14ac:dyDescent="0.25">
      <c r="A1059" s="46"/>
      <c r="B1059" s="47"/>
      <c r="C1059" s="127"/>
      <c r="D1059" s="127"/>
      <c r="E1059" s="127"/>
      <c r="F1059" s="127"/>
      <c r="G1059" s="127"/>
      <c r="H1059" s="127"/>
      <c r="I1059" s="127"/>
      <c r="J1059" s="127"/>
      <c r="K1059" s="127"/>
      <c r="L1059" s="127"/>
      <c r="M1059" s="127"/>
      <c r="RG1059" s="6"/>
      <c r="RH1059" s="6"/>
      <c r="RI1059" s="6"/>
      <c r="RJ1059" s="6"/>
      <c r="RK1059" s="6"/>
      <c r="RL1059" s="45"/>
      <c r="RM1059" s="4"/>
      <c r="RN1059" s="4"/>
      <c r="RO1059" s="4"/>
      <c r="RP1059" s="6"/>
    </row>
    <row r="1060" spans="1:484" x14ac:dyDescent="0.25">
      <c r="A1060" s="46"/>
      <c r="B1060" s="47"/>
      <c r="C1060" s="127"/>
      <c r="D1060" s="127"/>
      <c r="E1060" s="127"/>
      <c r="F1060" s="127"/>
      <c r="G1060" s="127"/>
      <c r="H1060" s="127"/>
      <c r="I1060" s="127"/>
      <c r="J1060" s="127"/>
      <c r="K1060" s="127"/>
      <c r="L1060" s="127"/>
      <c r="M1060" s="127"/>
      <c r="RG1060" s="6"/>
      <c r="RH1060" s="6"/>
      <c r="RI1060" s="6"/>
      <c r="RJ1060" s="6"/>
      <c r="RK1060" s="6"/>
      <c r="RL1060" s="45"/>
      <c r="RM1060" s="4"/>
      <c r="RN1060" s="4"/>
      <c r="RO1060" s="4"/>
      <c r="RP1060" s="6"/>
    </row>
    <row r="1061" spans="1:484" x14ac:dyDescent="0.25">
      <c r="A1061" s="46"/>
      <c r="B1061" s="47"/>
      <c r="C1061" s="127"/>
      <c r="D1061" s="127"/>
      <c r="E1061" s="127"/>
      <c r="F1061" s="127"/>
      <c r="G1061" s="127"/>
      <c r="H1061" s="127"/>
      <c r="I1061" s="127"/>
      <c r="J1061" s="127"/>
      <c r="K1061" s="127"/>
      <c r="L1061" s="127"/>
      <c r="M1061" s="127"/>
      <c r="RG1061" s="6"/>
      <c r="RH1061" s="6"/>
      <c r="RI1061" s="6"/>
      <c r="RJ1061" s="6"/>
      <c r="RK1061" s="6"/>
      <c r="RL1061" s="45"/>
      <c r="RM1061" s="4"/>
      <c r="RN1061" s="4"/>
      <c r="RO1061" s="4"/>
      <c r="RP1061" s="6"/>
    </row>
    <row r="1062" spans="1:484" x14ac:dyDescent="0.25">
      <c r="A1062" s="46"/>
      <c r="B1062" s="47"/>
      <c r="C1062" s="127"/>
      <c r="D1062" s="127"/>
      <c r="E1062" s="127"/>
      <c r="F1062" s="127"/>
      <c r="G1062" s="127"/>
      <c r="H1062" s="127"/>
      <c r="I1062" s="127"/>
      <c r="J1062" s="127"/>
      <c r="K1062" s="127"/>
      <c r="L1062" s="127"/>
      <c r="M1062" s="127"/>
      <c r="RG1062" s="6"/>
      <c r="RH1062" s="6"/>
      <c r="RI1062" s="6"/>
      <c r="RJ1062" s="6"/>
      <c r="RK1062" s="6"/>
      <c r="RL1062" s="45"/>
      <c r="RM1062" s="4"/>
      <c r="RN1062" s="4"/>
      <c r="RO1062" s="4"/>
      <c r="RP1062" s="6"/>
    </row>
    <row r="1063" spans="1:484" x14ac:dyDescent="0.25">
      <c r="A1063" s="46"/>
      <c r="B1063" s="47"/>
      <c r="C1063" s="127"/>
      <c r="D1063" s="127"/>
      <c r="E1063" s="127"/>
      <c r="F1063" s="127"/>
      <c r="G1063" s="127"/>
      <c r="H1063" s="127"/>
      <c r="I1063" s="127"/>
      <c r="J1063" s="127"/>
      <c r="K1063" s="127"/>
      <c r="L1063" s="127"/>
      <c r="M1063" s="127"/>
      <c r="RG1063" s="6"/>
      <c r="RH1063" s="6"/>
      <c r="RI1063" s="6"/>
      <c r="RJ1063" s="6"/>
      <c r="RK1063" s="6"/>
      <c r="RL1063" s="45"/>
      <c r="RM1063" s="4"/>
      <c r="RN1063" s="4"/>
      <c r="RO1063" s="4"/>
      <c r="RP1063" s="6"/>
    </row>
    <row r="1064" spans="1:484" x14ac:dyDescent="0.25">
      <c r="A1064" s="46"/>
      <c r="B1064" s="47"/>
      <c r="C1064" s="127"/>
      <c r="D1064" s="127"/>
      <c r="E1064" s="127"/>
      <c r="F1064" s="127"/>
      <c r="G1064" s="127"/>
      <c r="H1064" s="127"/>
      <c r="I1064" s="127"/>
      <c r="J1064" s="127"/>
      <c r="K1064" s="127"/>
      <c r="L1064" s="127"/>
      <c r="M1064" s="127"/>
      <c r="RG1064" s="6"/>
      <c r="RH1064" s="6"/>
      <c r="RI1064" s="6"/>
      <c r="RJ1064" s="6"/>
      <c r="RK1064" s="6"/>
      <c r="RL1064" s="45"/>
      <c r="RM1064" s="4"/>
      <c r="RN1064" s="4"/>
      <c r="RO1064" s="4"/>
      <c r="RP1064" s="6"/>
    </row>
    <row r="1065" spans="1:484" x14ac:dyDescent="0.25">
      <c r="A1065" s="46"/>
      <c r="B1065" s="47"/>
      <c r="C1065" s="127"/>
      <c r="D1065" s="127"/>
      <c r="E1065" s="127"/>
      <c r="F1065" s="127"/>
      <c r="G1065" s="127"/>
      <c r="H1065" s="127"/>
      <c r="I1065" s="127"/>
      <c r="J1065" s="127"/>
      <c r="K1065" s="127"/>
      <c r="L1065" s="127"/>
      <c r="M1065" s="127"/>
      <c r="RG1065" s="6"/>
      <c r="RH1065" s="6"/>
      <c r="RI1065" s="6"/>
      <c r="RJ1065" s="6"/>
      <c r="RK1065" s="6"/>
      <c r="RL1065" s="45"/>
      <c r="RM1065" s="4"/>
      <c r="RN1065" s="4"/>
      <c r="RO1065" s="4"/>
      <c r="RP1065" s="6"/>
    </row>
    <row r="1066" spans="1:484" x14ac:dyDescent="0.25">
      <c r="A1066" s="46"/>
      <c r="B1066" s="47"/>
      <c r="C1066" s="127"/>
      <c r="D1066" s="127"/>
      <c r="E1066" s="127"/>
      <c r="F1066" s="127"/>
      <c r="G1066" s="127"/>
      <c r="H1066" s="127"/>
      <c r="I1066" s="127"/>
      <c r="J1066" s="127"/>
      <c r="K1066" s="127"/>
      <c r="L1066" s="127"/>
      <c r="M1066" s="127"/>
      <c r="RG1066" s="6"/>
      <c r="RH1066" s="6"/>
      <c r="RI1066" s="6"/>
      <c r="RJ1066" s="6"/>
      <c r="RK1066" s="6"/>
      <c r="RL1066" s="45"/>
      <c r="RM1066" s="4"/>
      <c r="RN1066" s="4"/>
      <c r="RO1066" s="4"/>
      <c r="RP1066" s="6"/>
    </row>
    <row r="1067" spans="1:484" x14ac:dyDescent="0.25">
      <c r="A1067" s="46"/>
      <c r="B1067" s="47"/>
      <c r="C1067" s="127"/>
      <c r="D1067" s="127"/>
      <c r="E1067" s="127"/>
      <c r="F1067" s="127"/>
      <c r="G1067" s="127"/>
      <c r="H1067" s="127"/>
      <c r="I1067" s="127"/>
      <c r="J1067" s="127"/>
      <c r="K1067" s="127"/>
      <c r="L1067" s="127"/>
      <c r="M1067" s="127"/>
      <c r="RG1067" s="6"/>
      <c r="RH1067" s="6"/>
      <c r="RI1067" s="6"/>
      <c r="RJ1067" s="6"/>
      <c r="RK1067" s="6"/>
      <c r="RL1067" s="45"/>
      <c r="RM1067" s="4"/>
      <c r="RN1067" s="4"/>
      <c r="RO1067" s="4"/>
      <c r="RP1067" s="6"/>
    </row>
    <row r="1068" spans="1:484" x14ac:dyDescent="0.25">
      <c r="A1068" s="46"/>
      <c r="B1068" s="47"/>
      <c r="C1068" s="127"/>
      <c r="D1068" s="127"/>
      <c r="E1068" s="127"/>
      <c r="F1068" s="127"/>
      <c r="G1068" s="127"/>
      <c r="H1068" s="127"/>
      <c r="I1068" s="127"/>
      <c r="J1068" s="127"/>
      <c r="K1068" s="127"/>
      <c r="L1068" s="127"/>
      <c r="M1068" s="127"/>
      <c r="RG1068" s="6"/>
      <c r="RH1068" s="6"/>
      <c r="RI1068" s="6"/>
      <c r="RJ1068" s="6"/>
      <c r="RK1068" s="6"/>
      <c r="RL1068" s="45"/>
      <c r="RM1068" s="4"/>
      <c r="RN1068" s="4"/>
      <c r="RO1068" s="4"/>
      <c r="RP1068" s="6"/>
    </row>
    <row r="1069" spans="1:484" x14ac:dyDescent="0.25">
      <c r="A1069" s="46"/>
      <c r="B1069" s="47"/>
      <c r="C1069" s="127"/>
      <c r="D1069" s="127"/>
      <c r="E1069" s="127"/>
      <c r="F1069" s="127"/>
      <c r="G1069" s="127"/>
      <c r="H1069" s="127"/>
      <c r="I1069" s="127"/>
      <c r="J1069" s="127"/>
      <c r="K1069" s="127"/>
      <c r="L1069" s="127"/>
      <c r="M1069" s="127"/>
      <c r="RG1069" s="6"/>
      <c r="RH1069" s="6"/>
      <c r="RI1069" s="6"/>
      <c r="RJ1069" s="6"/>
      <c r="RK1069" s="6"/>
      <c r="RL1069" s="45"/>
      <c r="RM1069" s="4"/>
      <c r="RN1069" s="4"/>
      <c r="RO1069" s="4"/>
      <c r="RP1069" s="6"/>
    </row>
    <row r="1070" spans="1:484" x14ac:dyDescent="0.25">
      <c r="A1070" s="46"/>
      <c r="B1070" s="47"/>
      <c r="C1070" s="127"/>
      <c r="D1070" s="127"/>
      <c r="E1070" s="127"/>
      <c r="F1070" s="127"/>
      <c r="G1070" s="127"/>
      <c r="H1070" s="127"/>
      <c r="I1070" s="127"/>
      <c r="J1070" s="127"/>
      <c r="K1070" s="127"/>
      <c r="L1070" s="127"/>
      <c r="M1070" s="127"/>
      <c r="RG1070" s="6"/>
      <c r="RH1070" s="6"/>
      <c r="RI1070" s="6"/>
      <c r="RJ1070" s="6"/>
      <c r="RK1070" s="6"/>
      <c r="RL1070" s="45"/>
      <c r="RM1070" s="4"/>
      <c r="RN1070" s="4"/>
      <c r="RO1070" s="4"/>
      <c r="RP1070" s="6"/>
    </row>
    <row r="1071" spans="1:484" x14ac:dyDescent="0.25">
      <c r="A1071" s="46"/>
      <c r="B1071" s="47"/>
      <c r="C1071" s="127"/>
      <c r="D1071" s="127"/>
      <c r="E1071" s="127"/>
      <c r="F1071" s="127"/>
      <c r="G1071" s="127"/>
      <c r="H1071" s="127"/>
      <c r="I1071" s="127"/>
      <c r="J1071" s="127"/>
      <c r="K1071" s="127"/>
      <c r="L1071" s="127"/>
      <c r="M1071" s="127"/>
      <c r="RG1071" s="6"/>
      <c r="RH1071" s="6"/>
      <c r="RI1071" s="6"/>
      <c r="RJ1071" s="6"/>
      <c r="RK1071" s="6"/>
      <c r="RL1071" s="45"/>
      <c r="RM1071" s="4"/>
      <c r="RN1071" s="4"/>
      <c r="RO1071" s="4"/>
      <c r="RP1071" s="6"/>
    </row>
    <row r="1072" spans="1:484" x14ac:dyDescent="0.25">
      <c r="A1072" s="46"/>
      <c r="B1072" s="47"/>
      <c r="C1072" s="127"/>
      <c r="D1072" s="127"/>
      <c r="E1072" s="127"/>
      <c r="F1072" s="127"/>
      <c r="G1072" s="127"/>
      <c r="H1072" s="127"/>
      <c r="I1072" s="127"/>
      <c r="J1072" s="127"/>
      <c r="K1072" s="127"/>
      <c r="L1072" s="127"/>
      <c r="M1072" s="127"/>
      <c r="RG1072" s="6"/>
      <c r="RH1072" s="6"/>
      <c r="RI1072" s="6"/>
      <c r="RJ1072" s="6"/>
      <c r="RK1072" s="6"/>
      <c r="RL1072" s="45"/>
      <c r="RM1072" s="4"/>
      <c r="RN1072" s="4"/>
      <c r="RO1072" s="4"/>
      <c r="RP1072" s="6"/>
    </row>
    <row r="1073" spans="1:484" x14ac:dyDescent="0.25">
      <c r="A1073" s="46"/>
      <c r="B1073" s="47"/>
      <c r="C1073" s="127"/>
      <c r="D1073" s="127"/>
      <c r="E1073" s="127"/>
      <c r="F1073" s="127"/>
      <c r="G1073" s="127"/>
      <c r="H1073" s="127"/>
      <c r="I1073" s="127"/>
      <c r="J1073" s="127"/>
      <c r="K1073" s="127"/>
      <c r="L1073" s="127"/>
      <c r="M1073" s="127"/>
      <c r="RG1073" s="6"/>
      <c r="RH1073" s="6"/>
      <c r="RI1073" s="6"/>
      <c r="RJ1073" s="6"/>
      <c r="RK1073" s="6"/>
      <c r="RL1073" s="45"/>
      <c r="RM1073" s="4"/>
      <c r="RN1073" s="4"/>
      <c r="RO1073" s="4"/>
      <c r="RP1073" s="6"/>
    </row>
    <row r="1074" spans="1:484" x14ac:dyDescent="0.25">
      <c r="A1074" s="46"/>
      <c r="B1074" s="47"/>
      <c r="C1074" s="127"/>
      <c r="D1074" s="127"/>
      <c r="E1074" s="127"/>
      <c r="F1074" s="127"/>
      <c r="G1074" s="127"/>
      <c r="H1074" s="127"/>
      <c r="I1074" s="127"/>
      <c r="J1074" s="127"/>
      <c r="K1074" s="127"/>
      <c r="L1074" s="127"/>
      <c r="M1074" s="127"/>
      <c r="RG1074" s="6"/>
      <c r="RH1074" s="6"/>
      <c r="RI1074" s="6"/>
      <c r="RJ1074" s="6"/>
      <c r="RK1074" s="6"/>
      <c r="RL1074" s="45"/>
      <c r="RM1074" s="4"/>
      <c r="RN1074" s="4"/>
      <c r="RO1074" s="4"/>
      <c r="RP1074" s="6"/>
    </row>
    <row r="1075" spans="1:484" x14ac:dyDescent="0.25">
      <c r="A1075" s="46"/>
      <c r="B1075" s="47"/>
      <c r="C1075" s="127"/>
      <c r="D1075" s="127"/>
      <c r="E1075" s="127"/>
      <c r="F1075" s="127"/>
      <c r="G1075" s="127"/>
      <c r="H1075" s="127"/>
      <c r="I1075" s="127"/>
      <c r="J1075" s="127"/>
      <c r="K1075" s="127"/>
      <c r="L1075" s="127"/>
      <c r="M1075" s="127"/>
      <c r="RG1075" s="6"/>
      <c r="RH1075" s="6"/>
      <c r="RI1075" s="6"/>
      <c r="RJ1075" s="6"/>
      <c r="RK1075" s="6"/>
      <c r="RL1075" s="45"/>
      <c r="RM1075" s="4"/>
      <c r="RN1075" s="4"/>
      <c r="RO1075" s="4"/>
      <c r="RP1075" s="6"/>
    </row>
    <row r="1076" spans="1:484" x14ac:dyDescent="0.25">
      <c r="A1076" s="46"/>
      <c r="B1076" s="47"/>
      <c r="C1076" s="127"/>
      <c r="D1076" s="127"/>
      <c r="E1076" s="127"/>
      <c r="F1076" s="127"/>
      <c r="G1076" s="127"/>
      <c r="H1076" s="127"/>
      <c r="I1076" s="127"/>
      <c r="J1076" s="127"/>
      <c r="K1076" s="127"/>
      <c r="L1076" s="127"/>
      <c r="M1076" s="127"/>
      <c r="RG1076" s="6"/>
      <c r="RH1076" s="6"/>
      <c r="RI1076" s="6"/>
      <c r="RJ1076" s="6"/>
      <c r="RK1076" s="6"/>
      <c r="RL1076" s="45"/>
      <c r="RM1076" s="4"/>
      <c r="RN1076" s="4"/>
      <c r="RO1076" s="4"/>
      <c r="RP1076" s="6"/>
    </row>
    <row r="1077" spans="1:484" x14ac:dyDescent="0.25">
      <c r="A1077" s="46"/>
      <c r="B1077" s="47"/>
      <c r="C1077" s="127"/>
      <c r="D1077" s="127"/>
      <c r="E1077" s="127"/>
      <c r="F1077" s="127"/>
      <c r="G1077" s="127"/>
      <c r="H1077" s="127"/>
      <c r="I1077" s="127"/>
      <c r="J1077" s="127"/>
      <c r="K1077" s="127"/>
      <c r="L1077" s="127"/>
      <c r="M1077" s="127"/>
      <c r="RG1077" s="6"/>
      <c r="RH1077" s="6"/>
      <c r="RI1077" s="6"/>
      <c r="RJ1077" s="6"/>
      <c r="RK1077" s="6"/>
      <c r="RL1077" s="45"/>
      <c r="RM1077" s="4"/>
      <c r="RN1077" s="4"/>
      <c r="RO1077" s="4"/>
      <c r="RP1077" s="6"/>
    </row>
    <row r="1078" spans="1:484" x14ac:dyDescent="0.25">
      <c r="A1078" s="46"/>
      <c r="B1078" s="47"/>
      <c r="C1078" s="127"/>
      <c r="D1078" s="127"/>
      <c r="E1078" s="127"/>
      <c r="F1078" s="127"/>
      <c r="G1078" s="127"/>
      <c r="H1078" s="127"/>
      <c r="I1078" s="127"/>
      <c r="J1078" s="127"/>
      <c r="K1078" s="127"/>
      <c r="L1078" s="127"/>
      <c r="M1078" s="127"/>
      <c r="RG1078" s="6"/>
      <c r="RH1078" s="6"/>
      <c r="RI1078" s="6"/>
      <c r="RJ1078" s="6"/>
      <c r="RK1078" s="6"/>
      <c r="RL1078" s="45"/>
      <c r="RM1078" s="4"/>
      <c r="RN1078" s="4"/>
      <c r="RO1078" s="4"/>
      <c r="RP1078" s="6"/>
    </row>
    <row r="1079" spans="1:484" x14ac:dyDescent="0.25">
      <c r="A1079" s="46"/>
      <c r="B1079" s="47"/>
      <c r="C1079" s="127"/>
      <c r="D1079" s="127"/>
      <c r="E1079" s="127"/>
      <c r="F1079" s="127"/>
      <c r="G1079" s="127"/>
      <c r="H1079" s="127"/>
      <c r="I1079" s="127"/>
      <c r="J1079" s="127"/>
      <c r="K1079" s="127"/>
      <c r="L1079" s="127"/>
      <c r="M1079" s="127"/>
      <c r="RG1079" s="6"/>
      <c r="RH1079" s="6"/>
      <c r="RI1079" s="6"/>
      <c r="RJ1079" s="6"/>
      <c r="RK1079" s="6"/>
      <c r="RL1079" s="45"/>
      <c r="RM1079" s="4"/>
      <c r="RN1079" s="4"/>
      <c r="RO1079" s="4"/>
      <c r="RP1079" s="6"/>
    </row>
    <row r="1080" spans="1:484" x14ac:dyDescent="0.25">
      <c r="A1080" s="46"/>
      <c r="B1080" s="47"/>
      <c r="C1080" s="127"/>
      <c r="D1080" s="127"/>
      <c r="E1080" s="127"/>
      <c r="F1080" s="127"/>
      <c r="G1080" s="127"/>
      <c r="H1080" s="127"/>
      <c r="I1080" s="127"/>
      <c r="J1080" s="127"/>
      <c r="K1080" s="127"/>
      <c r="L1080" s="127"/>
      <c r="M1080" s="127"/>
      <c r="RG1080" s="6"/>
      <c r="RH1080" s="6"/>
      <c r="RI1080" s="6"/>
      <c r="RJ1080" s="6"/>
      <c r="RK1080" s="6"/>
      <c r="RL1080" s="45"/>
      <c r="RM1080" s="4"/>
      <c r="RN1080" s="4"/>
      <c r="RO1080" s="4"/>
      <c r="RP1080" s="6"/>
    </row>
    <row r="1081" spans="1:484" x14ac:dyDescent="0.25">
      <c r="A1081" s="46"/>
      <c r="B1081" s="47"/>
      <c r="C1081" s="127"/>
      <c r="D1081" s="127"/>
      <c r="E1081" s="127"/>
      <c r="F1081" s="127"/>
      <c r="G1081" s="127"/>
      <c r="H1081" s="127"/>
      <c r="I1081" s="127"/>
      <c r="J1081" s="127"/>
      <c r="K1081" s="127"/>
      <c r="L1081" s="127"/>
      <c r="M1081" s="127"/>
      <c r="RG1081" s="6"/>
      <c r="RH1081" s="6"/>
      <c r="RI1081" s="6"/>
      <c r="RJ1081" s="6"/>
      <c r="RK1081" s="6"/>
      <c r="RL1081" s="45"/>
      <c r="RM1081" s="4"/>
      <c r="RN1081" s="4"/>
      <c r="RO1081" s="4"/>
      <c r="RP1081" s="6"/>
    </row>
    <row r="1082" spans="1:484" x14ac:dyDescent="0.25">
      <c r="A1082" s="46"/>
      <c r="B1082" s="47"/>
      <c r="C1082" s="127"/>
      <c r="D1082" s="127"/>
      <c r="E1082" s="127"/>
      <c r="F1082" s="127"/>
      <c r="G1082" s="127"/>
      <c r="H1082" s="127"/>
      <c r="I1082" s="127"/>
      <c r="J1082" s="127"/>
      <c r="K1082" s="127"/>
      <c r="L1082" s="127"/>
      <c r="M1082" s="127"/>
      <c r="RG1082" s="6"/>
      <c r="RH1082" s="6"/>
      <c r="RI1082" s="6"/>
      <c r="RJ1082" s="6"/>
      <c r="RK1082" s="6"/>
      <c r="RL1082" s="45"/>
      <c r="RM1082" s="4"/>
      <c r="RN1082" s="4"/>
      <c r="RO1082" s="4"/>
      <c r="RP1082" s="6"/>
    </row>
    <row r="1083" spans="1:484" x14ac:dyDescent="0.25">
      <c r="A1083" s="46"/>
      <c r="B1083" s="47"/>
      <c r="C1083" s="127"/>
      <c r="D1083" s="127"/>
      <c r="E1083" s="127"/>
      <c r="F1083" s="127"/>
      <c r="G1083" s="127"/>
      <c r="H1083" s="127"/>
      <c r="I1083" s="127"/>
      <c r="J1083" s="127"/>
      <c r="K1083" s="127"/>
      <c r="L1083" s="127"/>
      <c r="M1083" s="127"/>
      <c r="RG1083" s="6"/>
      <c r="RH1083" s="6"/>
      <c r="RI1083" s="6"/>
      <c r="RJ1083" s="6"/>
      <c r="RK1083" s="6"/>
      <c r="RL1083" s="45"/>
      <c r="RM1083" s="4"/>
      <c r="RN1083" s="4"/>
      <c r="RO1083" s="4"/>
      <c r="RP1083" s="6"/>
    </row>
    <row r="1084" spans="1:484" x14ac:dyDescent="0.25">
      <c r="A1084" s="46"/>
      <c r="B1084" s="47"/>
      <c r="C1084" s="127"/>
      <c r="D1084" s="127"/>
      <c r="E1084" s="127"/>
      <c r="F1084" s="127"/>
      <c r="G1084" s="127"/>
      <c r="H1084" s="127"/>
      <c r="I1084" s="127"/>
      <c r="J1084" s="127"/>
      <c r="K1084" s="127"/>
      <c r="L1084" s="127"/>
      <c r="M1084" s="127"/>
      <c r="RG1084" s="6"/>
      <c r="RH1084" s="6"/>
      <c r="RI1084" s="6"/>
      <c r="RJ1084" s="6"/>
      <c r="RK1084" s="6"/>
      <c r="RL1084" s="45"/>
      <c r="RM1084" s="4"/>
      <c r="RN1084" s="4"/>
      <c r="RO1084" s="4"/>
      <c r="RP1084" s="6"/>
    </row>
    <row r="1085" spans="1:484" x14ac:dyDescent="0.25">
      <c r="A1085" s="46"/>
      <c r="B1085" s="47"/>
      <c r="C1085" s="127"/>
      <c r="D1085" s="127"/>
      <c r="E1085" s="127"/>
      <c r="F1085" s="127"/>
      <c r="G1085" s="127"/>
      <c r="H1085" s="127"/>
      <c r="I1085" s="127"/>
      <c r="J1085" s="127"/>
      <c r="K1085" s="127"/>
      <c r="L1085" s="127"/>
      <c r="M1085" s="127"/>
      <c r="RG1085" s="6"/>
      <c r="RH1085" s="6"/>
      <c r="RI1085" s="6"/>
      <c r="RJ1085" s="6"/>
      <c r="RK1085" s="6"/>
      <c r="RL1085" s="45"/>
      <c r="RM1085" s="4"/>
      <c r="RN1085" s="4"/>
      <c r="RO1085" s="4"/>
      <c r="RP1085" s="6"/>
    </row>
    <row r="1086" spans="1:484" x14ac:dyDescent="0.25">
      <c r="A1086" s="46"/>
      <c r="B1086" s="47"/>
      <c r="C1086" s="127"/>
      <c r="D1086" s="127"/>
      <c r="E1086" s="127"/>
      <c r="F1086" s="127"/>
      <c r="G1086" s="127"/>
      <c r="H1086" s="127"/>
      <c r="I1086" s="127"/>
      <c r="J1086" s="127"/>
      <c r="K1086" s="127"/>
      <c r="L1086" s="127"/>
      <c r="M1086" s="127"/>
      <c r="RG1086" s="6"/>
      <c r="RH1086" s="6"/>
      <c r="RI1086" s="6"/>
      <c r="RJ1086" s="6"/>
      <c r="RK1086" s="6"/>
      <c r="RL1086" s="45"/>
      <c r="RM1086" s="4"/>
      <c r="RN1086" s="4"/>
      <c r="RO1086" s="4"/>
      <c r="RP1086" s="6"/>
    </row>
    <row r="1087" spans="1:484" x14ac:dyDescent="0.25">
      <c r="A1087" s="46"/>
      <c r="B1087" s="47"/>
      <c r="C1087" s="127"/>
      <c r="D1087" s="127"/>
      <c r="E1087" s="127"/>
      <c r="F1087" s="127"/>
      <c r="G1087" s="127"/>
      <c r="H1087" s="127"/>
      <c r="I1087" s="127"/>
      <c r="J1087" s="127"/>
      <c r="K1087" s="127"/>
      <c r="L1087" s="127"/>
      <c r="M1087" s="127"/>
      <c r="RG1087" s="6"/>
      <c r="RH1087" s="6"/>
      <c r="RI1087" s="6"/>
      <c r="RJ1087" s="6"/>
      <c r="RK1087" s="6"/>
      <c r="RL1087" s="45"/>
      <c r="RM1087" s="4"/>
      <c r="RN1087" s="4"/>
      <c r="RO1087" s="4"/>
      <c r="RP1087" s="6"/>
    </row>
    <row r="1088" spans="1:484" x14ac:dyDescent="0.25">
      <c r="A1088" s="46"/>
      <c r="B1088" s="47"/>
      <c r="C1088" s="127"/>
      <c r="D1088" s="127"/>
      <c r="E1088" s="127"/>
      <c r="F1088" s="127"/>
      <c r="G1088" s="127"/>
      <c r="H1088" s="127"/>
      <c r="I1088" s="127"/>
      <c r="J1088" s="127"/>
      <c r="K1088" s="127"/>
      <c r="L1088" s="127"/>
      <c r="M1088" s="127"/>
      <c r="RG1088" s="6"/>
      <c r="RH1088" s="6"/>
      <c r="RI1088" s="6"/>
      <c r="RJ1088" s="6"/>
      <c r="RK1088" s="6"/>
      <c r="RL1088" s="45"/>
      <c r="RM1088" s="4"/>
      <c r="RN1088" s="4"/>
      <c r="RO1088" s="4"/>
      <c r="RP1088" s="6"/>
    </row>
    <row r="1089" spans="1:484" x14ac:dyDescent="0.25">
      <c r="A1089" s="46"/>
      <c r="B1089" s="47"/>
      <c r="C1089" s="127"/>
      <c r="D1089" s="127"/>
      <c r="E1089" s="127"/>
      <c r="F1089" s="127"/>
      <c r="G1089" s="127"/>
      <c r="H1089" s="127"/>
      <c r="I1089" s="127"/>
      <c r="J1089" s="127"/>
      <c r="K1089" s="127"/>
      <c r="L1089" s="127"/>
      <c r="M1089" s="127"/>
      <c r="RG1089" s="6"/>
      <c r="RH1089" s="6"/>
      <c r="RI1089" s="6"/>
      <c r="RJ1089" s="6"/>
      <c r="RK1089" s="6"/>
      <c r="RL1089" s="45"/>
      <c r="RM1089" s="4"/>
      <c r="RN1089" s="4"/>
      <c r="RO1089" s="4"/>
      <c r="RP1089" s="6"/>
    </row>
    <row r="1090" spans="1:484" x14ac:dyDescent="0.25">
      <c r="A1090" s="46"/>
      <c r="B1090" s="47"/>
      <c r="C1090" s="127"/>
      <c r="D1090" s="127"/>
      <c r="E1090" s="127"/>
      <c r="F1090" s="127"/>
      <c r="G1090" s="127"/>
      <c r="H1090" s="127"/>
      <c r="I1090" s="127"/>
      <c r="J1090" s="127"/>
      <c r="K1090" s="127"/>
      <c r="L1090" s="127"/>
      <c r="M1090" s="127"/>
      <c r="RG1090" s="6"/>
      <c r="RH1090" s="6"/>
      <c r="RI1090" s="6"/>
      <c r="RJ1090" s="6"/>
      <c r="RK1090" s="6"/>
      <c r="RL1090" s="45"/>
      <c r="RM1090" s="4"/>
      <c r="RN1090" s="4"/>
      <c r="RO1090" s="4"/>
      <c r="RP1090" s="6"/>
    </row>
    <row r="1091" spans="1:484" x14ac:dyDescent="0.25">
      <c r="A1091" s="46"/>
      <c r="B1091" s="47"/>
      <c r="C1091" s="127"/>
      <c r="D1091" s="127"/>
      <c r="E1091" s="127"/>
      <c r="F1091" s="127"/>
      <c r="G1091" s="127"/>
      <c r="H1091" s="127"/>
      <c r="I1091" s="127"/>
      <c r="J1091" s="127"/>
      <c r="K1091" s="127"/>
      <c r="L1091" s="127"/>
      <c r="M1091" s="127"/>
      <c r="RG1091" s="6"/>
      <c r="RH1091" s="6"/>
      <c r="RI1091" s="6"/>
      <c r="RJ1091" s="6"/>
      <c r="RK1091" s="6"/>
      <c r="RL1091" s="45"/>
      <c r="RM1091" s="4"/>
      <c r="RN1091" s="4"/>
      <c r="RO1091" s="4"/>
      <c r="RP1091" s="6"/>
    </row>
    <row r="1092" spans="1:484" x14ac:dyDescent="0.25">
      <c r="A1092" s="46"/>
      <c r="B1092" s="47"/>
      <c r="C1092" s="127"/>
      <c r="D1092" s="127"/>
      <c r="E1092" s="127"/>
      <c r="F1092" s="127"/>
      <c r="G1092" s="127"/>
      <c r="H1092" s="127"/>
      <c r="I1092" s="127"/>
      <c r="J1092" s="127"/>
      <c r="K1092" s="127"/>
      <c r="L1092" s="127"/>
      <c r="M1092" s="127"/>
      <c r="RG1092" s="6"/>
      <c r="RH1092" s="6"/>
      <c r="RI1092" s="6"/>
      <c r="RJ1092" s="6"/>
      <c r="RK1092" s="6"/>
      <c r="RL1092" s="45"/>
      <c r="RM1092" s="4"/>
      <c r="RN1092" s="4"/>
      <c r="RO1092" s="4"/>
      <c r="RP1092" s="6"/>
    </row>
    <row r="1093" spans="1:484" x14ac:dyDescent="0.25">
      <c r="A1093" s="46"/>
      <c r="B1093" s="47"/>
      <c r="C1093" s="127"/>
      <c r="D1093" s="127"/>
      <c r="E1093" s="127"/>
      <c r="F1093" s="127"/>
      <c r="G1093" s="127"/>
      <c r="H1093" s="127"/>
      <c r="I1093" s="127"/>
      <c r="J1093" s="127"/>
      <c r="K1093" s="127"/>
      <c r="L1093" s="127"/>
      <c r="M1093" s="127"/>
      <c r="RG1093" s="6"/>
      <c r="RH1093" s="6"/>
      <c r="RI1093" s="6"/>
      <c r="RJ1093" s="6"/>
      <c r="RK1093" s="6"/>
      <c r="RL1093" s="45"/>
      <c r="RM1093" s="4"/>
      <c r="RN1093" s="4"/>
      <c r="RO1093" s="4"/>
      <c r="RP1093" s="6"/>
    </row>
    <row r="1094" spans="1:484" x14ac:dyDescent="0.25">
      <c r="A1094" s="46"/>
      <c r="B1094" s="47"/>
      <c r="C1094" s="127"/>
      <c r="D1094" s="127"/>
      <c r="E1094" s="127"/>
      <c r="F1094" s="127"/>
      <c r="G1094" s="127"/>
      <c r="H1094" s="127"/>
      <c r="I1094" s="127"/>
      <c r="J1094" s="127"/>
      <c r="K1094" s="127"/>
      <c r="L1094" s="127"/>
      <c r="M1094" s="127"/>
      <c r="RG1094" s="6"/>
      <c r="RH1094" s="6"/>
      <c r="RI1094" s="6"/>
      <c r="RJ1094" s="6"/>
      <c r="RK1094" s="6"/>
      <c r="RL1094" s="45"/>
      <c r="RM1094" s="4"/>
      <c r="RN1094" s="4"/>
      <c r="RO1094" s="4"/>
      <c r="RP1094" s="6"/>
    </row>
    <row r="1095" spans="1:484" x14ac:dyDescent="0.25">
      <c r="A1095" s="46"/>
      <c r="B1095" s="47"/>
      <c r="C1095" s="127"/>
      <c r="D1095" s="127"/>
      <c r="E1095" s="127"/>
      <c r="F1095" s="127"/>
      <c r="G1095" s="127"/>
      <c r="H1095" s="127"/>
      <c r="I1095" s="127"/>
      <c r="J1095" s="127"/>
      <c r="K1095" s="127"/>
      <c r="L1095" s="127"/>
      <c r="M1095" s="127"/>
      <c r="RG1095" s="6"/>
      <c r="RH1095" s="6"/>
      <c r="RI1095" s="6"/>
      <c r="RJ1095" s="6"/>
      <c r="RK1095" s="6"/>
      <c r="RL1095" s="45"/>
      <c r="RM1095" s="4"/>
      <c r="RN1095" s="4"/>
      <c r="RO1095" s="4"/>
      <c r="RP1095" s="6"/>
    </row>
    <row r="1096" spans="1:484" x14ac:dyDescent="0.25">
      <c r="A1096" s="46"/>
      <c r="B1096" s="47"/>
      <c r="C1096" s="127"/>
      <c r="D1096" s="127"/>
      <c r="E1096" s="127"/>
      <c r="F1096" s="127"/>
      <c r="G1096" s="127"/>
      <c r="H1096" s="127"/>
      <c r="I1096" s="127"/>
      <c r="J1096" s="127"/>
      <c r="K1096" s="127"/>
      <c r="L1096" s="127"/>
      <c r="M1096" s="127"/>
      <c r="RG1096" s="6"/>
      <c r="RH1096" s="6"/>
      <c r="RI1096" s="6"/>
      <c r="RJ1096" s="6"/>
      <c r="RK1096" s="6"/>
      <c r="RL1096" s="45"/>
      <c r="RM1096" s="4"/>
      <c r="RN1096" s="4"/>
      <c r="RO1096" s="4"/>
      <c r="RP1096" s="6"/>
    </row>
    <row r="1097" spans="1:484" x14ac:dyDescent="0.25">
      <c r="A1097" s="46"/>
      <c r="B1097" s="47"/>
      <c r="C1097" s="127"/>
      <c r="D1097" s="127"/>
      <c r="E1097" s="127"/>
      <c r="F1097" s="127"/>
      <c r="G1097" s="127"/>
      <c r="H1097" s="127"/>
      <c r="I1097" s="127"/>
      <c r="J1097" s="127"/>
      <c r="K1097" s="127"/>
      <c r="L1097" s="127"/>
      <c r="M1097" s="127"/>
      <c r="RG1097" s="6"/>
      <c r="RH1097" s="6"/>
      <c r="RI1097" s="6"/>
      <c r="RJ1097" s="6"/>
      <c r="RK1097" s="6"/>
      <c r="RL1097" s="45"/>
      <c r="RM1097" s="4"/>
      <c r="RN1097" s="4"/>
      <c r="RO1097" s="4"/>
      <c r="RP1097" s="6"/>
    </row>
    <row r="1098" spans="1:484" x14ac:dyDescent="0.25">
      <c r="A1098" s="46"/>
      <c r="B1098" s="47"/>
      <c r="C1098" s="127"/>
      <c r="D1098" s="127"/>
      <c r="E1098" s="127"/>
      <c r="F1098" s="127"/>
      <c r="G1098" s="127"/>
      <c r="H1098" s="127"/>
      <c r="I1098" s="127"/>
      <c r="J1098" s="127"/>
      <c r="K1098" s="127"/>
      <c r="L1098" s="127"/>
      <c r="M1098" s="127"/>
      <c r="RG1098" s="6"/>
      <c r="RH1098" s="6"/>
      <c r="RI1098" s="6"/>
      <c r="RJ1098" s="6"/>
      <c r="RK1098" s="6"/>
      <c r="RL1098" s="45"/>
      <c r="RM1098" s="4"/>
      <c r="RN1098" s="4"/>
      <c r="RO1098" s="4"/>
      <c r="RP1098" s="6"/>
    </row>
    <row r="1099" spans="1:484" x14ac:dyDescent="0.25">
      <c r="A1099" s="46"/>
      <c r="B1099" s="47"/>
      <c r="C1099" s="127"/>
      <c r="D1099" s="127"/>
      <c r="E1099" s="127"/>
      <c r="F1099" s="127"/>
      <c r="G1099" s="127"/>
      <c r="H1099" s="127"/>
      <c r="I1099" s="127"/>
      <c r="J1099" s="127"/>
      <c r="K1099" s="127"/>
      <c r="L1099" s="127"/>
      <c r="M1099" s="127"/>
      <c r="RG1099" s="6"/>
      <c r="RH1099" s="6"/>
      <c r="RI1099" s="6"/>
      <c r="RJ1099" s="6"/>
      <c r="RK1099" s="6"/>
      <c r="RL1099" s="45"/>
      <c r="RM1099" s="4"/>
      <c r="RN1099" s="4"/>
      <c r="RO1099" s="4"/>
      <c r="RP1099" s="6"/>
    </row>
    <row r="1100" spans="1:484" x14ac:dyDescent="0.25">
      <c r="A1100" s="46"/>
      <c r="B1100" s="47"/>
      <c r="C1100" s="127"/>
      <c r="D1100" s="127"/>
      <c r="E1100" s="127"/>
      <c r="F1100" s="127"/>
      <c r="G1100" s="127"/>
      <c r="H1100" s="127"/>
      <c r="I1100" s="127"/>
      <c r="J1100" s="127"/>
      <c r="K1100" s="127"/>
      <c r="L1100" s="127"/>
      <c r="M1100" s="127"/>
      <c r="RG1100" s="6"/>
      <c r="RH1100" s="6"/>
      <c r="RI1100" s="6"/>
      <c r="RJ1100" s="6"/>
      <c r="RK1100" s="6"/>
      <c r="RL1100" s="45"/>
      <c r="RM1100" s="4"/>
      <c r="RN1100" s="4"/>
      <c r="RO1100" s="4"/>
      <c r="RP1100" s="6"/>
    </row>
    <row r="1101" spans="1:484" x14ac:dyDescent="0.25">
      <c r="A1101" s="46"/>
      <c r="B1101" s="47"/>
      <c r="C1101" s="127"/>
      <c r="D1101" s="127"/>
      <c r="E1101" s="127"/>
      <c r="F1101" s="127"/>
      <c r="G1101" s="127"/>
      <c r="H1101" s="127"/>
      <c r="I1101" s="127"/>
      <c r="J1101" s="127"/>
      <c r="K1101" s="127"/>
      <c r="L1101" s="127"/>
      <c r="M1101" s="127"/>
      <c r="RG1101" s="6"/>
      <c r="RH1101" s="6"/>
      <c r="RI1101" s="6"/>
      <c r="RJ1101" s="6"/>
      <c r="RK1101" s="6"/>
      <c r="RL1101" s="45"/>
      <c r="RM1101" s="4"/>
      <c r="RN1101" s="4"/>
      <c r="RO1101" s="4"/>
      <c r="RP1101" s="6"/>
    </row>
    <row r="1102" spans="1:484" x14ac:dyDescent="0.25">
      <c r="A1102" s="46"/>
      <c r="B1102" s="47"/>
      <c r="C1102" s="127"/>
      <c r="D1102" s="127"/>
      <c r="E1102" s="127"/>
      <c r="F1102" s="127"/>
      <c r="G1102" s="127"/>
      <c r="H1102" s="127"/>
      <c r="I1102" s="127"/>
      <c r="J1102" s="127"/>
      <c r="K1102" s="127"/>
      <c r="L1102" s="127"/>
      <c r="M1102" s="127"/>
      <c r="RG1102" s="6"/>
      <c r="RH1102" s="6"/>
      <c r="RI1102" s="6"/>
      <c r="RJ1102" s="6"/>
      <c r="RK1102" s="6"/>
      <c r="RL1102" s="45"/>
      <c r="RM1102" s="4"/>
      <c r="RN1102" s="4"/>
      <c r="RO1102" s="4"/>
      <c r="RP1102" s="6"/>
    </row>
    <row r="1103" spans="1:484" x14ac:dyDescent="0.25">
      <c r="A1103" s="46"/>
      <c r="B1103" s="47"/>
      <c r="C1103" s="127"/>
      <c r="D1103" s="127"/>
      <c r="E1103" s="127"/>
      <c r="F1103" s="127"/>
      <c r="G1103" s="127"/>
      <c r="H1103" s="127"/>
      <c r="I1103" s="127"/>
      <c r="J1103" s="127"/>
      <c r="K1103" s="127"/>
      <c r="L1103" s="127"/>
      <c r="M1103" s="127"/>
      <c r="RG1103" s="6"/>
      <c r="RH1103" s="6"/>
      <c r="RI1103" s="6"/>
      <c r="RJ1103" s="6"/>
      <c r="RK1103" s="6"/>
      <c r="RL1103" s="45"/>
      <c r="RM1103" s="4"/>
      <c r="RN1103" s="4"/>
      <c r="RO1103" s="4"/>
      <c r="RP1103" s="6"/>
    </row>
    <row r="1104" spans="1:484" x14ac:dyDescent="0.25">
      <c r="A1104" s="46"/>
      <c r="B1104" s="47"/>
      <c r="C1104" s="127"/>
      <c r="D1104" s="127"/>
      <c r="E1104" s="127"/>
      <c r="F1104" s="127"/>
      <c r="G1104" s="127"/>
      <c r="H1104" s="127"/>
      <c r="I1104" s="127"/>
      <c r="J1104" s="127"/>
      <c r="K1104" s="127"/>
      <c r="L1104" s="127"/>
      <c r="M1104" s="127"/>
      <c r="RG1104" s="6"/>
      <c r="RH1104" s="6"/>
      <c r="RI1104" s="6"/>
      <c r="RJ1104" s="6"/>
      <c r="RK1104" s="6"/>
      <c r="RL1104" s="45"/>
      <c r="RM1104" s="4"/>
      <c r="RN1104" s="4"/>
      <c r="RO1104" s="4"/>
      <c r="RP1104" s="6"/>
    </row>
    <row r="1105" spans="1:484" x14ac:dyDescent="0.25">
      <c r="A1105" s="46"/>
      <c r="B1105" s="47"/>
      <c r="C1105" s="127"/>
      <c r="D1105" s="127"/>
      <c r="E1105" s="127"/>
      <c r="F1105" s="127"/>
      <c r="G1105" s="127"/>
      <c r="H1105" s="127"/>
      <c r="I1105" s="127"/>
      <c r="J1105" s="127"/>
      <c r="K1105" s="127"/>
      <c r="L1105" s="127"/>
      <c r="M1105" s="127"/>
      <c r="RG1105" s="6"/>
      <c r="RH1105" s="6"/>
      <c r="RI1105" s="6"/>
      <c r="RJ1105" s="6"/>
      <c r="RK1105" s="6"/>
      <c r="RL1105" s="45"/>
      <c r="RM1105" s="4"/>
      <c r="RN1105" s="4"/>
      <c r="RO1105" s="4"/>
      <c r="RP1105" s="6"/>
    </row>
    <row r="1106" spans="1:484" x14ac:dyDescent="0.25">
      <c r="A1106" s="46"/>
      <c r="B1106" s="47"/>
      <c r="C1106" s="127"/>
      <c r="D1106" s="127"/>
      <c r="E1106" s="127"/>
      <c r="F1106" s="127"/>
      <c r="G1106" s="127"/>
      <c r="H1106" s="127"/>
      <c r="I1106" s="127"/>
      <c r="J1106" s="127"/>
      <c r="K1106" s="127"/>
      <c r="L1106" s="127"/>
      <c r="M1106" s="127"/>
      <c r="RG1106" s="6"/>
      <c r="RH1106" s="6"/>
      <c r="RI1106" s="6"/>
      <c r="RJ1106" s="6"/>
      <c r="RK1106" s="6"/>
      <c r="RL1106" s="45"/>
      <c r="RM1106" s="4"/>
      <c r="RN1106" s="4"/>
      <c r="RO1106" s="4"/>
      <c r="RP1106" s="6"/>
    </row>
    <row r="1107" spans="1:484" x14ac:dyDescent="0.25">
      <c r="A1107" s="46"/>
      <c r="B1107" s="47"/>
      <c r="C1107" s="127"/>
      <c r="D1107" s="127"/>
      <c r="E1107" s="127"/>
      <c r="F1107" s="127"/>
      <c r="G1107" s="127"/>
      <c r="H1107" s="127"/>
      <c r="I1107" s="127"/>
      <c r="J1107" s="127"/>
      <c r="K1107" s="127"/>
      <c r="L1107" s="127"/>
      <c r="M1107" s="127"/>
      <c r="RG1107" s="6"/>
      <c r="RH1107" s="6"/>
      <c r="RI1107" s="6"/>
      <c r="RJ1107" s="6"/>
      <c r="RK1107" s="6"/>
      <c r="RL1107" s="45"/>
      <c r="RM1107" s="4"/>
      <c r="RN1107" s="4"/>
      <c r="RO1107" s="4"/>
      <c r="RP1107" s="6"/>
    </row>
    <row r="1108" spans="1:484" x14ac:dyDescent="0.25">
      <c r="A1108" s="46"/>
      <c r="B1108" s="47"/>
      <c r="C1108" s="127"/>
      <c r="D1108" s="127"/>
      <c r="E1108" s="127"/>
      <c r="F1108" s="127"/>
      <c r="G1108" s="127"/>
      <c r="H1108" s="127"/>
      <c r="I1108" s="127"/>
      <c r="J1108" s="127"/>
      <c r="K1108" s="127"/>
      <c r="L1108" s="127"/>
      <c r="M1108" s="127"/>
      <c r="RG1108" s="6"/>
      <c r="RH1108" s="6"/>
      <c r="RI1108" s="6"/>
      <c r="RJ1108" s="6"/>
      <c r="RK1108" s="6"/>
      <c r="RL1108" s="45"/>
      <c r="RM1108" s="4"/>
      <c r="RN1108" s="4"/>
      <c r="RO1108" s="4"/>
      <c r="RP1108" s="6"/>
    </row>
    <row r="1109" spans="1:484" x14ac:dyDescent="0.25">
      <c r="A1109" s="46"/>
      <c r="B1109" s="47"/>
      <c r="C1109" s="127"/>
      <c r="D1109" s="127"/>
      <c r="E1109" s="127"/>
      <c r="F1109" s="127"/>
      <c r="G1109" s="127"/>
      <c r="H1109" s="127"/>
      <c r="I1109" s="127"/>
      <c r="J1109" s="127"/>
      <c r="K1109" s="127"/>
      <c r="L1109" s="127"/>
      <c r="M1109" s="127"/>
      <c r="RG1109" s="6"/>
      <c r="RH1109" s="6"/>
      <c r="RI1109" s="6"/>
      <c r="RJ1109" s="6"/>
      <c r="RK1109" s="6"/>
      <c r="RL1109" s="45"/>
      <c r="RM1109" s="4"/>
      <c r="RN1109" s="4"/>
      <c r="RO1109" s="4"/>
      <c r="RP1109" s="6"/>
    </row>
    <row r="1110" spans="1:484" x14ac:dyDescent="0.25">
      <c r="A1110" s="46"/>
      <c r="B1110" s="47"/>
      <c r="C1110" s="127"/>
      <c r="D1110" s="127"/>
      <c r="E1110" s="127"/>
      <c r="F1110" s="127"/>
      <c r="G1110" s="127"/>
      <c r="H1110" s="127"/>
      <c r="I1110" s="127"/>
      <c r="J1110" s="127"/>
      <c r="K1110" s="127"/>
      <c r="L1110" s="127"/>
      <c r="M1110" s="127"/>
      <c r="RG1110" s="6"/>
      <c r="RH1110" s="6"/>
      <c r="RI1110" s="6"/>
      <c r="RJ1110" s="6"/>
      <c r="RK1110" s="6"/>
      <c r="RL1110" s="45"/>
      <c r="RM1110" s="4"/>
      <c r="RN1110" s="4"/>
      <c r="RO1110" s="4"/>
      <c r="RP1110" s="6"/>
    </row>
    <row r="1111" spans="1:484" x14ac:dyDescent="0.25">
      <c r="A1111" s="46"/>
      <c r="B1111" s="47"/>
      <c r="C1111" s="127"/>
      <c r="D1111" s="127"/>
      <c r="E1111" s="127"/>
      <c r="F1111" s="127"/>
      <c r="G1111" s="127"/>
      <c r="H1111" s="127"/>
      <c r="I1111" s="127"/>
      <c r="J1111" s="127"/>
      <c r="K1111" s="127"/>
      <c r="L1111" s="127"/>
      <c r="M1111" s="127"/>
      <c r="RG1111" s="6"/>
      <c r="RH1111" s="6"/>
      <c r="RI1111" s="6"/>
      <c r="RJ1111" s="6"/>
      <c r="RK1111" s="6"/>
      <c r="RL1111" s="45"/>
      <c r="RM1111" s="4"/>
      <c r="RN1111" s="4"/>
      <c r="RO1111" s="4"/>
      <c r="RP1111" s="6"/>
    </row>
    <row r="1112" spans="1:484" x14ac:dyDescent="0.25">
      <c r="A1112" s="46"/>
      <c r="B1112" s="47"/>
      <c r="C1112" s="127"/>
      <c r="D1112" s="127"/>
      <c r="E1112" s="127"/>
      <c r="F1112" s="127"/>
      <c r="G1112" s="127"/>
      <c r="H1112" s="127"/>
      <c r="I1112" s="127"/>
      <c r="J1112" s="127"/>
      <c r="K1112" s="127"/>
      <c r="L1112" s="127"/>
      <c r="M1112" s="127"/>
      <c r="RG1112" s="6"/>
      <c r="RH1112" s="6"/>
      <c r="RI1112" s="6"/>
      <c r="RJ1112" s="6"/>
      <c r="RK1112" s="6"/>
      <c r="RL1112" s="45"/>
      <c r="RM1112" s="4"/>
      <c r="RN1112" s="4"/>
      <c r="RO1112" s="4"/>
      <c r="RP1112" s="6"/>
    </row>
    <row r="1113" spans="1:484" x14ac:dyDescent="0.25">
      <c r="A1113" s="46"/>
      <c r="B1113" s="47"/>
      <c r="C1113" s="127"/>
      <c r="D1113" s="127"/>
      <c r="E1113" s="127"/>
      <c r="F1113" s="127"/>
      <c r="G1113" s="127"/>
      <c r="H1113" s="127"/>
      <c r="I1113" s="127"/>
      <c r="J1113" s="127"/>
      <c r="K1113" s="127"/>
      <c r="L1113" s="127"/>
      <c r="M1113" s="127"/>
      <c r="RG1113" s="6"/>
      <c r="RH1113" s="6"/>
      <c r="RI1113" s="6"/>
      <c r="RJ1113" s="6"/>
      <c r="RK1113" s="6"/>
      <c r="RL1113" s="45"/>
      <c r="RM1113" s="4"/>
      <c r="RN1113" s="4"/>
      <c r="RO1113" s="4"/>
      <c r="RP1113" s="6"/>
    </row>
    <row r="1114" spans="1:484" x14ac:dyDescent="0.25">
      <c r="A1114" s="46"/>
      <c r="B1114" s="47"/>
      <c r="C1114" s="127"/>
      <c r="D1114" s="127"/>
      <c r="E1114" s="127"/>
      <c r="F1114" s="127"/>
      <c r="G1114" s="127"/>
      <c r="H1114" s="127"/>
      <c r="I1114" s="127"/>
      <c r="J1114" s="127"/>
      <c r="K1114" s="127"/>
      <c r="L1114" s="127"/>
      <c r="M1114" s="127"/>
      <c r="RG1114" s="6"/>
      <c r="RH1114" s="6"/>
      <c r="RI1114" s="6"/>
      <c r="RJ1114" s="6"/>
      <c r="RK1114" s="6"/>
      <c r="RL1114" s="45"/>
      <c r="RM1114" s="4"/>
      <c r="RN1114" s="4"/>
      <c r="RO1114" s="4"/>
      <c r="RP1114" s="6"/>
    </row>
    <row r="1115" spans="1:484" x14ac:dyDescent="0.25">
      <c r="A1115" s="46"/>
      <c r="B1115" s="47"/>
      <c r="C1115" s="127"/>
      <c r="D1115" s="127"/>
      <c r="E1115" s="127"/>
      <c r="F1115" s="127"/>
      <c r="G1115" s="127"/>
      <c r="H1115" s="127"/>
      <c r="I1115" s="127"/>
      <c r="J1115" s="127"/>
      <c r="K1115" s="127"/>
      <c r="L1115" s="127"/>
      <c r="M1115" s="127"/>
      <c r="RG1115" s="6"/>
      <c r="RH1115" s="6"/>
      <c r="RI1115" s="6"/>
      <c r="RJ1115" s="6"/>
      <c r="RK1115" s="6"/>
      <c r="RL1115" s="45"/>
      <c r="RM1115" s="4"/>
      <c r="RN1115" s="4"/>
      <c r="RO1115" s="4"/>
      <c r="RP1115" s="6"/>
    </row>
    <row r="1116" spans="1:484" x14ac:dyDescent="0.25">
      <c r="A1116" s="46"/>
      <c r="B1116" s="47"/>
      <c r="C1116" s="127"/>
      <c r="D1116" s="127"/>
      <c r="E1116" s="127"/>
      <c r="F1116" s="127"/>
      <c r="G1116" s="127"/>
      <c r="H1116" s="127"/>
      <c r="I1116" s="127"/>
      <c r="J1116" s="127"/>
      <c r="K1116" s="127"/>
      <c r="L1116" s="127"/>
      <c r="M1116" s="127"/>
      <c r="RG1116" s="6"/>
      <c r="RH1116" s="6"/>
      <c r="RI1116" s="6"/>
      <c r="RJ1116" s="6"/>
      <c r="RK1116" s="6"/>
      <c r="RL1116" s="45"/>
      <c r="RM1116" s="4"/>
      <c r="RN1116" s="4"/>
      <c r="RO1116" s="4"/>
      <c r="RP1116" s="6"/>
    </row>
    <row r="1117" spans="1:484" x14ac:dyDescent="0.25">
      <c r="A1117" s="46"/>
      <c r="B1117" s="47"/>
      <c r="C1117" s="127"/>
      <c r="D1117" s="127"/>
      <c r="E1117" s="127"/>
      <c r="F1117" s="127"/>
      <c r="G1117" s="127"/>
      <c r="H1117" s="127"/>
      <c r="I1117" s="127"/>
      <c r="J1117" s="127"/>
      <c r="K1117" s="127"/>
      <c r="L1117" s="127"/>
      <c r="M1117" s="127"/>
      <c r="RG1117" s="6"/>
      <c r="RH1117" s="6"/>
      <c r="RI1117" s="6"/>
      <c r="RJ1117" s="6"/>
      <c r="RK1117" s="6"/>
      <c r="RL1117" s="45"/>
      <c r="RM1117" s="4"/>
      <c r="RN1117" s="4"/>
      <c r="RO1117" s="4"/>
      <c r="RP1117" s="6"/>
    </row>
    <row r="1118" spans="1:484" x14ac:dyDescent="0.25">
      <c r="A1118" s="46"/>
      <c r="B1118" s="47"/>
      <c r="C1118" s="127"/>
      <c r="D1118" s="127"/>
      <c r="E1118" s="127"/>
      <c r="F1118" s="127"/>
      <c r="G1118" s="127"/>
      <c r="H1118" s="127"/>
      <c r="I1118" s="127"/>
      <c r="J1118" s="127"/>
      <c r="K1118" s="127"/>
      <c r="L1118" s="127"/>
      <c r="M1118" s="127"/>
      <c r="RG1118" s="6"/>
      <c r="RH1118" s="6"/>
      <c r="RI1118" s="6"/>
      <c r="RJ1118" s="6"/>
      <c r="RK1118" s="6"/>
      <c r="RL1118" s="45"/>
      <c r="RM1118" s="4"/>
      <c r="RN1118" s="4"/>
      <c r="RO1118" s="4"/>
      <c r="RP1118" s="6"/>
    </row>
    <row r="1119" spans="1:484" x14ac:dyDescent="0.25">
      <c r="A1119" s="46"/>
      <c r="B1119" s="47"/>
      <c r="C1119" s="127"/>
      <c r="D1119" s="127"/>
      <c r="E1119" s="127"/>
      <c r="F1119" s="127"/>
      <c r="G1119" s="127"/>
      <c r="H1119" s="127"/>
      <c r="I1119" s="127"/>
      <c r="J1119" s="127"/>
      <c r="K1119" s="127"/>
      <c r="L1119" s="127"/>
      <c r="M1119" s="127"/>
      <c r="RG1119" s="6"/>
      <c r="RH1119" s="6"/>
      <c r="RI1119" s="6"/>
      <c r="RJ1119" s="6"/>
      <c r="RK1119" s="6"/>
      <c r="RL1119" s="45"/>
      <c r="RM1119" s="4"/>
      <c r="RN1119" s="4"/>
      <c r="RO1119" s="4"/>
      <c r="RP1119" s="6"/>
    </row>
    <row r="1120" spans="1:484" x14ac:dyDescent="0.25">
      <c r="A1120" s="46"/>
      <c r="B1120" s="47"/>
      <c r="C1120" s="127"/>
      <c r="D1120" s="127"/>
      <c r="E1120" s="127"/>
      <c r="F1120" s="127"/>
      <c r="G1120" s="127"/>
      <c r="H1120" s="127"/>
      <c r="I1120" s="127"/>
      <c r="J1120" s="127"/>
      <c r="K1120" s="127"/>
      <c r="L1120" s="127"/>
      <c r="M1120" s="127"/>
      <c r="RG1120" s="6"/>
      <c r="RH1120" s="6"/>
      <c r="RI1120" s="6"/>
      <c r="RJ1120" s="6"/>
      <c r="RK1120" s="6"/>
      <c r="RL1120" s="45"/>
      <c r="RM1120" s="4"/>
      <c r="RN1120" s="4"/>
      <c r="RO1120" s="4"/>
      <c r="RP1120" s="6"/>
    </row>
    <row r="1121" spans="1:484" x14ac:dyDescent="0.25">
      <c r="A1121" s="46"/>
      <c r="B1121" s="47"/>
      <c r="C1121" s="127"/>
      <c r="D1121" s="127"/>
      <c r="E1121" s="127"/>
      <c r="F1121" s="127"/>
      <c r="G1121" s="127"/>
      <c r="H1121" s="127"/>
      <c r="I1121" s="127"/>
      <c r="J1121" s="127"/>
      <c r="K1121" s="127"/>
      <c r="L1121" s="127"/>
      <c r="M1121" s="127"/>
      <c r="RG1121" s="6"/>
      <c r="RH1121" s="6"/>
      <c r="RI1121" s="6"/>
      <c r="RJ1121" s="6"/>
      <c r="RK1121" s="6"/>
      <c r="RL1121" s="45"/>
      <c r="RM1121" s="4"/>
      <c r="RN1121" s="4"/>
      <c r="RO1121" s="4"/>
      <c r="RP1121" s="6"/>
    </row>
    <row r="1122" spans="1:484" x14ac:dyDescent="0.25">
      <c r="A1122" s="46"/>
      <c r="B1122" s="47"/>
      <c r="C1122" s="127"/>
      <c r="D1122" s="127"/>
      <c r="E1122" s="127"/>
      <c r="F1122" s="127"/>
      <c r="G1122" s="127"/>
      <c r="H1122" s="127"/>
      <c r="I1122" s="127"/>
      <c r="J1122" s="127"/>
      <c r="K1122" s="127"/>
      <c r="L1122" s="127"/>
      <c r="M1122" s="127"/>
      <c r="RG1122" s="6"/>
      <c r="RH1122" s="6"/>
      <c r="RI1122" s="6"/>
      <c r="RJ1122" s="6"/>
      <c r="RK1122" s="6"/>
      <c r="RL1122" s="45"/>
      <c r="RM1122" s="4"/>
      <c r="RN1122" s="4"/>
      <c r="RO1122" s="4"/>
      <c r="RP1122" s="6"/>
    </row>
    <row r="1123" spans="1:484" x14ac:dyDescent="0.25">
      <c r="A1123" s="46"/>
      <c r="B1123" s="47"/>
      <c r="C1123" s="127"/>
      <c r="D1123" s="127"/>
      <c r="E1123" s="127"/>
      <c r="F1123" s="127"/>
      <c r="G1123" s="127"/>
      <c r="H1123" s="127"/>
      <c r="I1123" s="127"/>
      <c r="J1123" s="127"/>
      <c r="K1123" s="127"/>
      <c r="L1123" s="127"/>
      <c r="M1123" s="127"/>
      <c r="RG1123" s="6"/>
      <c r="RH1123" s="6"/>
      <c r="RI1123" s="6"/>
      <c r="RJ1123" s="6"/>
      <c r="RK1123" s="6"/>
      <c r="RL1123" s="45"/>
      <c r="RM1123" s="4"/>
      <c r="RN1123" s="4"/>
      <c r="RO1123" s="4"/>
      <c r="RP1123" s="6"/>
    </row>
    <row r="1124" spans="1:484" x14ac:dyDescent="0.25">
      <c r="A1124" s="46"/>
      <c r="B1124" s="47"/>
      <c r="C1124" s="127"/>
      <c r="D1124" s="127"/>
      <c r="E1124" s="127"/>
      <c r="F1124" s="127"/>
      <c r="G1124" s="127"/>
      <c r="H1124" s="127"/>
      <c r="I1124" s="127"/>
      <c r="J1124" s="127"/>
      <c r="K1124" s="127"/>
      <c r="L1124" s="127"/>
      <c r="M1124" s="127"/>
      <c r="RG1124" s="6"/>
      <c r="RH1124" s="6"/>
      <c r="RI1124" s="6"/>
      <c r="RJ1124" s="6"/>
      <c r="RK1124" s="6"/>
      <c r="RL1124" s="45"/>
      <c r="RM1124" s="4"/>
      <c r="RN1124" s="4"/>
      <c r="RO1124" s="4"/>
      <c r="RP1124" s="6"/>
    </row>
    <row r="1125" spans="1:484" x14ac:dyDescent="0.25">
      <c r="A1125" s="46"/>
      <c r="B1125" s="47"/>
      <c r="C1125" s="127"/>
      <c r="D1125" s="127"/>
      <c r="E1125" s="127"/>
      <c r="F1125" s="127"/>
      <c r="G1125" s="127"/>
      <c r="H1125" s="127"/>
      <c r="I1125" s="127"/>
      <c r="J1125" s="127"/>
      <c r="K1125" s="127"/>
      <c r="L1125" s="127"/>
      <c r="M1125" s="127"/>
      <c r="RG1125" s="6"/>
      <c r="RH1125" s="6"/>
      <c r="RI1125" s="6"/>
      <c r="RJ1125" s="6"/>
      <c r="RK1125" s="6"/>
      <c r="RL1125" s="45"/>
      <c r="RM1125" s="4"/>
      <c r="RN1125" s="4"/>
      <c r="RO1125" s="4"/>
      <c r="RP1125" s="6"/>
    </row>
    <row r="1126" spans="1:484" x14ac:dyDescent="0.25">
      <c r="A1126" s="46"/>
      <c r="B1126" s="47"/>
      <c r="C1126" s="127"/>
      <c r="D1126" s="127"/>
      <c r="E1126" s="127"/>
      <c r="F1126" s="127"/>
      <c r="G1126" s="127"/>
      <c r="H1126" s="127"/>
      <c r="I1126" s="127"/>
      <c r="J1126" s="127"/>
      <c r="K1126" s="127"/>
      <c r="L1126" s="127"/>
      <c r="M1126" s="127"/>
      <c r="RG1126" s="6"/>
      <c r="RH1126" s="6"/>
      <c r="RI1126" s="6"/>
      <c r="RJ1126" s="6"/>
      <c r="RK1126" s="6"/>
      <c r="RL1126" s="45"/>
      <c r="RM1126" s="4"/>
      <c r="RN1126" s="4"/>
      <c r="RO1126" s="4"/>
      <c r="RP1126" s="6"/>
    </row>
    <row r="1127" spans="1:484" x14ac:dyDescent="0.25">
      <c r="A1127" s="46"/>
      <c r="B1127" s="47"/>
      <c r="C1127" s="127"/>
      <c r="D1127" s="127"/>
      <c r="E1127" s="127"/>
      <c r="F1127" s="127"/>
      <c r="G1127" s="127"/>
      <c r="H1127" s="127"/>
      <c r="I1127" s="127"/>
      <c r="J1127" s="127"/>
      <c r="K1127" s="127"/>
      <c r="L1127" s="127"/>
      <c r="M1127" s="127"/>
      <c r="RG1127" s="6"/>
      <c r="RH1127" s="6"/>
      <c r="RI1127" s="6"/>
      <c r="RJ1127" s="6"/>
      <c r="RK1127" s="6"/>
      <c r="RL1127" s="45"/>
      <c r="RM1127" s="4"/>
      <c r="RN1127" s="4"/>
      <c r="RO1127" s="4"/>
      <c r="RP1127" s="6"/>
    </row>
    <row r="1128" spans="1:484" x14ac:dyDescent="0.25">
      <c r="A1128" s="46"/>
      <c r="B1128" s="47"/>
      <c r="C1128" s="127"/>
      <c r="D1128" s="127"/>
      <c r="E1128" s="127"/>
      <c r="F1128" s="127"/>
      <c r="G1128" s="127"/>
      <c r="H1128" s="127"/>
      <c r="I1128" s="127"/>
      <c r="J1128" s="127"/>
      <c r="K1128" s="127"/>
      <c r="L1128" s="127"/>
      <c r="M1128" s="127"/>
      <c r="RG1128" s="6"/>
      <c r="RH1128" s="6"/>
      <c r="RI1128" s="6"/>
      <c r="RJ1128" s="6"/>
      <c r="RK1128" s="6"/>
      <c r="RL1128" s="45"/>
      <c r="RM1128" s="4"/>
      <c r="RN1128" s="4"/>
      <c r="RO1128" s="4"/>
      <c r="RP1128" s="6"/>
    </row>
    <row r="1129" spans="1:484" x14ac:dyDescent="0.25">
      <c r="A1129" s="46"/>
      <c r="B1129" s="47"/>
      <c r="C1129" s="127"/>
      <c r="D1129" s="127"/>
      <c r="E1129" s="127"/>
      <c r="F1129" s="127"/>
      <c r="G1129" s="127"/>
      <c r="H1129" s="127"/>
      <c r="I1129" s="127"/>
      <c r="J1129" s="127"/>
      <c r="K1129" s="127"/>
      <c r="L1129" s="127"/>
      <c r="M1129" s="127"/>
      <c r="RG1129" s="6"/>
      <c r="RH1129" s="6"/>
      <c r="RI1129" s="6"/>
      <c r="RJ1129" s="6"/>
      <c r="RK1129" s="6"/>
      <c r="RL1129" s="45"/>
      <c r="RM1129" s="4"/>
      <c r="RN1129" s="4"/>
      <c r="RO1129" s="4"/>
      <c r="RP1129" s="6"/>
    </row>
    <row r="1130" spans="1:484" x14ac:dyDescent="0.25">
      <c r="A1130" s="46"/>
      <c r="B1130" s="47"/>
      <c r="C1130" s="127"/>
      <c r="D1130" s="127"/>
      <c r="E1130" s="127"/>
      <c r="F1130" s="127"/>
      <c r="G1130" s="127"/>
      <c r="H1130" s="127"/>
      <c r="I1130" s="127"/>
      <c r="J1130" s="127"/>
      <c r="K1130" s="127"/>
      <c r="L1130" s="127"/>
      <c r="M1130" s="127"/>
      <c r="RG1130" s="6"/>
      <c r="RH1130" s="6"/>
      <c r="RI1130" s="6"/>
      <c r="RJ1130" s="6"/>
      <c r="RK1130" s="6"/>
      <c r="RL1130" s="45"/>
      <c r="RM1130" s="4"/>
      <c r="RN1130" s="4"/>
      <c r="RO1130" s="4"/>
      <c r="RP1130" s="6"/>
    </row>
    <row r="1131" spans="1:484" x14ac:dyDescent="0.25">
      <c r="A1131" s="46"/>
      <c r="B1131" s="47"/>
      <c r="C1131" s="127"/>
      <c r="D1131" s="127"/>
      <c r="E1131" s="127"/>
      <c r="F1131" s="127"/>
      <c r="G1131" s="127"/>
      <c r="H1131" s="127"/>
      <c r="I1131" s="127"/>
      <c r="J1131" s="127"/>
      <c r="K1131" s="127"/>
      <c r="L1131" s="127"/>
      <c r="M1131" s="127"/>
      <c r="RG1131" s="6"/>
      <c r="RH1131" s="6"/>
      <c r="RI1131" s="6"/>
      <c r="RJ1131" s="6"/>
      <c r="RK1131" s="6"/>
      <c r="RL1131" s="45"/>
      <c r="RM1131" s="4"/>
      <c r="RN1131" s="4"/>
      <c r="RO1131" s="4"/>
      <c r="RP1131" s="6"/>
    </row>
    <row r="1132" spans="1:484" x14ac:dyDescent="0.25">
      <c r="A1132" s="46"/>
      <c r="B1132" s="47"/>
      <c r="C1132" s="127"/>
      <c r="D1132" s="127"/>
      <c r="E1132" s="127"/>
      <c r="F1132" s="127"/>
      <c r="G1132" s="127"/>
      <c r="H1132" s="127"/>
      <c r="I1132" s="127"/>
      <c r="J1132" s="127"/>
      <c r="K1132" s="127"/>
      <c r="L1132" s="127"/>
      <c r="M1132" s="127"/>
      <c r="RG1132" s="6"/>
      <c r="RH1132" s="6"/>
      <c r="RI1132" s="6"/>
      <c r="RJ1132" s="6"/>
      <c r="RK1132" s="6"/>
      <c r="RL1132" s="45"/>
      <c r="RM1132" s="4"/>
      <c r="RN1132" s="4"/>
      <c r="RO1132" s="4"/>
      <c r="RP1132" s="6"/>
    </row>
    <row r="1133" spans="1:484" x14ac:dyDescent="0.25">
      <c r="A1133" s="46"/>
      <c r="B1133" s="47"/>
      <c r="C1133" s="127"/>
      <c r="D1133" s="127"/>
      <c r="E1133" s="127"/>
      <c r="F1133" s="127"/>
      <c r="G1133" s="127"/>
      <c r="H1133" s="127"/>
      <c r="I1133" s="127"/>
      <c r="J1133" s="127"/>
      <c r="K1133" s="127"/>
      <c r="L1133" s="127"/>
      <c r="M1133" s="127"/>
      <c r="RG1133" s="6"/>
      <c r="RH1133" s="6"/>
      <c r="RI1133" s="6"/>
      <c r="RJ1133" s="6"/>
      <c r="RK1133" s="6"/>
      <c r="RL1133" s="45"/>
      <c r="RM1133" s="4"/>
      <c r="RN1133" s="4"/>
      <c r="RO1133" s="4"/>
      <c r="RP1133" s="6"/>
    </row>
    <row r="1134" spans="1:484" x14ac:dyDescent="0.25">
      <c r="A1134" s="46"/>
      <c r="B1134" s="47"/>
      <c r="C1134" s="127"/>
      <c r="D1134" s="127"/>
      <c r="E1134" s="127"/>
      <c r="F1134" s="127"/>
      <c r="G1134" s="127"/>
      <c r="H1134" s="127"/>
      <c r="I1134" s="127"/>
      <c r="J1134" s="127"/>
      <c r="K1134" s="127"/>
      <c r="L1134" s="127"/>
      <c r="M1134" s="127"/>
      <c r="RG1134" s="6"/>
      <c r="RH1134" s="6"/>
      <c r="RI1134" s="6"/>
      <c r="RJ1134" s="6"/>
      <c r="RK1134" s="6"/>
      <c r="RL1134" s="45"/>
      <c r="RM1134" s="4"/>
      <c r="RN1134" s="4"/>
      <c r="RO1134" s="4"/>
      <c r="RP1134" s="6"/>
    </row>
    <row r="1135" spans="1:484" x14ac:dyDescent="0.25">
      <c r="A1135" s="46"/>
      <c r="B1135" s="47"/>
      <c r="C1135" s="127"/>
      <c r="D1135" s="127"/>
      <c r="E1135" s="127"/>
      <c r="F1135" s="127"/>
      <c r="G1135" s="127"/>
      <c r="H1135" s="127"/>
      <c r="I1135" s="127"/>
      <c r="J1135" s="127"/>
      <c r="K1135" s="127"/>
      <c r="L1135" s="127"/>
      <c r="M1135" s="127"/>
      <c r="RG1135" s="6"/>
      <c r="RH1135" s="6"/>
      <c r="RI1135" s="6"/>
      <c r="RJ1135" s="6"/>
      <c r="RK1135" s="6"/>
      <c r="RL1135" s="45"/>
      <c r="RM1135" s="4"/>
      <c r="RN1135" s="4"/>
      <c r="RO1135" s="4"/>
      <c r="RP1135" s="6"/>
    </row>
    <row r="1136" spans="1:484" x14ac:dyDescent="0.25">
      <c r="A1136" s="46"/>
      <c r="B1136" s="47"/>
      <c r="C1136" s="127"/>
      <c r="D1136" s="127"/>
      <c r="E1136" s="127"/>
      <c r="F1136" s="127"/>
      <c r="G1136" s="127"/>
      <c r="H1136" s="127"/>
      <c r="I1136" s="127"/>
      <c r="J1136" s="127"/>
      <c r="K1136" s="127"/>
      <c r="L1136" s="127"/>
      <c r="M1136" s="127"/>
      <c r="RG1136" s="6"/>
      <c r="RH1136" s="6"/>
      <c r="RI1136" s="6"/>
      <c r="RJ1136" s="6"/>
      <c r="RK1136" s="6"/>
      <c r="RL1136" s="45"/>
      <c r="RM1136" s="4"/>
      <c r="RN1136" s="4"/>
      <c r="RO1136" s="4"/>
      <c r="RP1136" s="6"/>
    </row>
    <row r="1137" spans="1:484" x14ac:dyDescent="0.25">
      <c r="A1137" s="46"/>
      <c r="B1137" s="47"/>
      <c r="C1137" s="127"/>
      <c r="D1137" s="127"/>
      <c r="E1137" s="127"/>
      <c r="F1137" s="127"/>
      <c r="G1137" s="127"/>
      <c r="H1137" s="127"/>
      <c r="I1137" s="127"/>
      <c r="J1137" s="127"/>
      <c r="K1137" s="127"/>
      <c r="L1137" s="127"/>
      <c r="M1137" s="127"/>
      <c r="RG1137" s="6"/>
      <c r="RH1137" s="6"/>
      <c r="RI1137" s="6"/>
      <c r="RJ1137" s="6"/>
      <c r="RK1137" s="6"/>
      <c r="RL1137" s="45"/>
      <c r="RM1137" s="4"/>
      <c r="RN1137" s="4"/>
      <c r="RO1137" s="4"/>
      <c r="RP1137" s="6"/>
    </row>
    <row r="1138" spans="1:484" x14ac:dyDescent="0.25">
      <c r="A1138" s="46"/>
      <c r="B1138" s="47"/>
      <c r="C1138" s="127"/>
      <c r="D1138" s="127"/>
      <c r="E1138" s="127"/>
      <c r="F1138" s="127"/>
      <c r="G1138" s="127"/>
      <c r="H1138" s="127"/>
      <c r="I1138" s="127"/>
      <c r="J1138" s="127"/>
      <c r="K1138" s="127"/>
      <c r="L1138" s="127"/>
      <c r="M1138" s="127"/>
      <c r="RG1138" s="6"/>
      <c r="RH1138" s="6"/>
      <c r="RI1138" s="6"/>
      <c r="RJ1138" s="6"/>
      <c r="RK1138" s="6"/>
      <c r="RL1138" s="45"/>
      <c r="RM1138" s="4"/>
      <c r="RN1138" s="4"/>
      <c r="RO1138" s="4"/>
      <c r="RP1138" s="6"/>
    </row>
    <row r="1139" spans="1:484" x14ac:dyDescent="0.25">
      <c r="A1139" s="46"/>
      <c r="B1139" s="47"/>
      <c r="C1139" s="127"/>
      <c r="D1139" s="127"/>
      <c r="E1139" s="127"/>
      <c r="F1139" s="127"/>
      <c r="G1139" s="127"/>
      <c r="H1139" s="127"/>
      <c r="I1139" s="127"/>
      <c r="J1139" s="127"/>
      <c r="K1139" s="127"/>
      <c r="L1139" s="127"/>
      <c r="M1139" s="127"/>
      <c r="RG1139" s="6"/>
      <c r="RH1139" s="6"/>
      <c r="RI1139" s="6"/>
      <c r="RJ1139" s="6"/>
      <c r="RK1139" s="6"/>
      <c r="RL1139" s="45"/>
      <c r="RM1139" s="4"/>
      <c r="RN1139" s="4"/>
      <c r="RO1139" s="4"/>
      <c r="RP1139" s="6"/>
    </row>
    <row r="1140" spans="1:484" x14ac:dyDescent="0.25">
      <c r="A1140" s="46"/>
      <c r="B1140" s="47"/>
      <c r="C1140" s="127"/>
      <c r="D1140" s="127"/>
      <c r="E1140" s="127"/>
      <c r="F1140" s="127"/>
      <c r="G1140" s="127"/>
      <c r="H1140" s="127"/>
      <c r="I1140" s="127"/>
      <c r="J1140" s="127"/>
      <c r="K1140" s="127"/>
      <c r="L1140" s="127"/>
      <c r="M1140" s="127"/>
      <c r="RG1140" s="6"/>
      <c r="RH1140" s="6"/>
      <c r="RI1140" s="6"/>
      <c r="RJ1140" s="6"/>
      <c r="RK1140" s="6"/>
      <c r="RL1140" s="45"/>
      <c r="RM1140" s="4"/>
      <c r="RN1140" s="4"/>
      <c r="RO1140" s="4"/>
      <c r="RP1140" s="6"/>
    </row>
    <row r="1141" spans="1:484" x14ac:dyDescent="0.25">
      <c r="A1141" s="46"/>
      <c r="B1141" s="47"/>
      <c r="C1141" s="127"/>
      <c r="D1141" s="127"/>
      <c r="E1141" s="127"/>
      <c r="F1141" s="127"/>
      <c r="G1141" s="127"/>
      <c r="H1141" s="127"/>
      <c r="I1141" s="127"/>
      <c r="J1141" s="127"/>
      <c r="K1141" s="127"/>
      <c r="L1141" s="127"/>
      <c r="M1141" s="127"/>
      <c r="RG1141" s="6"/>
      <c r="RH1141" s="6"/>
      <c r="RI1141" s="6"/>
      <c r="RJ1141" s="6"/>
      <c r="RK1141" s="6"/>
      <c r="RL1141" s="45"/>
      <c r="RM1141" s="4"/>
      <c r="RN1141" s="4"/>
      <c r="RO1141" s="4"/>
      <c r="RP1141" s="6"/>
    </row>
    <row r="1142" spans="1:484" x14ac:dyDescent="0.25">
      <c r="A1142" s="46"/>
      <c r="B1142" s="47"/>
      <c r="C1142" s="127"/>
      <c r="D1142" s="127"/>
      <c r="E1142" s="127"/>
      <c r="F1142" s="127"/>
      <c r="G1142" s="127"/>
      <c r="H1142" s="127"/>
      <c r="I1142" s="127"/>
      <c r="J1142" s="127"/>
      <c r="K1142" s="127"/>
      <c r="L1142" s="127"/>
      <c r="M1142" s="127"/>
      <c r="RG1142" s="6"/>
      <c r="RH1142" s="6"/>
      <c r="RI1142" s="6"/>
      <c r="RJ1142" s="6"/>
      <c r="RK1142" s="6"/>
      <c r="RL1142" s="45"/>
      <c r="RM1142" s="4"/>
      <c r="RN1142" s="4"/>
      <c r="RO1142" s="4"/>
      <c r="RP1142" s="6"/>
    </row>
    <row r="1143" spans="1:484" x14ac:dyDescent="0.25">
      <c r="A1143" s="46"/>
      <c r="B1143" s="47"/>
      <c r="C1143" s="127"/>
      <c r="D1143" s="127"/>
      <c r="E1143" s="127"/>
      <c r="F1143" s="127"/>
      <c r="G1143" s="127"/>
      <c r="H1143" s="127"/>
      <c r="I1143" s="127"/>
      <c r="J1143" s="127"/>
      <c r="K1143" s="127"/>
      <c r="L1143" s="127"/>
      <c r="M1143" s="127"/>
      <c r="RG1143" s="6"/>
      <c r="RH1143" s="6"/>
      <c r="RI1143" s="6"/>
      <c r="RJ1143" s="6"/>
      <c r="RK1143" s="6"/>
      <c r="RL1143" s="45"/>
      <c r="RM1143" s="4"/>
      <c r="RN1143" s="4"/>
      <c r="RO1143" s="4"/>
      <c r="RP1143" s="6"/>
    </row>
    <row r="1144" spans="1:484" x14ac:dyDescent="0.25">
      <c r="A1144" s="46"/>
      <c r="B1144" s="47"/>
      <c r="C1144" s="127"/>
      <c r="D1144" s="127"/>
      <c r="E1144" s="127"/>
      <c r="F1144" s="127"/>
      <c r="G1144" s="127"/>
      <c r="H1144" s="127"/>
      <c r="I1144" s="127"/>
      <c r="J1144" s="127"/>
      <c r="K1144" s="127"/>
      <c r="L1144" s="127"/>
      <c r="M1144" s="127"/>
      <c r="RG1144" s="6"/>
      <c r="RH1144" s="6"/>
      <c r="RI1144" s="6"/>
      <c r="RJ1144" s="6"/>
      <c r="RK1144" s="6"/>
      <c r="RL1144" s="45"/>
      <c r="RM1144" s="4"/>
      <c r="RN1144" s="4"/>
      <c r="RO1144" s="4"/>
      <c r="RP1144" s="6"/>
    </row>
    <row r="1145" spans="1:484" x14ac:dyDescent="0.25">
      <c r="A1145" s="46"/>
      <c r="B1145" s="47"/>
      <c r="C1145" s="127"/>
      <c r="D1145" s="127"/>
      <c r="E1145" s="127"/>
      <c r="F1145" s="127"/>
      <c r="G1145" s="127"/>
      <c r="H1145" s="127"/>
      <c r="I1145" s="127"/>
      <c r="J1145" s="127"/>
      <c r="K1145" s="127"/>
      <c r="L1145" s="127"/>
      <c r="M1145" s="127"/>
      <c r="RG1145" s="6"/>
      <c r="RH1145" s="6"/>
      <c r="RI1145" s="6"/>
      <c r="RJ1145" s="6"/>
      <c r="RK1145" s="6"/>
      <c r="RL1145" s="45"/>
      <c r="RM1145" s="4"/>
      <c r="RN1145" s="4"/>
      <c r="RO1145" s="4"/>
      <c r="RP1145" s="6"/>
    </row>
    <row r="1146" spans="1:484" x14ac:dyDescent="0.25">
      <c r="A1146" s="46"/>
      <c r="B1146" s="47"/>
      <c r="C1146" s="127"/>
      <c r="D1146" s="127"/>
      <c r="E1146" s="127"/>
      <c r="F1146" s="127"/>
      <c r="G1146" s="127"/>
      <c r="H1146" s="127"/>
      <c r="I1146" s="127"/>
      <c r="J1146" s="127"/>
      <c r="K1146" s="127"/>
      <c r="L1146" s="127"/>
      <c r="M1146" s="127"/>
      <c r="RG1146" s="6"/>
      <c r="RH1146" s="6"/>
      <c r="RI1146" s="6"/>
      <c r="RJ1146" s="6"/>
      <c r="RK1146" s="6"/>
      <c r="RL1146" s="45"/>
      <c r="RM1146" s="4"/>
      <c r="RN1146" s="4"/>
      <c r="RO1146" s="4"/>
      <c r="RP1146" s="6"/>
    </row>
    <row r="1147" spans="1:484" x14ac:dyDescent="0.25">
      <c r="A1147" s="46"/>
      <c r="B1147" s="47"/>
      <c r="C1147" s="127"/>
      <c r="D1147" s="127"/>
      <c r="E1147" s="127"/>
      <c r="F1147" s="127"/>
      <c r="G1147" s="127"/>
      <c r="H1147" s="127"/>
      <c r="I1147" s="127"/>
      <c r="J1147" s="127"/>
      <c r="K1147" s="127"/>
      <c r="L1147" s="127"/>
      <c r="M1147" s="127"/>
      <c r="RG1147" s="6"/>
      <c r="RH1147" s="6"/>
      <c r="RI1147" s="6"/>
      <c r="RJ1147" s="6"/>
      <c r="RK1147" s="6"/>
      <c r="RL1147" s="45"/>
      <c r="RM1147" s="4"/>
      <c r="RN1147" s="4"/>
      <c r="RO1147" s="4"/>
      <c r="RP1147" s="6"/>
    </row>
    <row r="1148" spans="1:484" x14ac:dyDescent="0.25">
      <c r="A1148" s="46"/>
      <c r="B1148" s="47"/>
      <c r="C1148" s="127"/>
      <c r="D1148" s="127"/>
      <c r="E1148" s="127"/>
      <c r="F1148" s="127"/>
      <c r="G1148" s="127"/>
      <c r="H1148" s="127"/>
      <c r="I1148" s="127"/>
      <c r="J1148" s="127"/>
      <c r="K1148" s="127"/>
      <c r="L1148" s="127"/>
      <c r="M1148" s="127"/>
      <c r="RG1148" s="6"/>
      <c r="RH1148" s="6"/>
      <c r="RI1148" s="6"/>
      <c r="RJ1148" s="6"/>
      <c r="RK1148" s="6"/>
      <c r="RL1148" s="45"/>
      <c r="RM1148" s="4"/>
      <c r="RN1148" s="4"/>
      <c r="RO1148" s="4"/>
      <c r="RP1148" s="6"/>
    </row>
    <row r="1149" spans="1:484" x14ac:dyDescent="0.25">
      <c r="A1149" s="46"/>
      <c r="B1149" s="47"/>
      <c r="C1149" s="127"/>
      <c r="D1149" s="127"/>
      <c r="E1149" s="127"/>
      <c r="F1149" s="127"/>
      <c r="G1149" s="127"/>
      <c r="H1149" s="127"/>
      <c r="I1149" s="127"/>
      <c r="J1149" s="127"/>
      <c r="K1149" s="127"/>
      <c r="L1149" s="127"/>
      <c r="M1149" s="127"/>
      <c r="RG1149" s="6"/>
      <c r="RH1149" s="6"/>
      <c r="RI1149" s="6"/>
      <c r="RJ1149" s="6"/>
      <c r="RK1149" s="6"/>
      <c r="RL1149" s="45"/>
      <c r="RM1149" s="4"/>
      <c r="RN1149" s="4"/>
      <c r="RO1149" s="4"/>
      <c r="RP1149" s="6"/>
    </row>
    <row r="1150" spans="1:484" x14ac:dyDescent="0.25">
      <c r="A1150" s="46"/>
      <c r="B1150" s="47"/>
      <c r="C1150" s="127"/>
      <c r="D1150" s="127"/>
      <c r="E1150" s="127"/>
      <c r="F1150" s="127"/>
      <c r="G1150" s="127"/>
      <c r="H1150" s="127"/>
      <c r="I1150" s="127"/>
      <c r="J1150" s="127"/>
      <c r="K1150" s="127"/>
      <c r="L1150" s="127"/>
      <c r="M1150" s="127"/>
      <c r="RG1150" s="6"/>
      <c r="RH1150" s="6"/>
      <c r="RI1150" s="6"/>
      <c r="RJ1150" s="6"/>
      <c r="RK1150" s="6"/>
      <c r="RL1150" s="45"/>
      <c r="RM1150" s="4"/>
      <c r="RN1150" s="4"/>
      <c r="RO1150" s="4"/>
      <c r="RP1150" s="6"/>
    </row>
    <row r="1151" spans="1:484" x14ac:dyDescent="0.25">
      <c r="A1151" s="46"/>
      <c r="B1151" s="47"/>
      <c r="C1151" s="127"/>
      <c r="D1151" s="127"/>
      <c r="E1151" s="127"/>
      <c r="F1151" s="127"/>
      <c r="G1151" s="127"/>
      <c r="H1151" s="127"/>
      <c r="I1151" s="127"/>
      <c r="J1151" s="127"/>
      <c r="K1151" s="127"/>
      <c r="L1151" s="127"/>
      <c r="M1151" s="127"/>
      <c r="RG1151" s="6"/>
      <c r="RH1151" s="6"/>
      <c r="RI1151" s="6"/>
      <c r="RJ1151" s="6"/>
      <c r="RK1151" s="6"/>
      <c r="RL1151" s="45"/>
      <c r="RM1151" s="4"/>
      <c r="RN1151" s="4"/>
      <c r="RO1151" s="4"/>
      <c r="RP1151" s="6"/>
    </row>
    <row r="1152" spans="1:484" x14ac:dyDescent="0.25">
      <c r="A1152" s="46"/>
      <c r="B1152" s="47"/>
      <c r="C1152" s="127"/>
      <c r="D1152" s="127"/>
      <c r="E1152" s="127"/>
      <c r="F1152" s="127"/>
      <c r="G1152" s="127"/>
      <c r="H1152" s="127"/>
      <c r="I1152" s="127"/>
      <c r="J1152" s="127"/>
      <c r="K1152" s="127"/>
      <c r="L1152" s="127"/>
      <c r="M1152" s="127"/>
      <c r="RG1152" s="6"/>
      <c r="RH1152" s="6"/>
      <c r="RI1152" s="6"/>
      <c r="RJ1152" s="6"/>
      <c r="RK1152" s="6"/>
      <c r="RL1152" s="45"/>
      <c r="RM1152" s="4"/>
      <c r="RN1152" s="4"/>
      <c r="RO1152" s="4"/>
      <c r="RP1152" s="6"/>
    </row>
    <row r="1153" spans="1:484" x14ac:dyDescent="0.25">
      <c r="A1153" s="46"/>
      <c r="B1153" s="47"/>
      <c r="C1153" s="127"/>
      <c r="D1153" s="127"/>
      <c r="E1153" s="127"/>
      <c r="F1153" s="127"/>
      <c r="G1153" s="127"/>
      <c r="H1153" s="127"/>
      <c r="I1153" s="127"/>
      <c r="J1153" s="127"/>
      <c r="K1153" s="127"/>
      <c r="L1153" s="127"/>
      <c r="M1153" s="127"/>
      <c r="RG1153" s="6"/>
      <c r="RH1153" s="6"/>
      <c r="RI1153" s="6"/>
      <c r="RJ1153" s="6"/>
      <c r="RK1153" s="6"/>
      <c r="RL1153" s="45"/>
      <c r="RM1153" s="4"/>
      <c r="RN1153" s="4"/>
      <c r="RO1153" s="4"/>
      <c r="RP1153" s="6"/>
    </row>
    <row r="1154" spans="1:484" x14ac:dyDescent="0.25">
      <c r="A1154" s="46"/>
      <c r="B1154" s="47"/>
      <c r="C1154" s="127"/>
      <c r="D1154" s="127"/>
      <c r="E1154" s="127"/>
      <c r="F1154" s="127"/>
      <c r="G1154" s="127"/>
      <c r="H1154" s="127"/>
      <c r="I1154" s="127"/>
      <c r="J1154" s="127"/>
      <c r="K1154" s="127"/>
      <c r="L1154" s="127"/>
      <c r="M1154" s="127"/>
      <c r="RG1154" s="6"/>
      <c r="RH1154" s="6"/>
      <c r="RI1154" s="6"/>
      <c r="RJ1154" s="6"/>
      <c r="RK1154" s="6"/>
      <c r="RL1154" s="45"/>
      <c r="RM1154" s="4"/>
      <c r="RN1154" s="4"/>
      <c r="RO1154" s="4"/>
      <c r="RP1154" s="6"/>
    </row>
    <row r="1155" spans="1:484" x14ac:dyDescent="0.25">
      <c r="A1155" s="46"/>
      <c r="B1155" s="47"/>
      <c r="C1155" s="127"/>
      <c r="D1155" s="127"/>
      <c r="E1155" s="127"/>
      <c r="F1155" s="127"/>
      <c r="G1155" s="127"/>
      <c r="H1155" s="127"/>
      <c r="I1155" s="127"/>
      <c r="J1155" s="127"/>
      <c r="K1155" s="127"/>
      <c r="L1155" s="127"/>
      <c r="M1155" s="127"/>
      <c r="RG1155" s="6"/>
      <c r="RH1155" s="6"/>
      <c r="RI1155" s="6"/>
      <c r="RJ1155" s="6"/>
      <c r="RK1155" s="6"/>
      <c r="RL1155" s="45"/>
      <c r="RM1155" s="4"/>
      <c r="RN1155" s="4"/>
      <c r="RO1155" s="4"/>
      <c r="RP1155" s="6"/>
    </row>
    <row r="1156" spans="1:484" x14ac:dyDescent="0.25">
      <c r="A1156" s="46"/>
      <c r="B1156" s="47"/>
      <c r="C1156" s="127"/>
      <c r="D1156" s="127"/>
      <c r="E1156" s="127"/>
      <c r="F1156" s="127"/>
      <c r="G1156" s="127"/>
      <c r="H1156" s="127"/>
      <c r="I1156" s="127"/>
      <c r="J1156" s="127"/>
      <c r="K1156" s="127"/>
      <c r="L1156" s="127"/>
      <c r="M1156" s="127"/>
      <c r="RG1156" s="6"/>
      <c r="RH1156" s="6"/>
      <c r="RI1156" s="6"/>
      <c r="RJ1156" s="6"/>
      <c r="RK1156" s="6"/>
      <c r="RL1156" s="45"/>
      <c r="RM1156" s="4"/>
      <c r="RN1156" s="4"/>
      <c r="RO1156" s="4"/>
      <c r="RP1156" s="6"/>
    </row>
    <row r="1157" spans="1:484" x14ac:dyDescent="0.25">
      <c r="A1157" s="46"/>
      <c r="B1157" s="47"/>
      <c r="C1157" s="127"/>
      <c r="D1157" s="127"/>
      <c r="E1157" s="127"/>
      <c r="F1157" s="127"/>
      <c r="G1157" s="127"/>
      <c r="H1157" s="127"/>
      <c r="I1157" s="127"/>
      <c r="J1157" s="127"/>
      <c r="K1157" s="127"/>
      <c r="L1157" s="127"/>
      <c r="M1157" s="127"/>
      <c r="RG1157" s="6"/>
      <c r="RH1157" s="6"/>
      <c r="RI1157" s="6"/>
      <c r="RJ1157" s="6"/>
      <c r="RK1157" s="6"/>
      <c r="RL1157" s="45"/>
      <c r="RM1157" s="4"/>
      <c r="RN1157" s="4"/>
      <c r="RO1157" s="4"/>
      <c r="RP1157" s="6"/>
    </row>
    <row r="1158" spans="1:484" x14ac:dyDescent="0.25">
      <c r="A1158" s="46"/>
      <c r="B1158" s="47"/>
      <c r="C1158" s="127"/>
      <c r="D1158" s="127"/>
      <c r="E1158" s="127"/>
      <c r="F1158" s="127"/>
      <c r="G1158" s="127"/>
      <c r="H1158" s="127"/>
      <c r="I1158" s="127"/>
      <c r="J1158" s="127"/>
      <c r="K1158" s="127"/>
      <c r="L1158" s="127"/>
      <c r="M1158" s="127"/>
      <c r="RG1158" s="6"/>
      <c r="RH1158" s="6"/>
      <c r="RI1158" s="6"/>
      <c r="RJ1158" s="6"/>
      <c r="RK1158" s="6"/>
      <c r="RL1158" s="45"/>
      <c r="RM1158" s="4"/>
      <c r="RN1158" s="4"/>
      <c r="RO1158" s="4"/>
      <c r="RP1158" s="6"/>
    </row>
    <row r="1159" spans="1:484" x14ac:dyDescent="0.25">
      <c r="A1159" s="46"/>
      <c r="B1159" s="47"/>
      <c r="C1159" s="127"/>
      <c r="D1159" s="127"/>
      <c r="E1159" s="127"/>
      <c r="F1159" s="127"/>
      <c r="G1159" s="127"/>
      <c r="H1159" s="127"/>
      <c r="I1159" s="127"/>
      <c r="J1159" s="127"/>
      <c r="K1159" s="127"/>
      <c r="L1159" s="127"/>
      <c r="M1159" s="127"/>
      <c r="RG1159" s="6"/>
      <c r="RH1159" s="6"/>
      <c r="RI1159" s="6"/>
      <c r="RJ1159" s="6"/>
      <c r="RK1159" s="6"/>
      <c r="RL1159" s="45"/>
      <c r="RM1159" s="4"/>
      <c r="RN1159" s="4"/>
      <c r="RO1159" s="4"/>
      <c r="RP1159" s="6"/>
    </row>
    <row r="1160" spans="1:484" x14ac:dyDescent="0.25">
      <c r="A1160" s="46"/>
      <c r="B1160" s="47"/>
      <c r="C1160" s="127"/>
      <c r="D1160" s="127"/>
      <c r="E1160" s="127"/>
      <c r="F1160" s="127"/>
      <c r="G1160" s="127"/>
      <c r="H1160" s="127"/>
      <c r="I1160" s="127"/>
      <c r="J1160" s="127"/>
      <c r="K1160" s="127"/>
      <c r="L1160" s="127"/>
      <c r="M1160" s="127"/>
      <c r="RG1160" s="6"/>
      <c r="RH1160" s="6"/>
      <c r="RI1160" s="6"/>
      <c r="RJ1160" s="6"/>
      <c r="RK1160" s="6"/>
      <c r="RL1160" s="45"/>
      <c r="RM1160" s="4"/>
      <c r="RN1160" s="4"/>
      <c r="RO1160" s="4"/>
      <c r="RP1160" s="6"/>
    </row>
    <row r="1161" spans="1:484" x14ac:dyDescent="0.25">
      <c r="A1161" s="46"/>
      <c r="B1161" s="47"/>
      <c r="C1161" s="127"/>
      <c r="D1161" s="127"/>
      <c r="E1161" s="127"/>
      <c r="F1161" s="127"/>
      <c r="G1161" s="127"/>
      <c r="H1161" s="127"/>
      <c r="I1161" s="127"/>
      <c r="J1161" s="127"/>
      <c r="K1161" s="127"/>
      <c r="L1161" s="127"/>
      <c r="M1161" s="127"/>
      <c r="RG1161" s="6"/>
      <c r="RH1161" s="6"/>
      <c r="RI1161" s="6"/>
      <c r="RJ1161" s="6"/>
      <c r="RK1161" s="6"/>
      <c r="RL1161" s="45"/>
      <c r="RM1161" s="4"/>
      <c r="RN1161" s="4"/>
      <c r="RO1161" s="4"/>
      <c r="RP1161" s="6"/>
    </row>
    <row r="1162" spans="1:484" x14ac:dyDescent="0.25">
      <c r="A1162" s="46"/>
      <c r="B1162" s="47"/>
      <c r="C1162" s="127"/>
      <c r="D1162" s="127"/>
      <c r="E1162" s="127"/>
      <c r="F1162" s="127"/>
      <c r="G1162" s="127"/>
      <c r="H1162" s="127"/>
      <c r="I1162" s="127"/>
      <c r="J1162" s="127"/>
      <c r="K1162" s="127"/>
      <c r="L1162" s="127"/>
      <c r="M1162" s="127"/>
      <c r="RG1162" s="6"/>
      <c r="RH1162" s="6"/>
      <c r="RI1162" s="6"/>
      <c r="RJ1162" s="6"/>
      <c r="RK1162" s="6"/>
      <c r="RL1162" s="45"/>
      <c r="RM1162" s="4"/>
      <c r="RN1162" s="4"/>
      <c r="RO1162" s="4"/>
      <c r="RP1162" s="6"/>
    </row>
    <row r="1163" spans="1:484" x14ac:dyDescent="0.25">
      <c r="A1163" s="46"/>
      <c r="B1163" s="47"/>
      <c r="C1163" s="127"/>
      <c r="D1163" s="127"/>
      <c r="E1163" s="127"/>
      <c r="F1163" s="127"/>
      <c r="G1163" s="127"/>
      <c r="H1163" s="127"/>
      <c r="I1163" s="127"/>
      <c r="J1163" s="127"/>
      <c r="K1163" s="127"/>
      <c r="L1163" s="127"/>
      <c r="M1163" s="127"/>
      <c r="RG1163" s="6"/>
      <c r="RH1163" s="6"/>
      <c r="RI1163" s="6"/>
      <c r="RJ1163" s="6"/>
      <c r="RK1163" s="6"/>
      <c r="RL1163" s="45"/>
      <c r="RM1163" s="4"/>
      <c r="RN1163" s="4"/>
      <c r="RO1163" s="4"/>
      <c r="RP1163" s="6"/>
    </row>
    <row r="1164" spans="1:484" x14ac:dyDescent="0.25">
      <c r="A1164" s="46"/>
      <c r="B1164" s="47"/>
      <c r="C1164" s="127"/>
      <c r="D1164" s="127"/>
      <c r="E1164" s="127"/>
      <c r="F1164" s="127"/>
      <c r="G1164" s="127"/>
      <c r="H1164" s="127"/>
      <c r="I1164" s="127"/>
      <c r="J1164" s="127"/>
      <c r="K1164" s="127"/>
      <c r="L1164" s="127"/>
      <c r="M1164" s="127"/>
      <c r="RG1164" s="6"/>
      <c r="RH1164" s="6"/>
      <c r="RI1164" s="6"/>
      <c r="RJ1164" s="6"/>
      <c r="RK1164" s="6"/>
      <c r="RL1164" s="45"/>
      <c r="RM1164" s="4"/>
      <c r="RN1164" s="4"/>
      <c r="RO1164" s="4"/>
      <c r="RP1164" s="6"/>
    </row>
    <row r="1165" spans="1:484" x14ac:dyDescent="0.25">
      <c r="A1165" s="46"/>
      <c r="B1165" s="47"/>
      <c r="C1165" s="127"/>
      <c r="D1165" s="127"/>
      <c r="E1165" s="127"/>
      <c r="F1165" s="127"/>
      <c r="G1165" s="127"/>
      <c r="H1165" s="127"/>
      <c r="I1165" s="127"/>
      <c r="J1165" s="127"/>
      <c r="K1165" s="127"/>
      <c r="L1165" s="127"/>
      <c r="M1165" s="127"/>
      <c r="RG1165" s="6"/>
      <c r="RH1165" s="6"/>
      <c r="RI1165" s="6"/>
      <c r="RJ1165" s="6"/>
      <c r="RK1165" s="6"/>
      <c r="RL1165" s="45"/>
      <c r="RM1165" s="4"/>
      <c r="RN1165" s="4"/>
      <c r="RO1165" s="4"/>
      <c r="RP1165" s="6"/>
    </row>
    <row r="1166" spans="1:484" x14ac:dyDescent="0.25">
      <c r="A1166" s="46"/>
      <c r="B1166" s="47"/>
      <c r="C1166" s="127"/>
      <c r="D1166" s="127"/>
      <c r="E1166" s="127"/>
      <c r="F1166" s="127"/>
      <c r="G1166" s="127"/>
      <c r="H1166" s="127"/>
      <c r="I1166" s="127"/>
      <c r="J1166" s="127"/>
      <c r="K1166" s="127"/>
      <c r="L1166" s="127"/>
      <c r="M1166" s="127"/>
      <c r="RG1166" s="6"/>
      <c r="RH1166" s="6"/>
      <c r="RI1166" s="6"/>
      <c r="RJ1166" s="6"/>
      <c r="RK1166" s="6"/>
      <c r="RL1166" s="45"/>
      <c r="RM1166" s="4"/>
      <c r="RN1166" s="4"/>
      <c r="RO1166" s="4"/>
      <c r="RP1166" s="6"/>
    </row>
    <row r="1167" spans="1:484" x14ac:dyDescent="0.25">
      <c r="A1167" s="46"/>
      <c r="B1167" s="47"/>
      <c r="C1167" s="127"/>
      <c r="D1167" s="127"/>
      <c r="E1167" s="127"/>
      <c r="F1167" s="127"/>
      <c r="G1167" s="127"/>
      <c r="H1167" s="127"/>
      <c r="I1167" s="127"/>
      <c r="J1167" s="127"/>
      <c r="K1167" s="127"/>
      <c r="L1167" s="127"/>
      <c r="M1167" s="127"/>
      <c r="RG1167" s="6"/>
      <c r="RH1167" s="6"/>
      <c r="RI1167" s="6"/>
      <c r="RJ1167" s="6"/>
      <c r="RK1167" s="6"/>
      <c r="RL1167" s="45"/>
      <c r="RM1167" s="4"/>
      <c r="RN1167" s="4"/>
      <c r="RO1167" s="4"/>
      <c r="RP1167" s="6"/>
    </row>
    <row r="1168" spans="1:484" x14ac:dyDescent="0.25">
      <c r="A1168" s="46"/>
      <c r="B1168" s="47"/>
      <c r="C1168" s="127"/>
      <c r="D1168" s="127"/>
      <c r="E1168" s="127"/>
      <c r="F1168" s="127"/>
      <c r="G1168" s="127"/>
      <c r="H1168" s="127"/>
      <c r="I1168" s="127"/>
      <c r="J1168" s="127"/>
      <c r="K1168" s="127"/>
      <c r="L1168" s="127"/>
      <c r="M1168" s="127"/>
      <c r="RG1168" s="6"/>
      <c r="RH1168" s="6"/>
      <c r="RI1168" s="6"/>
      <c r="RJ1168" s="6"/>
      <c r="RK1168" s="6"/>
      <c r="RL1168" s="45"/>
      <c r="RM1168" s="4"/>
      <c r="RN1168" s="4"/>
      <c r="RO1168" s="4"/>
      <c r="RP1168" s="6"/>
    </row>
    <row r="1169" spans="1:484" x14ac:dyDescent="0.25">
      <c r="A1169" s="46"/>
      <c r="B1169" s="47"/>
      <c r="C1169" s="127"/>
      <c r="D1169" s="127"/>
      <c r="E1169" s="127"/>
      <c r="F1169" s="127"/>
      <c r="G1169" s="127"/>
      <c r="H1169" s="127"/>
      <c r="I1169" s="127"/>
      <c r="J1169" s="127"/>
      <c r="K1169" s="127"/>
      <c r="L1169" s="127"/>
      <c r="M1169" s="127"/>
      <c r="RG1169" s="6"/>
      <c r="RH1169" s="6"/>
      <c r="RI1169" s="6"/>
      <c r="RJ1169" s="6"/>
      <c r="RK1169" s="6"/>
      <c r="RL1169" s="45"/>
      <c r="RM1169" s="4"/>
      <c r="RN1169" s="4"/>
      <c r="RO1169" s="4"/>
      <c r="RP1169" s="6"/>
    </row>
    <row r="1170" spans="1:484" x14ac:dyDescent="0.25">
      <c r="A1170" s="46"/>
      <c r="B1170" s="47"/>
      <c r="C1170" s="127"/>
      <c r="D1170" s="127"/>
      <c r="E1170" s="127"/>
      <c r="F1170" s="127"/>
      <c r="G1170" s="127"/>
      <c r="H1170" s="127"/>
      <c r="I1170" s="127"/>
      <c r="J1170" s="127"/>
      <c r="K1170" s="127"/>
      <c r="L1170" s="127"/>
      <c r="M1170" s="127"/>
      <c r="RG1170" s="6"/>
      <c r="RH1170" s="6"/>
      <c r="RI1170" s="6"/>
      <c r="RJ1170" s="6"/>
      <c r="RK1170" s="6"/>
      <c r="RL1170" s="45"/>
      <c r="RM1170" s="4"/>
      <c r="RN1170" s="4"/>
      <c r="RO1170" s="4"/>
      <c r="RP1170" s="6"/>
    </row>
    <row r="1171" spans="1:484" x14ac:dyDescent="0.25">
      <c r="A1171" s="46"/>
      <c r="B1171" s="47"/>
      <c r="C1171" s="127"/>
      <c r="D1171" s="127"/>
      <c r="E1171" s="127"/>
      <c r="F1171" s="127"/>
      <c r="G1171" s="127"/>
      <c r="H1171" s="127"/>
      <c r="I1171" s="127"/>
      <c r="J1171" s="127"/>
      <c r="K1171" s="127"/>
      <c r="L1171" s="127"/>
      <c r="M1171" s="127"/>
      <c r="RG1171" s="6"/>
      <c r="RH1171" s="6"/>
      <c r="RI1171" s="6"/>
      <c r="RJ1171" s="6"/>
      <c r="RK1171" s="6"/>
      <c r="RL1171" s="45"/>
      <c r="RM1171" s="4"/>
      <c r="RN1171" s="4"/>
      <c r="RO1171" s="4"/>
      <c r="RP1171" s="6"/>
    </row>
    <row r="1172" spans="1:484" x14ac:dyDescent="0.25">
      <c r="A1172" s="46"/>
      <c r="B1172" s="47"/>
      <c r="C1172" s="127"/>
      <c r="D1172" s="127"/>
      <c r="E1172" s="127"/>
      <c r="F1172" s="127"/>
      <c r="G1172" s="127"/>
      <c r="H1172" s="127"/>
      <c r="I1172" s="127"/>
      <c r="J1172" s="127"/>
      <c r="K1172" s="127"/>
      <c r="L1172" s="127"/>
      <c r="M1172" s="127"/>
      <c r="RG1172" s="6"/>
      <c r="RH1172" s="6"/>
      <c r="RI1172" s="6"/>
      <c r="RJ1172" s="6"/>
      <c r="RK1172" s="6"/>
      <c r="RL1172" s="45"/>
      <c r="RM1172" s="4"/>
      <c r="RN1172" s="4"/>
      <c r="RO1172" s="4"/>
      <c r="RP1172" s="6"/>
    </row>
    <row r="1173" spans="1:484" x14ac:dyDescent="0.25">
      <c r="A1173" s="46"/>
      <c r="B1173" s="47"/>
      <c r="C1173" s="127"/>
      <c r="D1173" s="127"/>
      <c r="E1173" s="127"/>
      <c r="F1173" s="127"/>
      <c r="G1173" s="127"/>
      <c r="H1173" s="127"/>
      <c r="I1173" s="127"/>
      <c r="J1173" s="127"/>
      <c r="K1173" s="127"/>
      <c r="L1173" s="127"/>
      <c r="M1173" s="127"/>
      <c r="RG1173" s="6"/>
      <c r="RH1173" s="6"/>
      <c r="RI1173" s="6"/>
      <c r="RJ1173" s="6"/>
      <c r="RK1173" s="6"/>
      <c r="RL1173" s="45"/>
      <c r="RM1173" s="4"/>
      <c r="RN1173" s="4"/>
      <c r="RO1173" s="4"/>
      <c r="RP1173" s="6"/>
    </row>
    <row r="1174" spans="1:484" x14ac:dyDescent="0.25">
      <c r="A1174" s="46"/>
      <c r="B1174" s="47"/>
      <c r="C1174" s="127"/>
      <c r="D1174" s="127"/>
      <c r="E1174" s="127"/>
      <c r="F1174" s="127"/>
      <c r="G1174" s="127"/>
      <c r="H1174" s="127"/>
      <c r="I1174" s="127"/>
      <c r="J1174" s="127"/>
      <c r="K1174" s="127"/>
      <c r="L1174" s="127"/>
      <c r="M1174" s="127"/>
      <c r="RG1174" s="6"/>
      <c r="RH1174" s="6"/>
      <c r="RI1174" s="6"/>
      <c r="RJ1174" s="6"/>
      <c r="RK1174" s="6"/>
      <c r="RL1174" s="45"/>
      <c r="RM1174" s="4"/>
      <c r="RN1174" s="4"/>
      <c r="RO1174" s="4"/>
      <c r="RP1174" s="6"/>
    </row>
    <row r="1175" spans="1:484" x14ac:dyDescent="0.25">
      <c r="A1175" s="46"/>
      <c r="B1175" s="47"/>
      <c r="C1175" s="127"/>
      <c r="D1175" s="127"/>
      <c r="E1175" s="127"/>
      <c r="F1175" s="127"/>
      <c r="G1175" s="127"/>
      <c r="H1175" s="127"/>
      <c r="I1175" s="127"/>
      <c r="J1175" s="127"/>
      <c r="K1175" s="127"/>
      <c r="L1175" s="127"/>
      <c r="M1175" s="127"/>
      <c r="RG1175" s="6"/>
      <c r="RH1175" s="6"/>
      <c r="RI1175" s="6"/>
      <c r="RJ1175" s="6"/>
      <c r="RK1175" s="6"/>
      <c r="RL1175" s="45"/>
      <c r="RM1175" s="4"/>
      <c r="RN1175" s="4"/>
      <c r="RO1175" s="4"/>
      <c r="RP1175" s="6"/>
    </row>
    <row r="1176" spans="1:484" x14ac:dyDescent="0.25">
      <c r="A1176" s="46"/>
      <c r="B1176" s="47"/>
      <c r="C1176" s="127"/>
      <c r="D1176" s="127"/>
      <c r="E1176" s="127"/>
      <c r="F1176" s="127"/>
      <c r="G1176" s="127"/>
      <c r="H1176" s="127"/>
      <c r="I1176" s="127"/>
      <c r="J1176" s="127"/>
      <c r="K1176" s="127"/>
      <c r="L1176" s="127"/>
      <c r="M1176" s="127"/>
      <c r="RG1176" s="6"/>
      <c r="RH1176" s="6"/>
      <c r="RI1176" s="6"/>
      <c r="RJ1176" s="6"/>
      <c r="RK1176" s="6"/>
      <c r="RL1176" s="45"/>
      <c r="RM1176" s="4"/>
      <c r="RN1176" s="4"/>
      <c r="RO1176" s="4"/>
      <c r="RP1176" s="6"/>
    </row>
    <row r="1177" spans="1:484" x14ac:dyDescent="0.25">
      <c r="A1177" s="46"/>
      <c r="B1177" s="47"/>
      <c r="C1177" s="127"/>
      <c r="D1177" s="127"/>
      <c r="E1177" s="127"/>
      <c r="F1177" s="127"/>
      <c r="G1177" s="127"/>
      <c r="H1177" s="127"/>
      <c r="I1177" s="127"/>
      <c r="J1177" s="127"/>
      <c r="K1177" s="127"/>
      <c r="L1177" s="127"/>
      <c r="M1177" s="127"/>
      <c r="RG1177" s="6"/>
      <c r="RH1177" s="6"/>
      <c r="RI1177" s="6"/>
      <c r="RJ1177" s="6"/>
      <c r="RK1177" s="6"/>
      <c r="RL1177" s="45"/>
      <c r="RM1177" s="4"/>
      <c r="RN1177" s="4"/>
      <c r="RO1177" s="4"/>
      <c r="RP1177" s="6"/>
    </row>
    <row r="1178" spans="1:484" x14ac:dyDescent="0.25">
      <c r="A1178" s="46"/>
      <c r="B1178" s="47"/>
      <c r="C1178" s="127"/>
      <c r="D1178" s="127"/>
      <c r="E1178" s="127"/>
      <c r="F1178" s="127"/>
      <c r="G1178" s="127"/>
      <c r="H1178" s="127"/>
      <c r="I1178" s="127"/>
      <c r="J1178" s="127"/>
      <c r="K1178" s="127"/>
      <c r="L1178" s="127"/>
      <c r="M1178" s="127"/>
      <c r="RG1178" s="6"/>
      <c r="RH1178" s="6"/>
      <c r="RI1178" s="6"/>
      <c r="RJ1178" s="6"/>
      <c r="RK1178" s="6"/>
      <c r="RL1178" s="45"/>
      <c r="RM1178" s="4"/>
      <c r="RN1178" s="4"/>
      <c r="RO1178" s="4"/>
      <c r="RP1178" s="6"/>
    </row>
    <row r="1179" spans="1:484" x14ac:dyDescent="0.25">
      <c r="A1179" s="46"/>
      <c r="B1179" s="47"/>
      <c r="C1179" s="127"/>
      <c r="D1179" s="127"/>
      <c r="E1179" s="127"/>
      <c r="F1179" s="127"/>
      <c r="G1179" s="127"/>
      <c r="H1179" s="127"/>
      <c r="I1179" s="127"/>
      <c r="J1179" s="127"/>
      <c r="K1179" s="127"/>
      <c r="L1179" s="127"/>
      <c r="M1179" s="127"/>
      <c r="RG1179" s="6"/>
      <c r="RH1179" s="6"/>
      <c r="RI1179" s="6"/>
      <c r="RJ1179" s="6"/>
      <c r="RK1179" s="6"/>
      <c r="RL1179" s="45"/>
      <c r="RM1179" s="4"/>
      <c r="RN1179" s="4"/>
      <c r="RO1179" s="4"/>
      <c r="RP1179" s="6"/>
    </row>
    <row r="1180" spans="1:484" x14ac:dyDescent="0.25">
      <c r="A1180" s="46"/>
      <c r="B1180" s="47"/>
      <c r="C1180" s="127"/>
      <c r="D1180" s="127"/>
      <c r="E1180" s="127"/>
      <c r="F1180" s="127"/>
      <c r="G1180" s="127"/>
      <c r="H1180" s="127"/>
      <c r="I1180" s="127"/>
      <c r="J1180" s="127"/>
      <c r="K1180" s="127"/>
      <c r="L1180" s="127"/>
      <c r="M1180" s="127"/>
      <c r="RG1180" s="6"/>
      <c r="RH1180" s="6"/>
      <c r="RI1180" s="6"/>
      <c r="RJ1180" s="6"/>
      <c r="RK1180" s="6"/>
      <c r="RL1180" s="45"/>
      <c r="RM1180" s="4"/>
      <c r="RN1180" s="4"/>
      <c r="RO1180" s="4"/>
      <c r="RP1180" s="6"/>
    </row>
    <row r="1181" spans="1:484" x14ac:dyDescent="0.25">
      <c r="A1181" s="46"/>
      <c r="B1181" s="47"/>
      <c r="C1181" s="127"/>
      <c r="D1181" s="127"/>
      <c r="E1181" s="127"/>
      <c r="F1181" s="127"/>
      <c r="G1181" s="127"/>
      <c r="H1181" s="127"/>
      <c r="I1181" s="127"/>
      <c r="J1181" s="127"/>
      <c r="K1181" s="127"/>
      <c r="L1181" s="127"/>
      <c r="M1181" s="127"/>
      <c r="RG1181" s="6"/>
      <c r="RH1181" s="6"/>
      <c r="RI1181" s="6"/>
      <c r="RJ1181" s="6"/>
      <c r="RK1181" s="6"/>
      <c r="RL1181" s="45"/>
      <c r="RM1181" s="4"/>
      <c r="RN1181" s="4"/>
      <c r="RO1181" s="4"/>
      <c r="RP1181" s="6"/>
    </row>
    <row r="1182" spans="1:484" x14ac:dyDescent="0.25">
      <c r="A1182" s="46"/>
      <c r="B1182" s="47"/>
      <c r="C1182" s="127"/>
      <c r="D1182" s="127"/>
      <c r="E1182" s="127"/>
      <c r="F1182" s="127"/>
      <c r="G1182" s="127"/>
      <c r="H1182" s="127"/>
      <c r="I1182" s="127"/>
      <c r="J1182" s="127"/>
      <c r="K1182" s="127"/>
      <c r="L1182" s="127"/>
      <c r="M1182" s="127"/>
      <c r="RG1182" s="6"/>
      <c r="RH1182" s="6"/>
      <c r="RI1182" s="6"/>
      <c r="RJ1182" s="6"/>
      <c r="RK1182" s="6"/>
      <c r="RL1182" s="45"/>
      <c r="RM1182" s="4"/>
      <c r="RN1182" s="4"/>
      <c r="RO1182" s="4"/>
      <c r="RP1182" s="6"/>
    </row>
    <row r="1183" spans="1:484" x14ac:dyDescent="0.25">
      <c r="A1183" s="46"/>
      <c r="B1183" s="47"/>
      <c r="C1183" s="127"/>
      <c r="D1183" s="127"/>
      <c r="E1183" s="127"/>
      <c r="F1183" s="127"/>
      <c r="G1183" s="127"/>
      <c r="H1183" s="127"/>
      <c r="I1183" s="127"/>
      <c r="J1183" s="127"/>
      <c r="K1183" s="127"/>
      <c r="L1183" s="127"/>
      <c r="M1183" s="127"/>
      <c r="RG1183" s="6"/>
      <c r="RH1183" s="6"/>
      <c r="RI1183" s="6"/>
      <c r="RJ1183" s="6"/>
      <c r="RK1183" s="6"/>
      <c r="RL1183" s="45"/>
      <c r="RM1183" s="4"/>
      <c r="RN1183" s="4"/>
      <c r="RO1183" s="4"/>
      <c r="RP1183" s="6"/>
    </row>
    <row r="1184" spans="1:484" x14ac:dyDescent="0.25">
      <c r="A1184" s="46"/>
      <c r="B1184" s="47"/>
      <c r="C1184" s="127"/>
      <c r="D1184" s="127"/>
      <c r="E1184" s="127"/>
      <c r="F1184" s="127"/>
      <c r="G1184" s="127"/>
      <c r="H1184" s="127"/>
      <c r="I1184" s="127"/>
      <c r="J1184" s="127"/>
      <c r="K1184" s="127"/>
      <c r="L1184" s="127"/>
      <c r="M1184" s="127"/>
      <c r="RG1184" s="6"/>
      <c r="RH1184" s="6"/>
      <c r="RI1184" s="6"/>
      <c r="RJ1184" s="6"/>
      <c r="RK1184" s="6"/>
      <c r="RL1184" s="45"/>
      <c r="RM1184" s="4"/>
      <c r="RN1184" s="4"/>
      <c r="RO1184" s="4"/>
      <c r="RP1184" s="6"/>
    </row>
    <row r="1185" spans="1:484" x14ac:dyDescent="0.25">
      <c r="A1185" s="46"/>
      <c r="B1185" s="47"/>
      <c r="C1185" s="127"/>
      <c r="D1185" s="127"/>
      <c r="E1185" s="127"/>
      <c r="F1185" s="127"/>
      <c r="G1185" s="127"/>
      <c r="H1185" s="127"/>
      <c r="I1185" s="127"/>
      <c r="J1185" s="127"/>
      <c r="K1185" s="127"/>
      <c r="L1185" s="127"/>
      <c r="M1185" s="127"/>
      <c r="RG1185" s="6"/>
      <c r="RH1185" s="6"/>
      <c r="RI1185" s="6"/>
      <c r="RJ1185" s="6"/>
      <c r="RK1185" s="6"/>
      <c r="RL1185" s="45"/>
      <c r="RM1185" s="4"/>
      <c r="RN1185" s="4"/>
      <c r="RO1185" s="4"/>
      <c r="RP1185" s="6"/>
    </row>
    <row r="1186" spans="1:484" x14ac:dyDescent="0.25">
      <c r="A1186" s="46"/>
      <c r="B1186" s="47"/>
      <c r="C1186" s="127"/>
      <c r="D1186" s="127"/>
      <c r="E1186" s="127"/>
      <c r="F1186" s="127"/>
      <c r="G1186" s="127"/>
      <c r="H1186" s="127"/>
      <c r="I1186" s="127"/>
      <c r="J1186" s="127"/>
      <c r="K1186" s="127"/>
      <c r="L1186" s="127"/>
      <c r="M1186" s="127"/>
      <c r="RG1186" s="6"/>
      <c r="RH1186" s="6"/>
      <c r="RI1186" s="6"/>
      <c r="RJ1186" s="6"/>
      <c r="RK1186" s="6"/>
      <c r="RL1186" s="45"/>
      <c r="RM1186" s="4"/>
      <c r="RN1186" s="4"/>
      <c r="RO1186" s="4"/>
      <c r="RP1186" s="6"/>
    </row>
    <row r="1187" spans="1:484" x14ac:dyDescent="0.25">
      <c r="A1187" s="46"/>
      <c r="B1187" s="47"/>
      <c r="C1187" s="127"/>
      <c r="D1187" s="127"/>
      <c r="E1187" s="127"/>
      <c r="F1187" s="127"/>
      <c r="G1187" s="127"/>
      <c r="H1187" s="127"/>
      <c r="I1187" s="127"/>
      <c r="J1187" s="127"/>
      <c r="K1187" s="127"/>
      <c r="L1187" s="127"/>
      <c r="M1187" s="127"/>
      <c r="RG1187" s="6"/>
      <c r="RH1187" s="6"/>
      <c r="RI1187" s="6"/>
      <c r="RJ1187" s="6"/>
      <c r="RK1187" s="6"/>
      <c r="RL1187" s="45"/>
      <c r="RM1187" s="4"/>
      <c r="RN1187" s="4"/>
      <c r="RO1187" s="4"/>
      <c r="RP1187" s="6"/>
    </row>
    <row r="1188" spans="1:484" x14ac:dyDescent="0.25">
      <c r="A1188" s="46"/>
      <c r="B1188" s="47"/>
      <c r="C1188" s="127"/>
      <c r="D1188" s="127"/>
      <c r="E1188" s="127"/>
      <c r="F1188" s="127"/>
      <c r="G1188" s="127"/>
      <c r="H1188" s="127"/>
      <c r="I1188" s="127"/>
      <c r="J1188" s="127"/>
      <c r="K1188" s="127"/>
      <c r="L1188" s="127"/>
      <c r="M1188" s="127"/>
      <c r="RG1188" s="6"/>
      <c r="RH1188" s="6"/>
      <c r="RI1188" s="6"/>
      <c r="RJ1188" s="6"/>
      <c r="RK1188" s="6"/>
      <c r="RL1188" s="45"/>
      <c r="RM1188" s="4"/>
      <c r="RN1188" s="4"/>
      <c r="RO1188" s="4"/>
      <c r="RP1188" s="6"/>
    </row>
    <row r="1189" spans="1:484" x14ac:dyDescent="0.25">
      <c r="A1189" s="46"/>
      <c r="B1189" s="47"/>
      <c r="C1189" s="127"/>
      <c r="D1189" s="127"/>
      <c r="E1189" s="127"/>
      <c r="F1189" s="127"/>
      <c r="G1189" s="127"/>
      <c r="H1189" s="127"/>
      <c r="I1189" s="127"/>
      <c r="J1189" s="127"/>
      <c r="K1189" s="127"/>
      <c r="L1189" s="127"/>
      <c r="M1189" s="127"/>
      <c r="RG1189" s="6"/>
      <c r="RH1189" s="6"/>
      <c r="RI1189" s="6"/>
      <c r="RJ1189" s="6"/>
      <c r="RK1189" s="6"/>
      <c r="RL1189" s="45"/>
      <c r="RM1189" s="4"/>
      <c r="RN1189" s="4"/>
      <c r="RO1189" s="4"/>
      <c r="RP1189" s="6"/>
    </row>
    <row r="1190" spans="1:484" x14ac:dyDescent="0.25">
      <c r="A1190" s="46"/>
      <c r="B1190" s="47"/>
      <c r="C1190" s="127"/>
      <c r="D1190" s="127"/>
      <c r="E1190" s="127"/>
      <c r="F1190" s="127"/>
      <c r="G1190" s="127"/>
      <c r="H1190" s="127"/>
      <c r="I1190" s="127"/>
      <c r="J1190" s="127"/>
      <c r="K1190" s="127"/>
      <c r="L1190" s="127"/>
      <c r="M1190" s="127"/>
      <c r="RG1190" s="6"/>
      <c r="RH1190" s="6"/>
      <c r="RI1190" s="6"/>
      <c r="RJ1190" s="6"/>
      <c r="RK1190" s="6"/>
      <c r="RL1190" s="45"/>
      <c r="RM1190" s="4"/>
      <c r="RN1190" s="4"/>
      <c r="RO1190" s="4"/>
      <c r="RP1190" s="6"/>
    </row>
    <row r="1191" spans="1:484" x14ac:dyDescent="0.25">
      <c r="A1191" s="46"/>
      <c r="B1191" s="47"/>
      <c r="C1191" s="127"/>
      <c r="D1191" s="127"/>
      <c r="E1191" s="127"/>
      <c r="F1191" s="127"/>
      <c r="G1191" s="127"/>
      <c r="H1191" s="127"/>
      <c r="I1191" s="127"/>
      <c r="J1191" s="127"/>
      <c r="K1191" s="127"/>
      <c r="L1191" s="127"/>
      <c r="M1191" s="127"/>
      <c r="RG1191" s="6"/>
      <c r="RH1191" s="6"/>
      <c r="RI1191" s="6"/>
      <c r="RJ1191" s="6"/>
      <c r="RK1191" s="6"/>
      <c r="RL1191" s="45"/>
      <c r="RM1191" s="4"/>
      <c r="RN1191" s="4"/>
      <c r="RO1191" s="4"/>
      <c r="RP1191" s="6"/>
    </row>
    <row r="1192" spans="1:484" x14ac:dyDescent="0.25">
      <c r="A1192" s="46"/>
      <c r="B1192" s="47"/>
      <c r="C1192" s="127"/>
      <c r="D1192" s="127"/>
      <c r="E1192" s="127"/>
      <c r="F1192" s="127"/>
      <c r="G1192" s="127"/>
      <c r="H1192" s="127"/>
      <c r="I1192" s="127"/>
      <c r="J1192" s="127"/>
      <c r="K1192" s="127"/>
      <c r="L1192" s="127"/>
      <c r="M1192" s="127"/>
      <c r="RG1192" s="6"/>
      <c r="RH1192" s="6"/>
      <c r="RI1192" s="6"/>
      <c r="RJ1192" s="6"/>
      <c r="RK1192" s="6"/>
      <c r="RL1192" s="45"/>
      <c r="RM1192" s="4"/>
      <c r="RN1192" s="4"/>
      <c r="RO1192" s="4"/>
      <c r="RP1192" s="6"/>
    </row>
    <row r="1193" spans="1:484" x14ac:dyDescent="0.25">
      <c r="A1193" s="46"/>
      <c r="B1193" s="47"/>
      <c r="C1193" s="127"/>
      <c r="D1193" s="127"/>
      <c r="E1193" s="127"/>
      <c r="F1193" s="127"/>
      <c r="G1193" s="127"/>
      <c r="H1193" s="127"/>
      <c r="I1193" s="127"/>
      <c r="J1193" s="127"/>
      <c r="K1193" s="127"/>
      <c r="L1193" s="127"/>
      <c r="M1193" s="127"/>
      <c r="RG1193" s="6"/>
      <c r="RH1193" s="6"/>
      <c r="RI1193" s="6"/>
      <c r="RJ1193" s="6"/>
      <c r="RK1193" s="6"/>
      <c r="RL1193" s="45"/>
      <c r="RM1193" s="4"/>
      <c r="RN1193" s="4"/>
      <c r="RO1193" s="4"/>
      <c r="RP1193" s="6"/>
    </row>
    <row r="1194" spans="1:484" x14ac:dyDescent="0.25">
      <c r="A1194" s="46"/>
      <c r="B1194" s="47"/>
      <c r="C1194" s="127"/>
      <c r="D1194" s="127"/>
      <c r="E1194" s="127"/>
      <c r="F1194" s="127"/>
      <c r="G1194" s="127"/>
      <c r="H1194" s="127"/>
      <c r="I1194" s="127"/>
      <c r="J1194" s="127"/>
      <c r="K1194" s="127"/>
      <c r="L1194" s="127"/>
      <c r="M1194" s="127"/>
      <c r="RG1194" s="6"/>
      <c r="RH1194" s="6"/>
      <c r="RI1194" s="6"/>
      <c r="RJ1194" s="6"/>
      <c r="RK1194" s="6"/>
      <c r="RL1194" s="45"/>
      <c r="RM1194" s="4"/>
      <c r="RN1194" s="4"/>
      <c r="RO1194" s="4"/>
      <c r="RP1194" s="6"/>
    </row>
    <row r="1195" spans="1:484" x14ac:dyDescent="0.25">
      <c r="A1195" s="46"/>
      <c r="B1195" s="47"/>
      <c r="C1195" s="127"/>
      <c r="D1195" s="127"/>
      <c r="E1195" s="127"/>
      <c r="F1195" s="127"/>
      <c r="G1195" s="127"/>
      <c r="H1195" s="127"/>
      <c r="I1195" s="127"/>
      <c r="J1195" s="127"/>
      <c r="K1195" s="127"/>
      <c r="L1195" s="127"/>
      <c r="M1195" s="127"/>
      <c r="RG1195" s="6"/>
      <c r="RH1195" s="6"/>
      <c r="RI1195" s="6"/>
      <c r="RJ1195" s="6"/>
      <c r="RK1195" s="6"/>
      <c r="RL1195" s="45"/>
      <c r="RM1195" s="4"/>
      <c r="RN1195" s="4"/>
      <c r="RO1195" s="4"/>
      <c r="RP1195" s="6"/>
    </row>
    <row r="1196" spans="1:484" x14ac:dyDescent="0.25">
      <c r="A1196" s="46"/>
      <c r="B1196" s="47"/>
      <c r="C1196" s="127"/>
      <c r="D1196" s="127"/>
      <c r="E1196" s="127"/>
      <c r="F1196" s="127"/>
      <c r="G1196" s="127"/>
      <c r="H1196" s="127"/>
      <c r="I1196" s="127"/>
      <c r="J1196" s="127"/>
      <c r="K1196" s="127"/>
      <c r="L1196" s="127"/>
      <c r="M1196" s="127"/>
      <c r="RG1196" s="6"/>
      <c r="RH1196" s="6"/>
      <c r="RI1196" s="6"/>
      <c r="RJ1196" s="6"/>
      <c r="RK1196" s="6"/>
      <c r="RL1196" s="45"/>
      <c r="RM1196" s="4"/>
      <c r="RN1196" s="4"/>
      <c r="RO1196" s="4"/>
      <c r="RP1196" s="6"/>
    </row>
    <row r="1197" spans="1:484" x14ac:dyDescent="0.25">
      <c r="A1197" s="46"/>
      <c r="B1197" s="47"/>
      <c r="C1197" s="127"/>
      <c r="D1197" s="127"/>
      <c r="E1197" s="127"/>
      <c r="F1197" s="127"/>
      <c r="G1197" s="127"/>
      <c r="H1197" s="127"/>
      <c r="I1197" s="127"/>
      <c r="J1197" s="127"/>
      <c r="K1197" s="127"/>
      <c r="L1197" s="127"/>
      <c r="M1197" s="127"/>
      <c r="RG1197" s="6"/>
      <c r="RH1197" s="6"/>
      <c r="RI1197" s="6"/>
      <c r="RJ1197" s="6"/>
      <c r="RK1197" s="6"/>
      <c r="RL1197" s="45"/>
      <c r="RM1197" s="4"/>
      <c r="RN1197" s="4"/>
      <c r="RO1197" s="4"/>
      <c r="RP1197" s="6"/>
    </row>
    <row r="1198" spans="1:484" x14ac:dyDescent="0.25">
      <c r="A1198" s="46"/>
      <c r="B1198" s="47"/>
      <c r="C1198" s="127"/>
      <c r="D1198" s="127"/>
      <c r="E1198" s="127"/>
      <c r="F1198" s="127"/>
      <c r="G1198" s="127"/>
      <c r="H1198" s="127"/>
      <c r="I1198" s="127"/>
      <c r="J1198" s="127"/>
      <c r="K1198" s="127"/>
      <c r="L1198" s="127"/>
      <c r="M1198" s="127"/>
      <c r="RG1198" s="6"/>
      <c r="RH1198" s="6"/>
      <c r="RI1198" s="6"/>
      <c r="RJ1198" s="6"/>
      <c r="RK1198" s="6"/>
      <c r="RL1198" s="45"/>
      <c r="RM1198" s="4"/>
      <c r="RN1198" s="4"/>
      <c r="RO1198" s="4"/>
      <c r="RP1198" s="6"/>
    </row>
    <row r="1199" spans="1:484" x14ac:dyDescent="0.25">
      <c r="A1199" s="46"/>
      <c r="B1199" s="47"/>
      <c r="C1199" s="127"/>
      <c r="D1199" s="127"/>
      <c r="E1199" s="127"/>
      <c r="F1199" s="127"/>
      <c r="G1199" s="127"/>
      <c r="H1199" s="127"/>
      <c r="I1199" s="127"/>
      <c r="J1199" s="127"/>
      <c r="K1199" s="127"/>
      <c r="L1199" s="127"/>
      <c r="M1199" s="127"/>
      <c r="RG1199" s="6"/>
      <c r="RH1199" s="6"/>
      <c r="RI1199" s="6"/>
      <c r="RJ1199" s="6"/>
      <c r="RK1199" s="6"/>
      <c r="RL1199" s="45"/>
      <c r="RM1199" s="4"/>
      <c r="RN1199" s="4"/>
      <c r="RO1199" s="4"/>
      <c r="RP1199" s="6"/>
    </row>
    <row r="1200" spans="1:484" x14ac:dyDescent="0.25">
      <c r="A1200" s="46"/>
      <c r="B1200" s="47"/>
      <c r="C1200" s="127"/>
      <c r="D1200" s="127"/>
      <c r="E1200" s="127"/>
      <c r="F1200" s="127"/>
      <c r="G1200" s="127"/>
      <c r="H1200" s="127"/>
      <c r="I1200" s="127"/>
      <c r="J1200" s="127"/>
      <c r="K1200" s="127"/>
      <c r="L1200" s="127"/>
      <c r="M1200" s="127"/>
      <c r="RG1200" s="6"/>
      <c r="RH1200" s="6"/>
      <c r="RI1200" s="6"/>
      <c r="RJ1200" s="6"/>
      <c r="RK1200" s="6"/>
      <c r="RL1200" s="45"/>
      <c r="RM1200" s="4"/>
      <c r="RN1200" s="4"/>
      <c r="RO1200" s="4"/>
      <c r="RP1200" s="6"/>
    </row>
    <row r="1201" spans="1:484" x14ac:dyDescent="0.25">
      <c r="A1201" s="46"/>
      <c r="B1201" s="47"/>
      <c r="C1201" s="127"/>
      <c r="D1201" s="127"/>
      <c r="E1201" s="127"/>
      <c r="F1201" s="127"/>
      <c r="G1201" s="127"/>
      <c r="H1201" s="127"/>
      <c r="I1201" s="127"/>
      <c r="J1201" s="127"/>
      <c r="K1201" s="127"/>
      <c r="L1201" s="127"/>
      <c r="M1201" s="127"/>
      <c r="RG1201" s="6"/>
      <c r="RH1201" s="6"/>
      <c r="RI1201" s="6"/>
      <c r="RJ1201" s="6"/>
      <c r="RK1201" s="6"/>
      <c r="RL1201" s="45"/>
      <c r="RM1201" s="4"/>
      <c r="RN1201" s="4"/>
      <c r="RO1201" s="4"/>
      <c r="RP1201" s="6"/>
    </row>
    <row r="1202" spans="1:484" x14ac:dyDescent="0.25">
      <c r="A1202" s="46"/>
      <c r="B1202" s="47"/>
      <c r="C1202" s="127"/>
      <c r="D1202" s="127"/>
      <c r="E1202" s="127"/>
      <c r="F1202" s="127"/>
      <c r="G1202" s="127"/>
      <c r="H1202" s="127"/>
      <c r="I1202" s="127"/>
      <c r="J1202" s="127"/>
      <c r="K1202" s="127"/>
      <c r="L1202" s="127"/>
      <c r="M1202" s="127"/>
      <c r="RG1202" s="6"/>
      <c r="RH1202" s="6"/>
      <c r="RI1202" s="6"/>
      <c r="RJ1202" s="6"/>
      <c r="RK1202" s="6"/>
      <c r="RL1202" s="45"/>
      <c r="RM1202" s="4"/>
      <c r="RN1202" s="4"/>
      <c r="RO1202" s="4"/>
      <c r="RP1202" s="6"/>
    </row>
    <row r="1203" spans="1:484" x14ac:dyDescent="0.25">
      <c r="A1203" s="46"/>
      <c r="B1203" s="47"/>
      <c r="C1203" s="127"/>
      <c r="D1203" s="127"/>
      <c r="E1203" s="127"/>
      <c r="F1203" s="127"/>
      <c r="G1203" s="127"/>
      <c r="H1203" s="127"/>
      <c r="I1203" s="127"/>
      <c r="J1203" s="127"/>
      <c r="K1203" s="127"/>
      <c r="L1203" s="127"/>
      <c r="M1203" s="127"/>
      <c r="RG1203" s="6"/>
      <c r="RH1203" s="6"/>
      <c r="RI1203" s="6"/>
      <c r="RJ1203" s="6"/>
      <c r="RK1203" s="6"/>
      <c r="RL1203" s="45"/>
      <c r="RM1203" s="4"/>
      <c r="RN1203" s="4"/>
      <c r="RO1203" s="4"/>
      <c r="RP1203" s="6"/>
    </row>
    <row r="1204" spans="1:484" x14ac:dyDescent="0.25">
      <c r="A1204" s="46"/>
      <c r="B1204" s="47"/>
      <c r="C1204" s="127"/>
      <c r="D1204" s="127"/>
      <c r="E1204" s="127"/>
      <c r="F1204" s="127"/>
      <c r="G1204" s="127"/>
      <c r="H1204" s="127"/>
      <c r="I1204" s="127"/>
      <c r="J1204" s="127"/>
      <c r="K1204" s="127"/>
      <c r="L1204" s="127"/>
      <c r="M1204" s="127"/>
      <c r="RG1204" s="6"/>
      <c r="RH1204" s="6"/>
      <c r="RI1204" s="6"/>
      <c r="RJ1204" s="6"/>
      <c r="RK1204" s="6"/>
      <c r="RL1204" s="45"/>
      <c r="RM1204" s="4"/>
      <c r="RN1204" s="4"/>
      <c r="RO1204" s="4"/>
      <c r="RP1204" s="6"/>
    </row>
    <row r="1205" spans="1:484" x14ac:dyDescent="0.25">
      <c r="A1205" s="46"/>
      <c r="B1205" s="47"/>
      <c r="C1205" s="127"/>
      <c r="D1205" s="127"/>
      <c r="E1205" s="127"/>
      <c r="F1205" s="127"/>
      <c r="G1205" s="127"/>
      <c r="H1205" s="127"/>
      <c r="I1205" s="127"/>
      <c r="J1205" s="127"/>
      <c r="K1205" s="127"/>
      <c r="L1205" s="127"/>
      <c r="M1205" s="127"/>
      <c r="RG1205" s="6"/>
      <c r="RH1205" s="6"/>
      <c r="RI1205" s="6"/>
      <c r="RJ1205" s="6"/>
      <c r="RK1205" s="6"/>
      <c r="RL1205" s="45"/>
      <c r="RM1205" s="4"/>
      <c r="RN1205" s="4"/>
      <c r="RO1205" s="4"/>
      <c r="RP1205" s="6"/>
    </row>
    <row r="1206" spans="1:484" x14ac:dyDescent="0.25">
      <c r="A1206" s="46"/>
      <c r="B1206" s="47"/>
      <c r="C1206" s="127"/>
      <c r="D1206" s="127"/>
      <c r="E1206" s="127"/>
      <c r="F1206" s="127"/>
      <c r="G1206" s="127"/>
      <c r="H1206" s="127"/>
      <c r="I1206" s="127"/>
      <c r="J1206" s="127"/>
      <c r="K1206" s="127"/>
      <c r="L1206" s="127"/>
      <c r="M1206" s="127"/>
      <c r="RG1206" s="6"/>
      <c r="RH1206" s="6"/>
      <c r="RI1206" s="6"/>
      <c r="RJ1206" s="6"/>
      <c r="RK1206" s="6"/>
      <c r="RL1206" s="45"/>
      <c r="RM1206" s="4"/>
      <c r="RN1206" s="4"/>
      <c r="RO1206" s="4"/>
      <c r="RP1206" s="6"/>
    </row>
    <row r="1207" spans="1:484" x14ac:dyDescent="0.25">
      <c r="A1207" s="46"/>
      <c r="B1207" s="47"/>
      <c r="C1207" s="127"/>
      <c r="D1207" s="127"/>
      <c r="E1207" s="127"/>
      <c r="F1207" s="127"/>
      <c r="G1207" s="127"/>
      <c r="H1207" s="127"/>
      <c r="I1207" s="127"/>
      <c r="J1207" s="127"/>
      <c r="K1207" s="127"/>
      <c r="L1207" s="127"/>
      <c r="M1207" s="127"/>
      <c r="RG1207" s="6"/>
      <c r="RH1207" s="6"/>
      <c r="RI1207" s="6"/>
      <c r="RJ1207" s="6"/>
      <c r="RK1207" s="6"/>
      <c r="RL1207" s="45"/>
      <c r="RM1207" s="4"/>
      <c r="RN1207" s="4"/>
      <c r="RO1207" s="4"/>
      <c r="RP1207" s="6"/>
    </row>
    <row r="1208" spans="1:484" x14ac:dyDescent="0.25">
      <c r="A1208" s="46"/>
      <c r="B1208" s="47"/>
      <c r="C1208" s="127"/>
      <c r="D1208" s="127"/>
      <c r="E1208" s="127"/>
      <c r="F1208" s="127"/>
      <c r="G1208" s="127"/>
      <c r="H1208" s="127"/>
      <c r="I1208" s="127"/>
      <c r="J1208" s="127"/>
      <c r="K1208" s="127"/>
      <c r="L1208" s="127"/>
      <c r="M1208" s="127"/>
      <c r="RG1208" s="6"/>
      <c r="RH1208" s="6"/>
      <c r="RI1208" s="6"/>
      <c r="RJ1208" s="6"/>
      <c r="RK1208" s="6"/>
      <c r="RL1208" s="45"/>
      <c r="RM1208" s="4"/>
      <c r="RN1208" s="4"/>
      <c r="RO1208" s="4"/>
      <c r="RP1208" s="6"/>
    </row>
    <row r="1209" spans="1:484" x14ac:dyDescent="0.25">
      <c r="A1209" s="46"/>
      <c r="B1209" s="47"/>
      <c r="C1209" s="127"/>
      <c r="D1209" s="127"/>
      <c r="E1209" s="127"/>
      <c r="F1209" s="127"/>
      <c r="G1209" s="127"/>
      <c r="H1209" s="127"/>
      <c r="I1209" s="127"/>
      <c r="J1209" s="127"/>
      <c r="K1209" s="127"/>
      <c r="L1209" s="127"/>
      <c r="M1209" s="127"/>
      <c r="RG1209" s="6"/>
      <c r="RH1209" s="6"/>
      <c r="RI1209" s="6"/>
      <c r="RJ1209" s="6"/>
      <c r="RK1209" s="6"/>
      <c r="RL1209" s="45"/>
      <c r="RM1209" s="4"/>
      <c r="RN1209" s="4"/>
      <c r="RO1209" s="4"/>
      <c r="RP1209" s="6"/>
    </row>
    <row r="1210" spans="1:484" x14ac:dyDescent="0.25">
      <c r="A1210" s="46"/>
      <c r="B1210" s="47"/>
      <c r="C1210" s="127"/>
      <c r="D1210" s="127"/>
      <c r="E1210" s="127"/>
      <c r="F1210" s="127"/>
      <c r="G1210" s="127"/>
      <c r="H1210" s="127"/>
      <c r="I1210" s="127"/>
      <c r="J1210" s="127"/>
      <c r="K1210" s="127"/>
      <c r="L1210" s="127"/>
      <c r="M1210" s="127"/>
      <c r="RG1210" s="6"/>
      <c r="RH1210" s="6"/>
      <c r="RI1210" s="6"/>
      <c r="RJ1210" s="6"/>
      <c r="RK1210" s="6"/>
      <c r="RL1210" s="45"/>
      <c r="RM1210" s="4"/>
      <c r="RN1210" s="4"/>
      <c r="RO1210" s="4"/>
      <c r="RP1210" s="6"/>
    </row>
    <row r="1211" spans="1:484" x14ac:dyDescent="0.25">
      <c r="A1211" s="46"/>
      <c r="B1211" s="47"/>
      <c r="C1211" s="127"/>
      <c r="D1211" s="127"/>
      <c r="E1211" s="127"/>
      <c r="F1211" s="127"/>
      <c r="G1211" s="127"/>
      <c r="H1211" s="127"/>
      <c r="I1211" s="127"/>
      <c r="J1211" s="127"/>
      <c r="K1211" s="127"/>
      <c r="L1211" s="127"/>
      <c r="M1211" s="127"/>
      <c r="RG1211" s="6"/>
      <c r="RH1211" s="6"/>
      <c r="RI1211" s="6"/>
      <c r="RJ1211" s="6"/>
      <c r="RK1211" s="6"/>
      <c r="RL1211" s="45"/>
      <c r="RM1211" s="4"/>
      <c r="RN1211" s="4"/>
      <c r="RO1211" s="4"/>
      <c r="RP1211" s="6"/>
    </row>
    <row r="1212" spans="1:484" x14ac:dyDescent="0.25">
      <c r="A1212" s="46"/>
      <c r="B1212" s="47"/>
      <c r="C1212" s="127"/>
      <c r="D1212" s="127"/>
      <c r="E1212" s="127"/>
      <c r="F1212" s="127"/>
      <c r="G1212" s="127"/>
      <c r="H1212" s="127"/>
      <c r="I1212" s="127"/>
      <c r="J1212" s="127"/>
      <c r="K1212" s="127"/>
      <c r="L1212" s="127"/>
      <c r="M1212" s="127"/>
      <c r="RG1212" s="6"/>
      <c r="RH1212" s="6"/>
      <c r="RI1212" s="6"/>
      <c r="RJ1212" s="6"/>
      <c r="RK1212" s="6"/>
      <c r="RL1212" s="45"/>
      <c r="RM1212" s="4"/>
      <c r="RN1212" s="4"/>
      <c r="RO1212" s="4"/>
      <c r="RP1212" s="6"/>
    </row>
    <row r="1213" spans="1:484" x14ac:dyDescent="0.25">
      <c r="A1213" s="46"/>
      <c r="B1213" s="47"/>
      <c r="C1213" s="127"/>
      <c r="D1213" s="127"/>
      <c r="E1213" s="127"/>
      <c r="F1213" s="127"/>
      <c r="G1213" s="127"/>
      <c r="H1213" s="127"/>
      <c r="I1213" s="127"/>
      <c r="J1213" s="127"/>
      <c r="K1213" s="127"/>
      <c r="L1213" s="127"/>
      <c r="M1213" s="127"/>
      <c r="RG1213" s="6"/>
      <c r="RH1213" s="6"/>
      <c r="RI1213" s="6"/>
      <c r="RJ1213" s="6"/>
      <c r="RK1213" s="6"/>
      <c r="RL1213" s="45"/>
      <c r="RM1213" s="4"/>
      <c r="RN1213" s="4"/>
      <c r="RO1213" s="4"/>
      <c r="RP1213" s="6"/>
    </row>
    <row r="1214" spans="1:484" x14ac:dyDescent="0.25">
      <c r="A1214" s="46"/>
      <c r="B1214" s="47"/>
      <c r="C1214" s="127"/>
      <c r="D1214" s="127"/>
      <c r="E1214" s="127"/>
      <c r="F1214" s="127"/>
      <c r="G1214" s="127"/>
      <c r="H1214" s="127"/>
      <c r="I1214" s="127"/>
      <c r="J1214" s="127"/>
      <c r="K1214" s="127"/>
      <c r="L1214" s="127"/>
      <c r="M1214" s="127"/>
      <c r="RG1214" s="6"/>
      <c r="RH1214" s="6"/>
      <c r="RI1214" s="6"/>
      <c r="RJ1214" s="6"/>
      <c r="RK1214" s="6"/>
      <c r="RL1214" s="45"/>
      <c r="RM1214" s="4"/>
      <c r="RN1214" s="4"/>
      <c r="RO1214" s="4"/>
      <c r="RP1214" s="6"/>
    </row>
    <row r="1215" spans="1:484" x14ac:dyDescent="0.25">
      <c r="A1215" s="46"/>
      <c r="B1215" s="47"/>
      <c r="C1215" s="127"/>
      <c r="D1215" s="127"/>
      <c r="E1215" s="127"/>
      <c r="F1215" s="127"/>
      <c r="G1215" s="127"/>
      <c r="H1215" s="127"/>
      <c r="I1215" s="127"/>
      <c r="J1215" s="127"/>
      <c r="K1215" s="127"/>
      <c r="L1215" s="127"/>
      <c r="M1215" s="127"/>
      <c r="RG1215" s="6"/>
      <c r="RH1215" s="6"/>
      <c r="RI1215" s="6"/>
      <c r="RJ1215" s="6"/>
      <c r="RK1215" s="6"/>
      <c r="RL1215" s="45"/>
      <c r="RM1215" s="4"/>
      <c r="RN1215" s="4"/>
      <c r="RO1215" s="4"/>
      <c r="RP1215" s="6"/>
    </row>
    <row r="1216" spans="1:484" x14ac:dyDescent="0.25">
      <c r="A1216" s="46"/>
      <c r="B1216" s="47"/>
      <c r="C1216" s="127"/>
      <c r="D1216" s="127"/>
      <c r="E1216" s="127"/>
      <c r="F1216" s="127"/>
      <c r="G1216" s="127"/>
      <c r="H1216" s="127"/>
      <c r="I1216" s="127"/>
      <c r="J1216" s="127"/>
      <c r="K1216" s="127"/>
      <c r="L1216" s="127"/>
      <c r="M1216" s="127"/>
      <c r="RG1216" s="6"/>
      <c r="RH1216" s="6"/>
      <c r="RI1216" s="6"/>
      <c r="RJ1216" s="6"/>
      <c r="RK1216" s="6"/>
      <c r="RL1216" s="45"/>
      <c r="RM1216" s="4"/>
      <c r="RN1216" s="4"/>
      <c r="RO1216" s="4"/>
      <c r="RP1216" s="6"/>
    </row>
    <row r="1217" spans="1:484" x14ac:dyDescent="0.25">
      <c r="A1217" s="46"/>
      <c r="B1217" s="47"/>
      <c r="C1217" s="127"/>
      <c r="D1217" s="127"/>
      <c r="E1217" s="127"/>
      <c r="F1217" s="127"/>
      <c r="G1217" s="127"/>
      <c r="H1217" s="127"/>
      <c r="I1217" s="127"/>
      <c r="J1217" s="127"/>
      <c r="K1217" s="127"/>
      <c r="L1217" s="127"/>
      <c r="M1217" s="127"/>
      <c r="RG1217" s="6"/>
      <c r="RH1217" s="6"/>
      <c r="RI1217" s="6"/>
      <c r="RJ1217" s="6"/>
      <c r="RK1217" s="6"/>
      <c r="RL1217" s="45"/>
      <c r="RM1217" s="4"/>
      <c r="RN1217" s="4"/>
      <c r="RO1217" s="4"/>
      <c r="RP1217" s="6"/>
    </row>
    <row r="1218" spans="1:484" x14ac:dyDescent="0.25">
      <c r="A1218" s="46"/>
      <c r="B1218" s="47"/>
      <c r="C1218" s="127"/>
      <c r="D1218" s="127"/>
      <c r="E1218" s="127"/>
      <c r="F1218" s="127"/>
      <c r="G1218" s="127"/>
      <c r="H1218" s="127"/>
      <c r="I1218" s="127"/>
      <c r="J1218" s="127"/>
      <c r="K1218" s="127"/>
      <c r="L1218" s="127"/>
      <c r="M1218" s="127"/>
      <c r="RG1218" s="6"/>
      <c r="RH1218" s="6"/>
      <c r="RI1218" s="6"/>
      <c r="RJ1218" s="6"/>
      <c r="RK1218" s="6"/>
      <c r="RL1218" s="45"/>
      <c r="RM1218" s="4"/>
      <c r="RN1218" s="4"/>
      <c r="RO1218" s="4"/>
      <c r="RP1218" s="6"/>
    </row>
    <row r="1219" spans="1:484" x14ac:dyDescent="0.25">
      <c r="A1219" s="46"/>
      <c r="B1219" s="47"/>
      <c r="C1219" s="127"/>
      <c r="D1219" s="127"/>
      <c r="E1219" s="127"/>
      <c r="F1219" s="127"/>
      <c r="G1219" s="127"/>
      <c r="H1219" s="127"/>
      <c r="I1219" s="127"/>
      <c r="J1219" s="127"/>
      <c r="K1219" s="127"/>
      <c r="L1219" s="127"/>
      <c r="M1219" s="127"/>
      <c r="RG1219" s="6"/>
      <c r="RH1219" s="6"/>
      <c r="RI1219" s="6"/>
      <c r="RJ1219" s="6"/>
      <c r="RK1219" s="6"/>
      <c r="RL1219" s="45"/>
      <c r="RM1219" s="4"/>
      <c r="RN1219" s="4"/>
      <c r="RO1219" s="4"/>
      <c r="RP1219" s="6"/>
    </row>
    <row r="1220" spans="1:484" x14ac:dyDescent="0.25">
      <c r="A1220" s="46"/>
      <c r="B1220" s="47"/>
      <c r="C1220" s="127"/>
      <c r="D1220" s="127"/>
      <c r="E1220" s="127"/>
      <c r="F1220" s="127"/>
      <c r="G1220" s="127"/>
      <c r="H1220" s="127"/>
      <c r="I1220" s="127"/>
      <c r="J1220" s="127"/>
      <c r="K1220" s="127"/>
      <c r="L1220" s="127"/>
      <c r="M1220" s="127"/>
      <c r="RG1220" s="6"/>
      <c r="RH1220" s="6"/>
      <c r="RI1220" s="6"/>
      <c r="RJ1220" s="6"/>
      <c r="RK1220" s="6"/>
      <c r="RL1220" s="45"/>
      <c r="RM1220" s="4"/>
      <c r="RN1220" s="4"/>
      <c r="RO1220" s="4"/>
      <c r="RP1220" s="6"/>
    </row>
    <row r="1221" spans="1:484" x14ac:dyDescent="0.25">
      <c r="A1221" s="46"/>
      <c r="B1221" s="47"/>
      <c r="C1221" s="127"/>
      <c r="D1221" s="127"/>
      <c r="E1221" s="127"/>
      <c r="F1221" s="127"/>
      <c r="G1221" s="127"/>
      <c r="H1221" s="127"/>
      <c r="I1221" s="127"/>
      <c r="J1221" s="127"/>
      <c r="K1221" s="127"/>
      <c r="L1221" s="127"/>
      <c r="M1221" s="127"/>
      <c r="RG1221" s="6"/>
      <c r="RH1221" s="6"/>
      <c r="RI1221" s="6"/>
      <c r="RJ1221" s="6"/>
      <c r="RK1221" s="6"/>
      <c r="RL1221" s="45"/>
      <c r="RM1221" s="4"/>
      <c r="RN1221" s="4"/>
      <c r="RO1221" s="4"/>
      <c r="RP1221" s="6"/>
    </row>
    <row r="1222" spans="1:484" x14ac:dyDescent="0.25">
      <c r="A1222" s="46"/>
      <c r="B1222" s="47"/>
      <c r="C1222" s="127"/>
      <c r="D1222" s="127"/>
      <c r="E1222" s="127"/>
      <c r="F1222" s="127"/>
      <c r="G1222" s="127"/>
      <c r="H1222" s="127"/>
      <c r="I1222" s="127"/>
      <c r="J1222" s="127"/>
      <c r="K1222" s="127"/>
      <c r="L1222" s="127"/>
      <c r="M1222" s="127"/>
      <c r="RG1222" s="6"/>
      <c r="RH1222" s="6"/>
      <c r="RI1222" s="6"/>
      <c r="RJ1222" s="6"/>
      <c r="RK1222" s="6"/>
      <c r="RL1222" s="45"/>
      <c r="RM1222" s="4"/>
      <c r="RN1222" s="4"/>
      <c r="RO1222" s="4"/>
      <c r="RP1222" s="6"/>
    </row>
    <row r="1223" spans="1:484" x14ac:dyDescent="0.25">
      <c r="A1223" s="46"/>
      <c r="B1223" s="47"/>
      <c r="C1223" s="127"/>
      <c r="D1223" s="127"/>
      <c r="E1223" s="127"/>
      <c r="F1223" s="127"/>
      <c r="G1223" s="127"/>
      <c r="H1223" s="127"/>
      <c r="I1223" s="127"/>
      <c r="J1223" s="127"/>
      <c r="K1223" s="127"/>
      <c r="L1223" s="127"/>
      <c r="M1223" s="127"/>
      <c r="RG1223" s="6"/>
      <c r="RH1223" s="6"/>
      <c r="RI1223" s="6"/>
      <c r="RJ1223" s="6"/>
      <c r="RK1223" s="6"/>
      <c r="RL1223" s="45"/>
      <c r="RM1223" s="4"/>
      <c r="RN1223" s="4"/>
      <c r="RO1223" s="4"/>
      <c r="RP1223" s="6"/>
    </row>
    <row r="1224" spans="1:484" x14ac:dyDescent="0.25">
      <c r="A1224" s="46"/>
      <c r="B1224" s="47"/>
      <c r="C1224" s="127"/>
      <c r="D1224" s="127"/>
      <c r="E1224" s="127"/>
      <c r="F1224" s="127"/>
      <c r="G1224" s="127"/>
      <c r="H1224" s="127"/>
      <c r="I1224" s="127"/>
      <c r="J1224" s="127"/>
      <c r="K1224" s="127"/>
      <c r="L1224" s="127"/>
      <c r="M1224" s="127"/>
      <c r="RG1224" s="6"/>
      <c r="RH1224" s="6"/>
      <c r="RI1224" s="6"/>
      <c r="RJ1224" s="6"/>
      <c r="RK1224" s="6"/>
      <c r="RL1224" s="45"/>
      <c r="RM1224" s="4"/>
      <c r="RN1224" s="4"/>
      <c r="RO1224" s="4"/>
      <c r="RP1224" s="6"/>
    </row>
    <row r="1225" spans="1:484" x14ac:dyDescent="0.25">
      <c r="A1225" s="46"/>
      <c r="B1225" s="47"/>
      <c r="C1225" s="127"/>
      <c r="D1225" s="127"/>
      <c r="E1225" s="127"/>
      <c r="F1225" s="127"/>
      <c r="G1225" s="127"/>
      <c r="H1225" s="127"/>
      <c r="I1225" s="127"/>
      <c r="J1225" s="127"/>
      <c r="K1225" s="127"/>
      <c r="L1225" s="127"/>
      <c r="M1225" s="127"/>
      <c r="RG1225" s="6"/>
      <c r="RH1225" s="6"/>
      <c r="RI1225" s="6"/>
      <c r="RJ1225" s="6"/>
      <c r="RK1225" s="6"/>
      <c r="RL1225" s="45"/>
      <c r="RM1225" s="4"/>
      <c r="RN1225" s="4"/>
      <c r="RO1225" s="4"/>
      <c r="RP1225" s="6"/>
    </row>
    <row r="1226" spans="1:484" x14ac:dyDescent="0.25">
      <c r="A1226" s="46"/>
      <c r="B1226" s="47"/>
      <c r="C1226" s="127"/>
      <c r="D1226" s="127"/>
      <c r="E1226" s="127"/>
      <c r="F1226" s="127"/>
      <c r="G1226" s="127"/>
      <c r="H1226" s="127"/>
      <c r="I1226" s="127"/>
      <c r="J1226" s="127"/>
      <c r="K1226" s="127"/>
      <c r="L1226" s="127"/>
      <c r="M1226" s="127"/>
      <c r="RG1226" s="6"/>
      <c r="RH1226" s="6"/>
      <c r="RI1226" s="6"/>
      <c r="RJ1226" s="6"/>
      <c r="RK1226" s="6"/>
      <c r="RL1226" s="45"/>
      <c r="RM1226" s="4"/>
      <c r="RN1226" s="4"/>
      <c r="RO1226" s="4"/>
      <c r="RP1226" s="6"/>
    </row>
    <row r="1227" spans="1:484" x14ac:dyDescent="0.25">
      <c r="A1227" s="46"/>
      <c r="B1227" s="47"/>
      <c r="C1227" s="127"/>
      <c r="D1227" s="127"/>
      <c r="E1227" s="127"/>
      <c r="F1227" s="127"/>
      <c r="G1227" s="127"/>
      <c r="H1227" s="127"/>
      <c r="I1227" s="127"/>
      <c r="J1227" s="127"/>
      <c r="K1227" s="127"/>
      <c r="L1227" s="127"/>
      <c r="M1227" s="127"/>
      <c r="RG1227" s="6"/>
      <c r="RH1227" s="6"/>
      <c r="RI1227" s="6"/>
      <c r="RJ1227" s="6"/>
      <c r="RK1227" s="6"/>
      <c r="RL1227" s="45"/>
      <c r="RM1227" s="4"/>
      <c r="RN1227" s="4"/>
      <c r="RO1227" s="4"/>
      <c r="RP1227" s="6"/>
    </row>
    <row r="1228" spans="1:484" x14ac:dyDescent="0.25">
      <c r="A1228" s="46"/>
      <c r="B1228" s="47"/>
      <c r="C1228" s="127"/>
      <c r="D1228" s="127"/>
      <c r="E1228" s="127"/>
      <c r="F1228" s="127"/>
      <c r="G1228" s="127"/>
      <c r="H1228" s="127"/>
      <c r="I1228" s="127"/>
      <c r="J1228" s="127"/>
      <c r="K1228" s="127"/>
      <c r="L1228" s="127"/>
      <c r="M1228" s="127"/>
      <c r="RG1228" s="6"/>
      <c r="RH1228" s="6"/>
      <c r="RI1228" s="6"/>
      <c r="RJ1228" s="6"/>
      <c r="RK1228" s="6"/>
      <c r="RL1228" s="45"/>
      <c r="RM1228" s="4"/>
      <c r="RN1228" s="4"/>
      <c r="RO1228" s="4"/>
      <c r="RP1228" s="6"/>
    </row>
    <row r="1229" spans="1:484" x14ac:dyDescent="0.25">
      <c r="A1229" s="46"/>
      <c r="B1229" s="47"/>
      <c r="C1229" s="127"/>
      <c r="D1229" s="127"/>
      <c r="E1229" s="127"/>
      <c r="F1229" s="127"/>
      <c r="G1229" s="127"/>
      <c r="H1229" s="127"/>
      <c r="I1229" s="127"/>
      <c r="J1229" s="127"/>
      <c r="K1229" s="127"/>
      <c r="L1229" s="127"/>
      <c r="M1229" s="127"/>
      <c r="RG1229" s="6"/>
      <c r="RH1229" s="6"/>
      <c r="RI1229" s="6"/>
      <c r="RJ1229" s="6"/>
      <c r="RK1229" s="6"/>
      <c r="RL1229" s="45"/>
      <c r="RM1229" s="4"/>
      <c r="RN1229" s="4"/>
      <c r="RO1229" s="4"/>
      <c r="RP1229" s="6"/>
    </row>
    <row r="1230" spans="1:484" x14ac:dyDescent="0.25">
      <c r="A1230" s="46"/>
      <c r="B1230" s="47"/>
      <c r="C1230" s="127"/>
      <c r="D1230" s="127"/>
      <c r="E1230" s="127"/>
      <c r="F1230" s="127"/>
      <c r="G1230" s="127"/>
      <c r="H1230" s="127"/>
      <c r="I1230" s="127"/>
      <c r="J1230" s="127"/>
      <c r="K1230" s="127"/>
      <c r="L1230" s="127"/>
      <c r="M1230" s="127"/>
      <c r="RG1230" s="6"/>
      <c r="RH1230" s="6"/>
      <c r="RI1230" s="6"/>
      <c r="RJ1230" s="6"/>
      <c r="RK1230" s="6"/>
      <c r="RL1230" s="45"/>
      <c r="RM1230" s="4"/>
      <c r="RN1230" s="4"/>
      <c r="RO1230" s="4"/>
      <c r="RP1230" s="6"/>
    </row>
    <row r="1231" spans="1:484" x14ac:dyDescent="0.25">
      <c r="A1231" s="46"/>
      <c r="B1231" s="47"/>
      <c r="C1231" s="127"/>
      <c r="D1231" s="127"/>
      <c r="E1231" s="127"/>
      <c r="F1231" s="127"/>
      <c r="G1231" s="127"/>
      <c r="H1231" s="127"/>
      <c r="I1231" s="127"/>
      <c r="J1231" s="127"/>
      <c r="K1231" s="127"/>
      <c r="L1231" s="127"/>
      <c r="M1231" s="127"/>
      <c r="RG1231" s="6"/>
      <c r="RH1231" s="6"/>
      <c r="RI1231" s="6"/>
      <c r="RJ1231" s="6"/>
      <c r="RK1231" s="6"/>
      <c r="RL1231" s="45"/>
      <c r="RM1231" s="4"/>
      <c r="RN1231" s="4"/>
      <c r="RO1231" s="4"/>
      <c r="RP1231" s="6"/>
    </row>
    <row r="1232" spans="1:484" x14ac:dyDescent="0.25">
      <c r="A1232" s="46"/>
      <c r="B1232" s="47"/>
      <c r="C1232" s="127"/>
      <c r="D1232" s="127"/>
      <c r="E1232" s="127"/>
      <c r="F1232" s="127"/>
      <c r="G1232" s="127"/>
      <c r="H1232" s="127"/>
      <c r="I1232" s="127"/>
      <c r="J1232" s="127"/>
      <c r="K1232" s="127"/>
      <c r="L1232" s="127"/>
      <c r="M1232" s="127"/>
      <c r="RG1232" s="6"/>
      <c r="RH1232" s="6"/>
      <c r="RI1232" s="6"/>
      <c r="RJ1232" s="6"/>
      <c r="RK1232" s="6"/>
      <c r="RL1232" s="45"/>
      <c r="RM1232" s="4"/>
      <c r="RN1232" s="4"/>
      <c r="RO1232" s="4"/>
      <c r="RP1232" s="6"/>
    </row>
    <row r="1233" spans="1:484" x14ac:dyDescent="0.25">
      <c r="A1233" s="46"/>
      <c r="B1233" s="47"/>
      <c r="C1233" s="127"/>
      <c r="D1233" s="127"/>
      <c r="E1233" s="127"/>
      <c r="F1233" s="127"/>
      <c r="G1233" s="127"/>
      <c r="H1233" s="127"/>
      <c r="I1233" s="127"/>
      <c r="J1233" s="127"/>
      <c r="K1233" s="127"/>
      <c r="L1233" s="127"/>
      <c r="M1233" s="127"/>
      <c r="RG1233" s="6"/>
      <c r="RH1233" s="6"/>
      <c r="RI1233" s="6"/>
      <c r="RJ1233" s="6"/>
      <c r="RK1233" s="6"/>
      <c r="RL1233" s="45"/>
      <c r="RM1233" s="4"/>
      <c r="RN1233" s="4"/>
      <c r="RO1233" s="4"/>
      <c r="RP1233" s="6"/>
    </row>
    <row r="1234" spans="1:484" x14ac:dyDescent="0.25">
      <c r="A1234" s="46"/>
      <c r="B1234" s="47"/>
      <c r="C1234" s="127"/>
      <c r="D1234" s="127"/>
      <c r="E1234" s="127"/>
      <c r="F1234" s="127"/>
      <c r="G1234" s="127"/>
      <c r="H1234" s="127"/>
      <c r="I1234" s="127"/>
      <c r="J1234" s="127"/>
      <c r="K1234" s="127"/>
      <c r="L1234" s="127"/>
      <c r="M1234" s="127"/>
      <c r="RG1234" s="6"/>
      <c r="RH1234" s="6"/>
      <c r="RI1234" s="6"/>
      <c r="RJ1234" s="6"/>
      <c r="RK1234" s="6"/>
      <c r="RL1234" s="45"/>
      <c r="RM1234" s="4"/>
      <c r="RN1234" s="4"/>
      <c r="RO1234" s="4"/>
      <c r="RP1234" s="6"/>
    </row>
    <row r="1235" spans="1:484" x14ac:dyDescent="0.25">
      <c r="A1235" s="46"/>
      <c r="B1235" s="47"/>
      <c r="C1235" s="127"/>
      <c r="D1235" s="127"/>
      <c r="E1235" s="127"/>
      <c r="F1235" s="127"/>
      <c r="G1235" s="127"/>
      <c r="H1235" s="127"/>
      <c r="I1235" s="127"/>
      <c r="J1235" s="127"/>
      <c r="K1235" s="127"/>
      <c r="L1235" s="127"/>
      <c r="M1235" s="127"/>
      <c r="RG1235" s="6"/>
      <c r="RH1235" s="6"/>
      <c r="RI1235" s="6"/>
      <c r="RJ1235" s="6"/>
      <c r="RK1235" s="6"/>
      <c r="RL1235" s="45"/>
      <c r="RM1235" s="4"/>
      <c r="RN1235" s="4"/>
      <c r="RO1235" s="4"/>
      <c r="RP1235" s="6"/>
    </row>
    <row r="1236" spans="1:484" x14ac:dyDescent="0.25">
      <c r="A1236" s="46"/>
      <c r="B1236" s="47"/>
      <c r="C1236" s="127"/>
      <c r="D1236" s="127"/>
      <c r="E1236" s="127"/>
      <c r="F1236" s="127"/>
      <c r="G1236" s="127"/>
      <c r="H1236" s="127"/>
      <c r="I1236" s="127"/>
      <c r="J1236" s="127"/>
      <c r="K1236" s="127"/>
      <c r="L1236" s="127"/>
      <c r="M1236" s="127"/>
      <c r="RG1236" s="6"/>
      <c r="RH1236" s="6"/>
      <c r="RI1236" s="6"/>
      <c r="RJ1236" s="6"/>
      <c r="RK1236" s="6"/>
      <c r="RL1236" s="45"/>
      <c r="RM1236" s="4"/>
      <c r="RN1236" s="4"/>
      <c r="RO1236" s="4"/>
      <c r="RP1236" s="6"/>
    </row>
    <row r="1237" spans="1:484" x14ac:dyDescent="0.25">
      <c r="A1237" s="46"/>
      <c r="B1237" s="47"/>
      <c r="C1237" s="127"/>
      <c r="D1237" s="127"/>
      <c r="E1237" s="127"/>
      <c r="F1237" s="127"/>
      <c r="G1237" s="127"/>
      <c r="H1237" s="127"/>
      <c r="I1237" s="127"/>
      <c r="J1237" s="127"/>
      <c r="K1237" s="127"/>
      <c r="L1237" s="127"/>
      <c r="M1237" s="127"/>
      <c r="RG1237" s="6"/>
      <c r="RH1237" s="6"/>
      <c r="RI1237" s="6"/>
      <c r="RJ1237" s="6"/>
      <c r="RK1237" s="6"/>
      <c r="RL1237" s="45"/>
      <c r="RM1237" s="4"/>
      <c r="RN1237" s="4"/>
      <c r="RO1237" s="4"/>
      <c r="RP1237" s="6"/>
    </row>
    <row r="1238" spans="1:484" x14ac:dyDescent="0.25">
      <c r="A1238" s="46"/>
      <c r="B1238" s="47"/>
      <c r="C1238" s="127"/>
      <c r="D1238" s="127"/>
      <c r="E1238" s="127"/>
      <c r="F1238" s="127"/>
      <c r="G1238" s="127"/>
      <c r="H1238" s="127"/>
      <c r="I1238" s="127"/>
      <c r="J1238" s="127"/>
      <c r="K1238" s="127"/>
      <c r="L1238" s="127"/>
      <c r="M1238" s="127"/>
      <c r="RG1238" s="6"/>
      <c r="RH1238" s="6"/>
      <c r="RI1238" s="6"/>
      <c r="RJ1238" s="6"/>
      <c r="RK1238" s="6"/>
      <c r="RL1238" s="45"/>
      <c r="RM1238" s="4"/>
      <c r="RN1238" s="4"/>
      <c r="RO1238" s="4"/>
      <c r="RP1238" s="6"/>
    </row>
    <row r="1239" spans="1:484" x14ac:dyDescent="0.25">
      <c r="A1239" s="46"/>
      <c r="B1239" s="47"/>
      <c r="C1239" s="127"/>
      <c r="D1239" s="127"/>
      <c r="E1239" s="127"/>
      <c r="F1239" s="127"/>
      <c r="G1239" s="127"/>
      <c r="H1239" s="127"/>
      <c r="I1239" s="127"/>
      <c r="J1239" s="127"/>
      <c r="K1239" s="127"/>
      <c r="L1239" s="127"/>
      <c r="M1239" s="127"/>
      <c r="RG1239" s="6"/>
      <c r="RH1239" s="6"/>
      <c r="RI1239" s="6"/>
      <c r="RJ1239" s="6"/>
      <c r="RK1239" s="6"/>
      <c r="RL1239" s="45"/>
      <c r="RM1239" s="4"/>
      <c r="RN1239" s="4"/>
      <c r="RO1239" s="4"/>
      <c r="RP1239" s="6"/>
    </row>
    <row r="1240" spans="1:484" x14ac:dyDescent="0.25">
      <c r="A1240" s="46"/>
      <c r="B1240" s="47"/>
      <c r="C1240" s="127"/>
      <c r="D1240" s="127"/>
      <c r="E1240" s="127"/>
      <c r="F1240" s="127"/>
      <c r="G1240" s="127"/>
      <c r="H1240" s="127"/>
      <c r="I1240" s="127"/>
      <c r="J1240" s="127"/>
      <c r="K1240" s="127"/>
      <c r="L1240" s="127"/>
      <c r="M1240" s="127"/>
      <c r="RG1240" s="6"/>
      <c r="RH1240" s="6"/>
      <c r="RI1240" s="6"/>
      <c r="RJ1240" s="6"/>
      <c r="RK1240" s="6"/>
      <c r="RL1240" s="45"/>
      <c r="RM1240" s="4"/>
      <c r="RN1240" s="4"/>
      <c r="RO1240" s="4"/>
      <c r="RP1240" s="6"/>
    </row>
    <row r="1241" spans="1:484" x14ac:dyDescent="0.25">
      <c r="A1241" s="46"/>
      <c r="B1241" s="47"/>
      <c r="C1241" s="127"/>
      <c r="D1241" s="127"/>
      <c r="E1241" s="127"/>
      <c r="F1241" s="127"/>
      <c r="G1241" s="127"/>
      <c r="H1241" s="127"/>
      <c r="I1241" s="127"/>
      <c r="J1241" s="127"/>
      <c r="K1241" s="127"/>
      <c r="L1241" s="127"/>
      <c r="M1241" s="127"/>
      <c r="RG1241" s="6"/>
      <c r="RH1241" s="6"/>
      <c r="RI1241" s="6"/>
      <c r="RJ1241" s="6"/>
      <c r="RK1241" s="6"/>
      <c r="RL1241" s="45"/>
      <c r="RM1241" s="4"/>
      <c r="RN1241" s="4"/>
      <c r="RO1241" s="4"/>
      <c r="RP1241" s="6"/>
    </row>
    <row r="1242" spans="1:484" x14ac:dyDescent="0.25">
      <c r="A1242" s="46"/>
      <c r="B1242" s="47"/>
      <c r="C1242" s="127"/>
      <c r="D1242" s="127"/>
      <c r="E1242" s="127"/>
      <c r="F1242" s="127"/>
      <c r="G1242" s="127"/>
      <c r="H1242" s="127"/>
      <c r="I1242" s="127"/>
      <c r="J1242" s="127"/>
      <c r="K1242" s="127"/>
      <c r="L1242" s="127"/>
      <c r="M1242" s="127"/>
      <c r="RG1242" s="6"/>
      <c r="RH1242" s="6"/>
      <c r="RI1242" s="6"/>
      <c r="RJ1242" s="6"/>
      <c r="RK1242" s="6"/>
      <c r="RL1242" s="45"/>
      <c r="RM1242" s="4"/>
      <c r="RN1242" s="4"/>
      <c r="RO1242" s="4"/>
      <c r="RP1242" s="6"/>
    </row>
    <row r="1243" spans="1:484" x14ac:dyDescent="0.25">
      <c r="A1243" s="46"/>
      <c r="B1243" s="47"/>
      <c r="C1243" s="127"/>
      <c r="D1243" s="127"/>
      <c r="E1243" s="127"/>
      <c r="F1243" s="127"/>
      <c r="G1243" s="127"/>
      <c r="H1243" s="127"/>
      <c r="I1243" s="127"/>
      <c r="J1243" s="127"/>
      <c r="K1243" s="127"/>
      <c r="L1243" s="127"/>
      <c r="M1243" s="127"/>
      <c r="RG1243" s="6"/>
      <c r="RH1243" s="6"/>
      <c r="RI1243" s="6"/>
      <c r="RJ1243" s="6"/>
      <c r="RK1243" s="6"/>
      <c r="RL1243" s="45"/>
      <c r="RM1243" s="4"/>
      <c r="RN1243" s="4"/>
      <c r="RO1243" s="4"/>
      <c r="RP1243" s="6"/>
    </row>
    <row r="1244" spans="1:484" x14ac:dyDescent="0.25">
      <c r="A1244" s="46"/>
      <c r="B1244" s="47"/>
      <c r="C1244" s="127"/>
      <c r="D1244" s="127"/>
      <c r="E1244" s="127"/>
      <c r="F1244" s="127"/>
      <c r="G1244" s="127"/>
      <c r="H1244" s="127"/>
      <c r="I1244" s="127"/>
      <c r="J1244" s="127"/>
      <c r="K1244" s="127"/>
      <c r="L1244" s="127"/>
      <c r="M1244" s="127"/>
      <c r="RG1244" s="6"/>
      <c r="RH1244" s="6"/>
      <c r="RI1244" s="6"/>
      <c r="RJ1244" s="6"/>
      <c r="RK1244" s="6"/>
      <c r="RL1244" s="45"/>
      <c r="RM1244" s="4"/>
      <c r="RN1244" s="4"/>
      <c r="RO1244" s="4"/>
      <c r="RP1244" s="6"/>
    </row>
    <row r="1245" spans="1:484" x14ac:dyDescent="0.25">
      <c r="A1245" s="46"/>
      <c r="B1245" s="47"/>
      <c r="C1245" s="127"/>
      <c r="D1245" s="127"/>
      <c r="E1245" s="127"/>
      <c r="F1245" s="127"/>
      <c r="G1245" s="127"/>
      <c r="H1245" s="127"/>
      <c r="I1245" s="127"/>
      <c r="J1245" s="127"/>
      <c r="K1245" s="127"/>
      <c r="L1245" s="127"/>
      <c r="M1245" s="127"/>
      <c r="RG1245" s="6"/>
      <c r="RH1245" s="6"/>
      <c r="RI1245" s="6"/>
      <c r="RJ1245" s="6"/>
      <c r="RK1245" s="6"/>
      <c r="RL1245" s="45"/>
      <c r="RM1245" s="4"/>
      <c r="RN1245" s="4"/>
      <c r="RO1245" s="4"/>
      <c r="RP1245" s="6"/>
    </row>
    <row r="1246" spans="1:484" x14ac:dyDescent="0.25">
      <c r="A1246" s="46"/>
      <c r="B1246" s="47"/>
      <c r="C1246" s="127"/>
      <c r="D1246" s="127"/>
      <c r="E1246" s="127"/>
      <c r="F1246" s="127"/>
      <c r="G1246" s="127"/>
      <c r="H1246" s="127"/>
      <c r="I1246" s="127"/>
      <c r="J1246" s="127"/>
      <c r="K1246" s="127"/>
      <c r="L1246" s="127"/>
      <c r="M1246" s="127"/>
      <c r="RG1246" s="6"/>
      <c r="RH1246" s="6"/>
      <c r="RI1246" s="6"/>
      <c r="RJ1246" s="6"/>
      <c r="RK1246" s="6"/>
      <c r="RL1246" s="45"/>
      <c r="RM1246" s="4"/>
      <c r="RN1246" s="4"/>
      <c r="RO1246" s="4"/>
      <c r="RP1246" s="6"/>
    </row>
    <row r="1247" spans="1:484" x14ac:dyDescent="0.25">
      <c r="A1247" s="46"/>
      <c r="B1247" s="47"/>
      <c r="C1247" s="127"/>
      <c r="D1247" s="127"/>
      <c r="E1247" s="127"/>
      <c r="F1247" s="127"/>
      <c r="G1247" s="127"/>
      <c r="H1247" s="127"/>
      <c r="I1247" s="127"/>
      <c r="J1247" s="127"/>
      <c r="K1247" s="127"/>
      <c r="L1247" s="127"/>
      <c r="M1247" s="127"/>
      <c r="RG1247" s="6"/>
      <c r="RH1247" s="6"/>
      <c r="RI1247" s="6"/>
      <c r="RJ1247" s="6"/>
      <c r="RK1247" s="6"/>
      <c r="RL1247" s="45"/>
      <c r="RM1247" s="4"/>
      <c r="RN1247" s="4"/>
      <c r="RO1247" s="4"/>
      <c r="RP1247" s="6"/>
    </row>
    <row r="1248" spans="1:484" x14ac:dyDescent="0.25">
      <c r="A1248" s="46"/>
      <c r="B1248" s="47"/>
      <c r="C1248" s="127"/>
      <c r="D1248" s="127"/>
      <c r="E1248" s="127"/>
      <c r="F1248" s="127"/>
      <c r="G1248" s="127"/>
      <c r="H1248" s="127"/>
      <c r="I1248" s="127"/>
      <c r="J1248" s="127"/>
      <c r="K1248" s="127"/>
      <c r="L1248" s="127"/>
      <c r="M1248" s="127"/>
      <c r="RG1248" s="6"/>
      <c r="RH1248" s="6"/>
      <c r="RI1248" s="6"/>
      <c r="RJ1248" s="6"/>
      <c r="RK1248" s="6"/>
      <c r="RL1248" s="45"/>
      <c r="RM1248" s="4"/>
      <c r="RN1248" s="4"/>
      <c r="RO1248" s="4"/>
      <c r="RP1248" s="6"/>
    </row>
    <row r="1249" spans="1:484" x14ac:dyDescent="0.25">
      <c r="A1249" s="46"/>
      <c r="B1249" s="47"/>
      <c r="C1249" s="127"/>
      <c r="D1249" s="127"/>
      <c r="E1249" s="127"/>
      <c r="F1249" s="127"/>
      <c r="G1249" s="127"/>
      <c r="H1249" s="127"/>
      <c r="I1249" s="127"/>
      <c r="J1249" s="127"/>
      <c r="K1249" s="127"/>
      <c r="L1249" s="127"/>
      <c r="M1249" s="127"/>
      <c r="RG1249" s="6"/>
      <c r="RH1249" s="6"/>
      <c r="RI1249" s="6"/>
      <c r="RJ1249" s="6"/>
      <c r="RK1249" s="6"/>
      <c r="RL1249" s="45"/>
      <c r="RM1249" s="4"/>
      <c r="RN1249" s="4"/>
      <c r="RO1249" s="4"/>
      <c r="RP1249" s="6"/>
    </row>
    <row r="1250" spans="1:484" x14ac:dyDescent="0.25">
      <c r="A1250" s="46"/>
      <c r="B1250" s="47"/>
      <c r="C1250" s="127"/>
      <c r="D1250" s="127"/>
      <c r="E1250" s="127"/>
      <c r="F1250" s="127"/>
      <c r="G1250" s="127"/>
      <c r="H1250" s="127"/>
      <c r="I1250" s="127"/>
      <c r="J1250" s="127"/>
      <c r="K1250" s="127"/>
      <c r="L1250" s="127"/>
      <c r="M1250" s="127"/>
      <c r="RG1250" s="6"/>
      <c r="RH1250" s="6"/>
      <c r="RI1250" s="6"/>
      <c r="RJ1250" s="6"/>
      <c r="RK1250" s="6"/>
      <c r="RL1250" s="45"/>
      <c r="RM1250" s="4"/>
      <c r="RN1250" s="4"/>
      <c r="RO1250" s="4"/>
      <c r="RP1250" s="6"/>
    </row>
    <row r="1251" spans="1:484" x14ac:dyDescent="0.25">
      <c r="A1251" s="46"/>
      <c r="B1251" s="47"/>
      <c r="C1251" s="127"/>
      <c r="D1251" s="127"/>
      <c r="E1251" s="127"/>
      <c r="F1251" s="127"/>
      <c r="G1251" s="127"/>
      <c r="H1251" s="127"/>
      <c r="I1251" s="127"/>
      <c r="J1251" s="127"/>
      <c r="K1251" s="127"/>
      <c r="L1251" s="127"/>
      <c r="M1251" s="127"/>
      <c r="RG1251" s="6"/>
      <c r="RH1251" s="6"/>
      <c r="RI1251" s="6"/>
      <c r="RJ1251" s="6"/>
      <c r="RK1251" s="6"/>
      <c r="RL1251" s="45"/>
      <c r="RM1251" s="4"/>
      <c r="RN1251" s="4"/>
      <c r="RO1251" s="4"/>
      <c r="RP1251" s="6"/>
    </row>
    <row r="1252" spans="1:484" x14ac:dyDescent="0.25">
      <c r="A1252" s="46"/>
      <c r="B1252" s="47"/>
      <c r="C1252" s="127"/>
      <c r="D1252" s="127"/>
      <c r="E1252" s="127"/>
      <c r="F1252" s="127"/>
      <c r="G1252" s="127"/>
      <c r="H1252" s="127"/>
      <c r="I1252" s="127"/>
      <c r="J1252" s="127"/>
      <c r="K1252" s="127"/>
      <c r="L1252" s="127"/>
      <c r="M1252" s="127"/>
      <c r="RG1252" s="6"/>
      <c r="RH1252" s="6"/>
      <c r="RI1252" s="6"/>
      <c r="RJ1252" s="6"/>
      <c r="RK1252" s="6"/>
      <c r="RL1252" s="45"/>
      <c r="RM1252" s="4"/>
      <c r="RN1252" s="4"/>
      <c r="RO1252" s="4"/>
      <c r="RP1252" s="6"/>
    </row>
    <row r="1253" spans="1:484" x14ac:dyDescent="0.25">
      <c r="A1253" s="46"/>
      <c r="B1253" s="47"/>
      <c r="C1253" s="127"/>
      <c r="D1253" s="127"/>
      <c r="E1253" s="127"/>
      <c r="F1253" s="127"/>
      <c r="G1253" s="127"/>
      <c r="H1253" s="127"/>
      <c r="I1253" s="127"/>
      <c r="J1253" s="127"/>
      <c r="K1253" s="127"/>
      <c r="L1253" s="127"/>
      <c r="M1253" s="127"/>
      <c r="RG1253" s="6"/>
      <c r="RH1253" s="6"/>
      <c r="RI1253" s="6"/>
      <c r="RJ1253" s="6"/>
      <c r="RK1253" s="6"/>
      <c r="RL1253" s="45"/>
      <c r="RM1253" s="4"/>
      <c r="RN1253" s="4"/>
      <c r="RO1253" s="4"/>
      <c r="RP1253" s="6"/>
    </row>
    <row r="1254" spans="1:484" x14ac:dyDescent="0.25">
      <c r="A1254" s="46"/>
      <c r="B1254" s="47"/>
      <c r="C1254" s="127"/>
      <c r="D1254" s="127"/>
      <c r="E1254" s="127"/>
      <c r="F1254" s="127"/>
      <c r="G1254" s="127"/>
      <c r="H1254" s="127"/>
      <c r="I1254" s="127"/>
      <c r="J1254" s="127"/>
      <c r="K1254" s="127"/>
      <c r="L1254" s="127"/>
      <c r="M1254" s="127"/>
      <c r="RG1254" s="6"/>
      <c r="RH1254" s="6"/>
      <c r="RI1254" s="6"/>
      <c r="RJ1254" s="6"/>
      <c r="RK1254" s="6"/>
      <c r="RL1254" s="45"/>
      <c r="RM1254" s="4"/>
      <c r="RN1254" s="4"/>
      <c r="RO1254" s="4"/>
      <c r="RP1254" s="6"/>
    </row>
    <row r="1255" spans="1:484" x14ac:dyDescent="0.25">
      <c r="A1255" s="46"/>
      <c r="B1255" s="47"/>
      <c r="C1255" s="127"/>
      <c r="D1255" s="127"/>
      <c r="E1255" s="127"/>
      <c r="F1255" s="127"/>
      <c r="G1255" s="127"/>
      <c r="H1255" s="127"/>
      <c r="I1255" s="127"/>
      <c r="J1255" s="127"/>
      <c r="K1255" s="127"/>
      <c r="L1255" s="127"/>
      <c r="M1255" s="127"/>
      <c r="RG1255" s="6"/>
      <c r="RH1255" s="6"/>
      <c r="RI1255" s="6"/>
      <c r="RJ1255" s="6"/>
      <c r="RK1255" s="6"/>
      <c r="RL1255" s="45"/>
      <c r="RM1255" s="4"/>
      <c r="RN1255" s="4"/>
      <c r="RO1255" s="4"/>
      <c r="RP1255" s="6"/>
    </row>
    <row r="1256" spans="1:484" x14ac:dyDescent="0.25">
      <c r="A1256" s="46"/>
      <c r="B1256" s="47"/>
      <c r="C1256" s="127"/>
      <c r="D1256" s="127"/>
      <c r="E1256" s="127"/>
      <c r="F1256" s="127"/>
      <c r="G1256" s="127"/>
      <c r="H1256" s="127"/>
      <c r="I1256" s="127"/>
      <c r="J1256" s="127"/>
      <c r="K1256" s="127"/>
      <c r="L1256" s="127"/>
      <c r="M1256" s="127"/>
      <c r="RG1256" s="6"/>
      <c r="RH1256" s="6"/>
      <c r="RI1256" s="6"/>
      <c r="RJ1256" s="6"/>
      <c r="RK1256" s="6"/>
      <c r="RL1256" s="45"/>
      <c r="RM1256" s="4"/>
      <c r="RN1256" s="4"/>
      <c r="RO1256" s="4"/>
      <c r="RP1256" s="6"/>
    </row>
    <row r="1257" spans="1:484" x14ac:dyDescent="0.25">
      <c r="A1257" s="46"/>
      <c r="B1257" s="47"/>
      <c r="C1257" s="127"/>
      <c r="D1257" s="127"/>
      <c r="E1257" s="127"/>
      <c r="F1257" s="127"/>
      <c r="G1257" s="127"/>
      <c r="H1257" s="127"/>
      <c r="I1257" s="127"/>
      <c r="J1257" s="127"/>
      <c r="K1257" s="127"/>
      <c r="L1257" s="127"/>
      <c r="M1257" s="127"/>
      <c r="RG1257" s="6"/>
      <c r="RH1257" s="6"/>
      <c r="RI1257" s="6"/>
      <c r="RJ1257" s="6"/>
      <c r="RK1257" s="6"/>
      <c r="RL1257" s="45"/>
      <c r="RM1257" s="4"/>
      <c r="RN1257" s="4"/>
      <c r="RO1257" s="4"/>
      <c r="RP1257" s="6"/>
    </row>
    <row r="1258" spans="1:484" x14ac:dyDescent="0.25">
      <c r="A1258" s="46"/>
      <c r="B1258" s="47"/>
      <c r="C1258" s="127"/>
      <c r="D1258" s="127"/>
      <c r="E1258" s="127"/>
      <c r="F1258" s="127"/>
      <c r="G1258" s="127"/>
      <c r="H1258" s="127"/>
      <c r="I1258" s="127"/>
      <c r="J1258" s="127"/>
      <c r="K1258" s="127"/>
      <c r="L1258" s="127"/>
      <c r="M1258" s="127"/>
      <c r="RG1258" s="6"/>
      <c r="RH1258" s="6"/>
      <c r="RI1258" s="6"/>
      <c r="RJ1258" s="6"/>
      <c r="RK1258" s="6"/>
      <c r="RL1258" s="45"/>
      <c r="RM1258" s="4"/>
      <c r="RN1258" s="4"/>
      <c r="RO1258" s="4"/>
      <c r="RP1258" s="6"/>
    </row>
    <row r="1259" spans="1:484" x14ac:dyDescent="0.25">
      <c r="A1259" s="46"/>
      <c r="B1259" s="47"/>
      <c r="C1259" s="127"/>
      <c r="D1259" s="127"/>
      <c r="E1259" s="127"/>
      <c r="F1259" s="127"/>
      <c r="G1259" s="127"/>
      <c r="H1259" s="127"/>
      <c r="I1259" s="127"/>
      <c r="J1259" s="127"/>
      <c r="K1259" s="127"/>
      <c r="L1259" s="127"/>
      <c r="M1259" s="127"/>
      <c r="RG1259" s="6"/>
      <c r="RH1259" s="6"/>
      <c r="RI1259" s="6"/>
      <c r="RJ1259" s="6"/>
      <c r="RK1259" s="6"/>
      <c r="RL1259" s="45"/>
      <c r="RM1259" s="4"/>
      <c r="RN1259" s="4"/>
      <c r="RO1259" s="4"/>
      <c r="RP1259" s="6"/>
    </row>
    <row r="1260" spans="1:484" x14ac:dyDescent="0.25">
      <c r="A1260" s="46"/>
      <c r="B1260" s="47"/>
      <c r="C1260" s="127"/>
      <c r="D1260" s="127"/>
      <c r="E1260" s="127"/>
      <c r="F1260" s="127"/>
      <c r="G1260" s="127"/>
      <c r="H1260" s="127"/>
      <c r="I1260" s="127"/>
      <c r="J1260" s="127"/>
      <c r="K1260" s="127"/>
      <c r="L1260" s="127"/>
      <c r="M1260" s="127"/>
      <c r="RG1260" s="6"/>
      <c r="RH1260" s="6"/>
      <c r="RI1260" s="6"/>
      <c r="RJ1260" s="6"/>
      <c r="RK1260" s="6"/>
      <c r="RL1260" s="45"/>
      <c r="RM1260" s="4"/>
      <c r="RN1260" s="4"/>
      <c r="RO1260" s="4"/>
      <c r="RP1260" s="6"/>
    </row>
    <row r="1261" spans="1:484" x14ac:dyDescent="0.25">
      <c r="A1261" s="46"/>
      <c r="B1261" s="47"/>
      <c r="C1261" s="127"/>
      <c r="D1261" s="127"/>
      <c r="E1261" s="127"/>
      <c r="F1261" s="127"/>
      <c r="G1261" s="127"/>
      <c r="H1261" s="127"/>
      <c r="I1261" s="127"/>
      <c r="J1261" s="127"/>
      <c r="K1261" s="127"/>
      <c r="L1261" s="127"/>
      <c r="M1261" s="127"/>
      <c r="RG1261" s="6"/>
      <c r="RH1261" s="6"/>
      <c r="RI1261" s="6"/>
      <c r="RJ1261" s="6"/>
      <c r="RK1261" s="6"/>
      <c r="RL1261" s="45"/>
      <c r="RM1261" s="4"/>
      <c r="RN1261" s="4"/>
      <c r="RO1261" s="4"/>
      <c r="RP1261" s="6"/>
    </row>
    <row r="1262" spans="1:484" x14ac:dyDescent="0.25">
      <c r="A1262" s="46"/>
      <c r="B1262" s="47"/>
      <c r="C1262" s="127"/>
      <c r="D1262" s="127"/>
      <c r="E1262" s="127"/>
      <c r="F1262" s="127"/>
      <c r="G1262" s="127"/>
      <c r="H1262" s="127"/>
      <c r="I1262" s="127"/>
      <c r="J1262" s="127"/>
      <c r="K1262" s="127"/>
      <c r="L1262" s="127"/>
      <c r="M1262" s="127"/>
      <c r="RG1262" s="6"/>
      <c r="RH1262" s="6"/>
      <c r="RI1262" s="6"/>
      <c r="RJ1262" s="6"/>
      <c r="RK1262" s="6"/>
      <c r="RL1262" s="45"/>
      <c r="RM1262" s="4"/>
      <c r="RN1262" s="4"/>
      <c r="RO1262" s="4"/>
      <c r="RP1262" s="6"/>
    </row>
    <row r="1263" spans="1:484" x14ac:dyDescent="0.25">
      <c r="A1263" s="46"/>
      <c r="B1263" s="47"/>
      <c r="C1263" s="127"/>
      <c r="D1263" s="127"/>
      <c r="E1263" s="127"/>
      <c r="F1263" s="127"/>
      <c r="G1263" s="127"/>
      <c r="H1263" s="127"/>
      <c r="I1263" s="127"/>
      <c r="J1263" s="127"/>
      <c r="K1263" s="127"/>
      <c r="L1263" s="127"/>
      <c r="M1263" s="127"/>
      <c r="RG1263" s="6"/>
      <c r="RH1263" s="6"/>
      <c r="RI1263" s="6"/>
      <c r="RJ1263" s="6"/>
      <c r="RK1263" s="6"/>
      <c r="RL1263" s="45"/>
      <c r="RM1263" s="4"/>
      <c r="RN1263" s="4"/>
      <c r="RO1263" s="4"/>
      <c r="RP1263" s="6"/>
    </row>
    <row r="1264" spans="1:484" x14ac:dyDescent="0.25">
      <c r="A1264" s="46"/>
      <c r="B1264" s="47"/>
      <c r="C1264" s="127"/>
      <c r="D1264" s="127"/>
      <c r="E1264" s="127"/>
      <c r="F1264" s="127"/>
      <c r="G1264" s="127"/>
      <c r="H1264" s="127"/>
      <c r="I1264" s="127"/>
      <c r="J1264" s="127"/>
      <c r="K1264" s="127"/>
      <c r="L1264" s="127"/>
      <c r="M1264" s="127"/>
      <c r="RG1264" s="6"/>
      <c r="RH1264" s="6"/>
      <c r="RI1264" s="6"/>
      <c r="RJ1264" s="6"/>
      <c r="RK1264" s="6"/>
      <c r="RL1264" s="45"/>
      <c r="RM1264" s="4"/>
      <c r="RN1264" s="4"/>
      <c r="RO1264" s="4"/>
      <c r="RP1264" s="6"/>
    </row>
    <row r="1265" spans="1:484" x14ac:dyDescent="0.25">
      <c r="A1265" s="46"/>
      <c r="B1265" s="47"/>
      <c r="C1265" s="127"/>
      <c r="D1265" s="127"/>
      <c r="E1265" s="127"/>
      <c r="F1265" s="127"/>
      <c r="G1265" s="127"/>
      <c r="H1265" s="127"/>
      <c r="I1265" s="127"/>
      <c r="J1265" s="127"/>
      <c r="K1265" s="127"/>
      <c r="L1265" s="127"/>
      <c r="M1265" s="127"/>
      <c r="RG1265" s="6"/>
      <c r="RH1265" s="6"/>
      <c r="RI1265" s="6"/>
      <c r="RJ1265" s="6"/>
      <c r="RK1265" s="6"/>
      <c r="RL1265" s="45"/>
      <c r="RM1265" s="4"/>
      <c r="RN1265" s="4"/>
      <c r="RO1265" s="4"/>
      <c r="RP1265" s="6"/>
    </row>
    <row r="1266" spans="1:484" x14ac:dyDescent="0.25">
      <c r="A1266" s="46"/>
      <c r="B1266" s="47"/>
      <c r="C1266" s="127"/>
      <c r="D1266" s="127"/>
      <c r="E1266" s="127"/>
      <c r="F1266" s="127"/>
      <c r="G1266" s="127"/>
      <c r="H1266" s="127"/>
      <c r="I1266" s="127"/>
      <c r="J1266" s="127"/>
      <c r="K1266" s="127"/>
      <c r="L1266" s="127"/>
      <c r="M1266" s="127"/>
      <c r="RG1266" s="6"/>
      <c r="RH1266" s="6"/>
      <c r="RI1266" s="6"/>
      <c r="RJ1266" s="6"/>
      <c r="RK1266" s="6"/>
      <c r="RL1266" s="45"/>
      <c r="RM1266" s="4"/>
      <c r="RN1266" s="4"/>
      <c r="RO1266" s="4"/>
      <c r="RP1266" s="6"/>
    </row>
    <row r="1267" spans="1:484" x14ac:dyDescent="0.25">
      <c r="A1267" s="46"/>
      <c r="B1267" s="47"/>
      <c r="C1267" s="127"/>
      <c r="D1267" s="127"/>
      <c r="E1267" s="127"/>
      <c r="F1267" s="127"/>
      <c r="G1267" s="127"/>
      <c r="H1267" s="127"/>
      <c r="I1267" s="127"/>
      <c r="J1267" s="127"/>
      <c r="K1267" s="127"/>
      <c r="L1267" s="127"/>
      <c r="M1267" s="127"/>
      <c r="RG1267" s="6"/>
      <c r="RH1267" s="6"/>
      <c r="RI1267" s="6"/>
      <c r="RJ1267" s="6"/>
      <c r="RK1267" s="6"/>
      <c r="RL1267" s="45"/>
      <c r="RM1267" s="4"/>
      <c r="RN1267" s="4"/>
      <c r="RO1267" s="4"/>
      <c r="RP1267" s="6"/>
    </row>
    <row r="1268" spans="1:484" x14ac:dyDescent="0.25">
      <c r="A1268" s="46"/>
      <c r="B1268" s="47"/>
      <c r="C1268" s="127"/>
      <c r="D1268" s="127"/>
      <c r="E1268" s="127"/>
      <c r="F1268" s="127"/>
      <c r="G1268" s="127"/>
      <c r="H1268" s="127"/>
      <c r="I1268" s="127"/>
      <c r="J1268" s="127"/>
      <c r="K1268" s="127"/>
      <c r="L1268" s="127"/>
      <c r="M1268" s="127"/>
      <c r="RG1268" s="6"/>
      <c r="RH1268" s="6"/>
      <c r="RI1268" s="6"/>
      <c r="RJ1268" s="6"/>
      <c r="RK1268" s="6"/>
      <c r="RL1268" s="45"/>
      <c r="RM1268" s="4"/>
      <c r="RN1268" s="4"/>
      <c r="RO1268" s="4"/>
      <c r="RP1268" s="6"/>
    </row>
    <row r="1269" spans="1:484" x14ac:dyDescent="0.25">
      <c r="A1269" s="46"/>
      <c r="B1269" s="47"/>
      <c r="C1269" s="127"/>
      <c r="D1269" s="127"/>
      <c r="E1269" s="127"/>
      <c r="F1269" s="127"/>
      <c r="G1269" s="127"/>
      <c r="H1269" s="127"/>
      <c r="I1269" s="127"/>
      <c r="J1269" s="127"/>
      <c r="K1269" s="127"/>
      <c r="L1269" s="127"/>
      <c r="M1269" s="127"/>
      <c r="RG1269" s="6"/>
      <c r="RH1269" s="6"/>
      <c r="RI1269" s="6"/>
      <c r="RJ1269" s="6"/>
      <c r="RK1269" s="6"/>
      <c r="RL1269" s="45"/>
      <c r="RM1269" s="4"/>
      <c r="RN1269" s="4"/>
      <c r="RO1269" s="4"/>
      <c r="RP1269" s="6"/>
    </row>
    <row r="1270" spans="1:484" x14ac:dyDescent="0.25">
      <c r="A1270" s="46"/>
      <c r="B1270" s="47"/>
      <c r="C1270" s="127"/>
      <c r="D1270" s="127"/>
      <c r="E1270" s="127"/>
      <c r="F1270" s="127"/>
      <c r="G1270" s="127"/>
      <c r="H1270" s="127"/>
      <c r="I1270" s="127"/>
      <c r="J1270" s="127"/>
      <c r="K1270" s="127"/>
      <c r="L1270" s="127"/>
      <c r="M1270" s="127"/>
      <c r="RG1270" s="6"/>
      <c r="RH1270" s="6"/>
      <c r="RI1270" s="6"/>
      <c r="RJ1270" s="6"/>
      <c r="RK1270" s="6"/>
      <c r="RL1270" s="45"/>
      <c r="RM1270" s="4"/>
      <c r="RN1270" s="4"/>
      <c r="RO1270" s="4"/>
      <c r="RP1270" s="6"/>
    </row>
    <row r="1271" spans="1:484" x14ac:dyDescent="0.25">
      <c r="A1271" s="46"/>
      <c r="B1271" s="47"/>
      <c r="C1271" s="127"/>
      <c r="D1271" s="127"/>
      <c r="E1271" s="127"/>
      <c r="F1271" s="127"/>
      <c r="G1271" s="127"/>
      <c r="H1271" s="127"/>
      <c r="I1271" s="127"/>
      <c r="J1271" s="127"/>
      <c r="K1271" s="127"/>
      <c r="L1271" s="127"/>
      <c r="M1271" s="127"/>
      <c r="RG1271" s="6"/>
      <c r="RH1271" s="6"/>
      <c r="RI1271" s="6"/>
      <c r="RJ1271" s="6"/>
      <c r="RK1271" s="6"/>
      <c r="RL1271" s="45"/>
      <c r="RM1271" s="4"/>
      <c r="RN1271" s="4"/>
      <c r="RO1271" s="4"/>
      <c r="RP1271" s="6"/>
    </row>
    <row r="1272" spans="1:484" x14ac:dyDescent="0.25">
      <c r="A1272" s="46"/>
      <c r="B1272" s="47"/>
      <c r="C1272" s="127"/>
      <c r="D1272" s="127"/>
      <c r="E1272" s="127"/>
      <c r="F1272" s="127"/>
      <c r="G1272" s="127"/>
      <c r="H1272" s="127"/>
      <c r="I1272" s="127"/>
      <c r="J1272" s="127"/>
      <c r="K1272" s="127"/>
      <c r="L1272" s="127"/>
      <c r="M1272" s="127"/>
      <c r="RG1272" s="6"/>
      <c r="RH1272" s="6"/>
      <c r="RI1272" s="6"/>
      <c r="RJ1272" s="6"/>
      <c r="RK1272" s="6"/>
      <c r="RL1272" s="45"/>
      <c r="RM1272" s="4"/>
      <c r="RN1272" s="4"/>
      <c r="RO1272" s="4"/>
      <c r="RP1272" s="6"/>
    </row>
    <row r="1273" spans="1:484" x14ac:dyDescent="0.25">
      <c r="A1273" s="46"/>
      <c r="B1273" s="47"/>
      <c r="C1273" s="127"/>
      <c r="D1273" s="127"/>
      <c r="E1273" s="127"/>
      <c r="F1273" s="127"/>
      <c r="G1273" s="127"/>
      <c r="H1273" s="127"/>
      <c r="I1273" s="127"/>
      <c r="J1273" s="127"/>
      <c r="K1273" s="127"/>
      <c r="L1273" s="127"/>
      <c r="M1273" s="127"/>
      <c r="RG1273" s="6"/>
      <c r="RH1273" s="6"/>
      <c r="RI1273" s="6"/>
      <c r="RJ1273" s="6"/>
      <c r="RK1273" s="6"/>
      <c r="RL1273" s="45"/>
      <c r="RM1273" s="4"/>
      <c r="RN1273" s="4"/>
      <c r="RO1273" s="4"/>
      <c r="RP1273" s="6"/>
    </row>
    <row r="1274" spans="1:484" x14ac:dyDescent="0.25">
      <c r="A1274" s="46"/>
      <c r="B1274" s="47"/>
      <c r="C1274" s="127"/>
      <c r="D1274" s="127"/>
      <c r="E1274" s="127"/>
      <c r="F1274" s="127"/>
      <c r="G1274" s="127"/>
      <c r="H1274" s="127"/>
      <c r="I1274" s="127"/>
      <c r="J1274" s="127"/>
      <c r="K1274" s="127"/>
      <c r="L1274" s="127"/>
      <c r="M1274" s="127"/>
      <c r="RG1274" s="6"/>
      <c r="RH1274" s="6"/>
      <c r="RI1274" s="6"/>
      <c r="RJ1274" s="6"/>
      <c r="RK1274" s="6"/>
      <c r="RL1274" s="45"/>
      <c r="RM1274" s="4"/>
      <c r="RN1274" s="4"/>
      <c r="RO1274" s="4"/>
      <c r="RP1274" s="6"/>
    </row>
    <row r="1275" spans="1:484" x14ac:dyDescent="0.25">
      <c r="A1275" s="46"/>
      <c r="B1275" s="47"/>
      <c r="C1275" s="127"/>
      <c r="D1275" s="127"/>
      <c r="E1275" s="127"/>
      <c r="F1275" s="127"/>
      <c r="G1275" s="127"/>
      <c r="H1275" s="127"/>
      <c r="I1275" s="127"/>
      <c r="J1275" s="127"/>
      <c r="K1275" s="127"/>
      <c r="L1275" s="127"/>
      <c r="M1275" s="127"/>
      <c r="RG1275" s="6"/>
      <c r="RH1275" s="6"/>
      <c r="RI1275" s="6"/>
      <c r="RJ1275" s="6"/>
      <c r="RK1275" s="6"/>
      <c r="RL1275" s="45"/>
      <c r="RM1275" s="4"/>
      <c r="RN1275" s="4"/>
      <c r="RO1275" s="4"/>
      <c r="RP1275" s="6"/>
    </row>
    <row r="1276" spans="1:484" x14ac:dyDescent="0.25">
      <c r="A1276" s="46"/>
      <c r="B1276" s="47"/>
      <c r="C1276" s="127"/>
      <c r="D1276" s="127"/>
      <c r="E1276" s="127"/>
      <c r="F1276" s="127"/>
      <c r="G1276" s="127"/>
      <c r="H1276" s="127"/>
      <c r="I1276" s="127"/>
      <c r="J1276" s="127"/>
      <c r="K1276" s="127"/>
      <c r="L1276" s="127"/>
      <c r="M1276" s="127"/>
      <c r="RG1276" s="6"/>
      <c r="RH1276" s="6"/>
      <c r="RI1276" s="6"/>
      <c r="RJ1276" s="6"/>
      <c r="RK1276" s="6"/>
      <c r="RL1276" s="45"/>
      <c r="RM1276" s="4"/>
      <c r="RN1276" s="4"/>
      <c r="RO1276" s="4"/>
      <c r="RP1276" s="6"/>
    </row>
    <row r="1277" spans="1:484" x14ac:dyDescent="0.25">
      <c r="A1277" s="46"/>
      <c r="B1277" s="47"/>
      <c r="C1277" s="127"/>
      <c r="D1277" s="127"/>
      <c r="E1277" s="127"/>
      <c r="F1277" s="127"/>
      <c r="G1277" s="127"/>
      <c r="H1277" s="127"/>
      <c r="I1277" s="127"/>
      <c r="J1277" s="127"/>
      <c r="K1277" s="127"/>
      <c r="L1277" s="127"/>
      <c r="M1277" s="127"/>
      <c r="RG1277" s="6"/>
      <c r="RH1277" s="6"/>
      <c r="RI1277" s="6"/>
      <c r="RJ1277" s="6"/>
      <c r="RK1277" s="6"/>
      <c r="RL1277" s="45"/>
      <c r="RM1277" s="4"/>
      <c r="RN1277" s="4"/>
      <c r="RO1277" s="4"/>
      <c r="RP1277" s="6"/>
    </row>
    <row r="1278" spans="1:484" x14ac:dyDescent="0.25">
      <c r="A1278" s="46"/>
      <c r="B1278" s="47"/>
      <c r="C1278" s="127"/>
      <c r="D1278" s="127"/>
      <c r="E1278" s="127"/>
      <c r="F1278" s="127"/>
      <c r="G1278" s="127"/>
      <c r="H1278" s="127"/>
      <c r="I1278" s="127"/>
      <c r="J1278" s="127"/>
      <c r="K1278" s="127"/>
      <c r="L1278" s="127"/>
      <c r="M1278" s="127"/>
      <c r="RG1278" s="6"/>
      <c r="RH1278" s="6"/>
      <c r="RI1278" s="6"/>
      <c r="RJ1278" s="6"/>
      <c r="RK1278" s="6"/>
      <c r="RL1278" s="45"/>
      <c r="RM1278" s="4"/>
      <c r="RN1278" s="4"/>
      <c r="RO1278" s="4"/>
      <c r="RP1278" s="6"/>
    </row>
    <row r="1279" spans="1:484" x14ac:dyDescent="0.25">
      <c r="A1279" s="46"/>
      <c r="B1279" s="47"/>
      <c r="C1279" s="127"/>
      <c r="D1279" s="127"/>
      <c r="E1279" s="127"/>
      <c r="F1279" s="127"/>
      <c r="G1279" s="127"/>
      <c r="H1279" s="127"/>
      <c r="I1279" s="127"/>
      <c r="J1279" s="127"/>
      <c r="K1279" s="127"/>
      <c r="L1279" s="127"/>
      <c r="M1279" s="127"/>
      <c r="RG1279" s="6"/>
      <c r="RH1279" s="6"/>
      <c r="RI1279" s="6"/>
      <c r="RJ1279" s="6"/>
      <c r="RK1279" s="6"/>
      <c r="RL1279" s="45"/>
      <c r="RM1279" s="4"/>
      <c r="RN1279" s="4"/>
      <c r="RO1279" s="4"/>
      <c r="RP1279" s="6"/>
    </row>
    <row r="1280" spans="1:484" x14ac:dyDescent="0.25">
      <c r="A1280" s="46"/>
      <c r="B1280" s="47"/>
      <c r="C1280" s="127"/>
      <c r="D1280" s="127"/>
      <c r="E1280" s="127"/>
      <c r="F1280" s="127"/>
      <c r="G1280" s="127"/>
      <c r="H1280" s="127"/>
      <c r="I1280" s="127"/>
      <c r="J1280" s="127"/>
      <c r="K1280" s="127"/>
      <c r="L1280" s="127"/>
      <c r="M1280" s="127"/>
      <c r="RG1280" s="6"/>
      <c r="RH1280" s="6"/>
      <c r="RI1280" s="6"/>
      <c r="RJ1280" s="6"/>
      <c r="RK1280" s="6"/>
      <c r="RL1280" s="45"/>
      <c r="RM1280" s="4"/>
      <c r="RN1280" s="4"/>
      <c r="RO1280" s="4"/>
      <c r="RP1280" s="6"/>
    </row>
    <row r="1281" spans="1:484" x14ac:dyDescent="0.25">
      <c r="A1281" s="46"/>
      <c r="B1281" s="47"/>
      <c r="C1281" s="127"/>
      <c r="D1281" s="127"/>
      <c r="E1281" s="127"/>
      <c r="F1281" s="127"/>
      <c r="G1281" s="127"/>
      <c r="H1281" s="127"/>
      <c r="I1281" s="127"/>
      <c r="J1281" s="127"/>
      <c r="K1281" s="127"/>
      <c r="L1281" s="127"/>
      <c r="M1281" s="127"/>
      <c r="RG1281" s="6"/>
      <c r="RH1281" s="6"/>
      <c r="RI1281" s="6"/>
      <c r="RJ1281" s="6"/>
      <c r="RK1281" s="6"/>
      <c r="RL1281" s="45"/>
      <c r="RM1281" s="4"/>
      <c r="RN1281" s="4"/>
      <c r="RO1281" s="4"/>
      <c r="RP1281" s="6"/>
    </row>
    <row r="1282" spans="1:484" x14ac:dyDescent="0.25">
      <c r="A1282" s="46"/>
      <c r="B1282" s="47"/>
      <c r="C1282" s="127"/>
      <c r="D1282" s="127"/>
      <c r="E1282" s="127"/>
      <c r="F1282" s="127"/>
      <c r="G1282" s="127"/>
      <c r="H1282" s="127"/>
      <c r="I1282" s="127"/>
      <c r="J1282" s="127"/>
      <c r="K1282" s="127"/>
      <c r="L1282" s="127"/>
      <c r="M1282" s="127"/>
      <c r="RG1282" s="6"/>
      <c r="RH1282" s="6"/>
      <c r="RI1282" s="6"/>
      <c r="RJ1282" s="6"/>
      <c r="RK1282" s="6"/>
      <c r="RL1282" s="45"/>
      <c r="RM1282" s="4"/>
      <c r="RN1282" s="4"/>
      <c r="RO1282" s="4"/>
      <c r="RP1282" s="6"/>
    </row>
    <row r="1283" spans="1:484" x14ac:dyDescent="0.25">
      <c r="A1283" s="46"/>
      <c r="B1283" s="47"/>
      <c r="C1283" s="127"/>
      <c r="D1283" s="127"/>
      <c r="E1283" s="127"/>
      <c r="F1283" s="127"/>
      <c r="G1283" s="127"/>
      <c r="H1283" s="127"/>
      <c r="I1283" s="127"/>
      <c r="J1283" s="127"/>
      <c r="K1283" s="127"/>
      <c r="L1283" s="127"/>
      <c r="M1283" s="127"/>
      <c r="RG1283" s="6"/>
      <c r="RH1283" s="6"/>
      <c r="RI1283" s="6"/>
      <c r="RJ1283" s="6"/>
      <c r="RK1283" s="6"/>
      <c r="RL1283" s="45"/>
      <c r="RM1283" s="4"/>
      <c r="RN1283" s="4"/>
      <c r="RO1283" s="4"/>
      <c r="RP1283" s="6"/>
    </row>
    <row r="1284" spans="1:484" x14ac:dyDescent="0.25">
      <c r="A1284" s="46"/>
      <c r="B1284" s="47"/>
      <c r="C1284" s="127"/>
      <c r="D1284" s="127"/>
      <c r="E1284" s="127"/>
      <c r="F1284" s="127"/>
      <c r="G1284" s="127"/>
      <c r="H1284" s="127"/>
      <c r="I1284" s="127"/>
      <c r="J1284" s="127"/>
      <c r="K1284" s="127"/>
      <c r="L1284" s="127"/>
      <c r="M1284" s="127"/>
      <c r="RG1284" s="6"/>
      <c r="RH1284" s="6"/>
      <c r="RI1284" s="6"/>
      <c r="RJ1284" s="6"/>
      <c r="RK1284" s="6"/>
      <c r="RL1284" s="45"/>
      <c r="RM1284" s="4"/>
      <c r="RN1284" s="4"/>
      <c r="RO1284" s="4"/>
      <c r="RP1284" s="6"/>
    </row>
    <row r="1285" spans="1:484" x14ac:dyDescent="0.25">
      <c r="A1285" s="46"/>
      <c r="B1285" s="47"/>
      <c r="C1285" s="127"/>
      <c r="D1285" s="127"/>
      <c r="E1285" s="127"/>
      <c r="F1285" s="127"/>
      <c r="G1285" s="127"/>
      <c r="H1285" s="127"/>
      <c r="I1285" s="127"/>
      <c r="J1285" s="127"/>
      <c r="K1285" s="127"/>
      <c r="L1285" s="127"/>
      <c r="M1285" s="127"/>
      <c r="RG1285" s="6"/>
      <c r="RH1285" s="6"/>
      <c r="RI1285" s="6"/>
      <c r="RJ1285" s="6"/>
      <c r="RK1285" s="6"/>
      <c r="RL1285" s="45"/>
      <c r="RM1285" s="4"/>
      <c r="RN1285" s="4"/>
      <c r="RO1285" s="4"/>
      <c r="RP1285" s="6"/>
    </row>
    <row r="1286" spans="1:484" x14ac:dyDescent="0.25">
      <c r="A1286" s="46"/>
      <c r="B1286" s="47"/>
      <c r="C1286" s="127"/>
      <c r="D1286" s="127"/>
      <c r="E1286" s="127"/>
      <c r="F1286" s="127"/>
      <c r="G1286" s="127"/>
      <c r="H1286" s="127"/>
      <c r="I1286" s="127"/>
      <c r="J1286" s="127"/>
      <c r="K1286" s="127"/>
      <c r="L1286" s="127"/>
      <c r="M1286" s="127"/>
      <c r="RG1286" s="6"/>
      <c r="RH1286" s="6"/>
      <c r="RI1286" s="6"/>
      <c r="RJ1286" s="6"/>
      <c r="RK1286" s="6"/>
      <c r="RL1286" s="45"/>
      <c r="RM1286" s="4"/>
      <c r="RN1286" s="4"/>
      <c r="RO1286" s="4"/>
      <c r="RP1286" s="6"/>
    </row>
    <row r="1287" spans="1:484" x14ac:dyDescent="0.25">
      <c r="A1287" s="46"/>
      <c r="B1287" s="47"/>
      <c r="C1287" s="127"/>
      <c r="D1287" s="127"/>
      <c r="E1287" s="127"/>
      <c r="F1287" s="127"/>
      <c r="G1287" s="127"/>
      <c r="H1287" s="127"/>
      <c r="I1287" s="127"/>
      <c r="J1287" s="127"/>
      <c r="K1287" s="127"/>
      <c r="L1287" s="127"/>
      <c r="M1287" s="127"/>
      <c r="RG1287" s="6"/>
      <c r="RH1287" s="6"/>
      <c r="RI1287" s="6"/>
      <c r="RJ1287" s="6"/>
      <c r="RK1287" s="6"/>
      <c r="RL1287" s="45"/>
      <c r="RM1287" s="4"/>
      <c r="RN1287" s="4"/>
      <c r="RO1287" s="4"/>
      <c r="RP1287" s="6"/>
    </row>
    <row r="1288" spans="1:484" x14ac:dyDescent="0.25">
      <c r="A1288" s="46"/>
      <c r="B1288" s="47"/>
      <c r="C1288" s="127"/>
      <c r="D1288" s="127"/>
      <c r="E1288" s="127"/>
      <c r="F1288" s="127"/>
      <c r="G1288" s="127"/>
      <c r="H1288" s="127"/>
      <c r="I1288" s="127"/>
      <c r="J1288" s="127"/>
      <c r="K1288" s="127"/>
      <c r="L1288" s="127"/>
      <c r="M1288" s="127"/>
      <c r="RG1288" s="6"/>
      <c r="RH1288" s="6"/>
      <c r="RI1288" s="6"/>
      <c r="RJ1288" s="6"/>
      <c r="RK1288" s="6"/>
      <c r="RL1288" s="45"/>
      <c r="RM1288" s="4"/>
      <c r="RN1288" s="4"/>
      <c r="RO1288" s="4"/>
      <c r="RP1288" s="6"/>
    </row>
    <row r="1289" spans="1:484" x14ac:dyDescent="0.25">
      <c r="A1289" s="46"/>
      <c r="B1289" s="47"/>
      <c r="C1289" s="127"/>
      <c r="D1289" s="127"/>
      <c r="E1289" s="127"/>
      <c r="F1289" s="127"/>
      <c r="G1289" s="127"/>
      <c r="H1289" s="127"/>
      <c r="I1289" s="127"/>
      <c r="J1289" s="127"/>
      <c r="K1289" s="127"/>
      <c r="L1289" s="127"/>
      <c r="M1289" s="127"/>
      <c r="RG1289" s="6"/>
      <c r="RH1289" s="6"/>
      <c r="RI1289" s="6"/>
      <c r="RJ1289" s="6"/>
      <c r="RK1289" s="6"/>
      <c r="RL1289" s="45"/>
      <c r="RM1289" s="4"/>
      <c r="RN1289" s="4"/>
      <c r="RO1289" s="4"/>
      <c r="RP1289" s="6"/>
    </row>
    <row r="1290" spans="1:484" x14ac:dyDescent="0.25">
      <c r="A1290" s="46"/>
      <c r="B1290" s="47"/>
      <c r="C1290" s="127"/>
      <c r="D1290" s="127"/>
      <c r="E1290" s="127"/>
      <c r="F1290" s="127"/>
      <c r="G1290" s="127"/>
      <c r="H1290" s="127"/>
      <c r="I1290" s="127"/>
      <c r="J1290" s="127"/>
      <c r="K1290" s="127"/>
      <c r="L1290" s="127"/>
      <c r="M1290" s="127"/>
      <c r="RG1290" s="6"/>
      <c r="RH1290" s="6"/>
      <c r="RI1290" s="6"/>
      <c r="RJ1290" s="6"/>
      <c r="RK1290" s="6"/>
      <c r="RL1290" s="45"/>
      <c r="RM1290" s="4"/>
      <c r="RN1290" s="4"/>
      <c r="RO1290" s="4"/>
      <c r="RP1290" s="6"/>
    </row>
    <row r="1291" spans="1:484" x14ac:dyDescent="0.25">
      <c r="A1291" s="46"/>
      <c r="B1291" s="47"/>
      <c r="C1291" s="127"/>
      <c r="D1291" s="127"/>
      <c r="E1291" s="127"/>
      <c r="F1291" s="127"/>
      <c r="G1291" s="127"/>
      <c r="H1291" s="127"/>
      <c r="I1291" s="127"/>
      <c r="J1291" s="127"/>
      <c r="K1291" s="127"/>
      <c r="L1291" s="127"/>
      <c r="M1291" s="127"/>
      <c r="RG1291" s="6"/>
      <c r="RH1291" s="6"/>
      <c r="RI1291" s="6"/>
      <c r="RJ1291" s="6"/>
      <c r="RK1291" s="6"/>
      <c r="RL1291" s="45"/>
      <c r="RM1291" s="4"/>
      <c r="RN1291" s="4"/>
      <c r="RO1291" s="4"/>
      <c r="RP1291" s="6"/>
    </row>
    <row r="1292" spans="1:484" x14ac:dyDescent="0.25">
      <c r="A1292" s="46"/>
      <c r="B1292" s="47"/>
      <c r="C1292" s="127"/>
      <c r="D1292" s="127"/>
      <c r="E1292" s="127"/>
      <c r="F1292" s="127"/>
      <c r="G1292" s="127"/>
      <c r="H1292" s="127"/>
      <c r="I1292" s="127"/>
      <c r="J1292" s="127"/>
      <c r="K1292" s="127"/>
      <c r="L1292" s="127"/>
      <c r="M1292" s="127"/>
      <c r="RG1292" s="6"/>
      <c r="RH1292" s="6"/>
      <c r="RI1292" s="6"/>
      <c r="RJ1292" s="6"/>
      <c r="RK1292" s="6"/>
      <c r="RL1292" s="45"/>
      <c r="RM1292" s="4"/>
      <c r="RN1292" s="4"/>
      <c r="RO1292" s="4"/>
      <c r="RP1292" s="6"/>
    </row>
    <row r="1293" spans="1:484" x14ac:dyDescent="0.25">
      <c r="A1293" s="46"/>
      <c r="B1293" s="47"/>
      <c r="C1293" s="127"/>
      <c r="D1293" s="127"/>
      <c r="E1293" s="127"/>
      <c r="F1293" s="127"/>
      <c r="G1293" s="127"/>
      <c r="H1293" s="127"/>
      <c r="I1293" s="127"/>
      <c r="J1293" s="127"/>
      <c r="K1293" s="127"/>
      <c r="L1293" s="127"/>
      <c r="M1293" s="127"/>
      <c r="RG1293" s="6"/>
      <c r="RH1293" s="6"/>
      <c r="RI1293" s="6"/>
      <c r="RJ1293" s="6"/>
      <c r="RK1293" s="6"/>
      <c r="RL1293" s="45"/>
      <c r="RM1293" s="4"/>
      <c r="RN1293" s="4"/>
      <c r="RO1293" s="4"/>
      <c r="RP1293" s="6"/>
    </row>
    <row r="1294" spans="1:484" x14ac:dyDescent="0.25">
      <c r="A1294" s="46"/>
      <c r="B1294" s="47"/>
      <c r="C1294" s="127"/>
      <c r="D1294" s="127"/>
      <c r="E1294" s="127"/>
      <c r="F1294" s="127"/>
      <c r="G1294" s="127"/>
      <c r="H1294" s="127"/>
      <c r="I1294" s="127"/>
      <c r="J1294" s="127"/>
      <c r="K1294" s="127"/>
      <c r="L1294" s="127"/>
      <c r="M1294" s="127"/>
      <c r="RG1294" s="6"/>
      <c r="RH1294" s="6"/>
      <c r="RI1294" s="6"/>
      <c r="RJ1294" s="6"/>
      <c r="RK1294" s="6"/>
      <c r="RL1294" s="45"/>
      <c r="RM1294" s="4"/>
      <c r="RN1294" s="4"/>
      <c r="RO1294" s="4"/>
      <c r="RP1294" s="6"/>
    </row>
    <row r="1295" spans="1:484" x14ac:dyDescent="0.25">
      <c r="A1295" s="46"/>
      <c r="B1295" s="47"/>
      <c r="C1295" s="127"/>
      <c r="D1295" s="127"/>
      <c r="E1295" s="127"/>
      <c r="F1295" s="127"/>
      <c r="G1295" s="127"/>
      <c r="H1295" s="127"/>
      <c r="I1295" s="127"/>
      <c r="J1295" s="127"/>
      <c r="K1295" s="127"/>
      <c r="L1295" s="127"/>
      <c r="M1295" s="127"/>
      <c r="RG1295" s="6"/>
      <c r="RH1295" s="6"/>
      <c r="RI1295" s="6"/>
      <c r="RJ1295" s="6"/>
      <c r="RK1295" s="6"/>
      <c r="RL1295" s="45"/>
      <c r="RM1295" s="4"/>
      <c r="RN1295" s="4"/>
      <c r="RO1295" s="4"/>
      <c r="RP1295" s="6"/>
    </row>
    <row r="1296" spans="1:484" x14ac:dyDescent="0.25">
      <c r="A1296" s="46"/>
      <c r="B1296" s="47"/>
      <c r="C1296" s="127"/>
      <c r="D1296" s="127"/>
      <c r="E1296" s="127"/>
      <c r="F1296" s="127"/>
      <c r="G1296" s="127"/>
      <c r="H1296" s="127"/>
      <c r="I1296" s="127"/>
      <c r="J1296" s="127"/>
      <c r="K1296" s="127"/>
      <c r="L1296" s="127"/>
      <c r="M1296" s="127"/>
      <c r="RG1296" s="6"/>
      <c r="RH1296" s="6"/>
      <c r="RI1296" s="6"/>
      <c r="RJ1296" s="6"/>
      <c r="RK1296" s="6"/>
      <c r="RL1296" s="45"/>
      <c r="RM1296" s="4"/>
      <c r="RN1296" s="4"/>
      <c r="RO1296" s="4"/>
      <c r="RP1296" s="6"/>
    </row>
    <row r="1297" spans="1:484" x14ac:dyDescent="0.25">
      <c r="A1297" s="46"/>
      <c r="B1297" s="47"/>
      <c r="C1297" s="127"/>
      <c r="D1297" s="127"/>
      <c r="E1297" s="127"/>
      <c r="F1297" s="127"/>
      <c r="G1297" s="127"/>
      <c r="H1297" s="127"/>
      <c r="I1297" s="127"/>
      <c r="J1297" s="127"/>
      <c r="K1297" s="127"/>
      <c r="L1297" s="127"/>
      <c r="M1297" s="127"/>
      <c r="RG1297" s="6"/>
      <c r="RH1297" s="6"/>
      <c r="RI1297" s="6"/>
      <c r="RJ1297" s="6"/>
      <c r="RK1297" s="6"/>
      <c r="RL1297" s="45"/>
      <c r="RM1297" s="4"/>
      <c r="RN1297" s="4"/>
      <c r="RO1297" s="4"/>
      <c r="RP1297" s="6"/>
    </row>
    <row r="1298" spans="1:484" x14ac:dyDescent="0.25">
      <c r="A1298" s="46"/>
      <c r="B1298" s="47"/>
      <c r="C1298" s="127"/>
      <c r="D1298" s="127"/>
      <c r="E1298" s="127"/>
      <c r="F1298" s="127"/>
      <c r="G1298" s="127"/>
      <c r="H1298" s="127"/>
      <c r="I1298" s="127"/>
      <c r="J1298" s="127"/>
      <c r="K1298" s="127"/>
      <c r="L1298" s="127"/>
      <c r="M1298" s="127"/>
      <c r="RG1298" s="6"/>
      <c r="RH1298" s="6"/>
      <c r="RI1298" s="6"/>
      <c r="RJ1298" s="6"/>
      <c r="RK1298" s="6"/>
      <c r="RL1298" s="45"/>
      <c r="RM1298" s="4"/>
      <c r="RN1298" s="4"/>
      <c r="RO1298" s="4"/>
      <c r="RP1298" s="6"/>
    </row>
    <row r="1299" spans="1:484" x14ac:dyDescent="0.25">
      <c r="A1299" s="46"/>
      <c r="B1299" s="47"/>
      <c r="C1299" s="127"/>
      <c r="D1299" s="127"/>
      <c r="E1299" s="127"/>
      <c r="F1299" s="127"/>
      <c r="G1299" s="127"/>
      <c r="H1299" s="127"/>
      <c r="I1299" s="127"/>
      <c r="J1299" s="127"/>
      <c r="K1299" s="127"/>
      <c r="L1299" s="127"/>
      <c r="M1299" s="127"/>
      <c r="RG1299" s="6"/>
      <c r="RH1299" s="6"/>
      <c r="RI1299" s="6"/>
      <c r="RJ1299" s="6"/>
      <c r="RK1299" s="6"/>
      <c r="RL1299" s="45"/>
      <c r="RM1299" s="4"/>
      <c r="RN1299" s="4"/>
      <c r="RO1299" s="4"/>
      <c r="RP1299" s="6"/>
    </row>
    <row r="1300" spans="1:484" x14ac:dyDescent="0.25">
      <c r="A1300" s="46"/>
      <c r="B1300" s="47"/>
      <c r="C1300" s="127"/>
      <c r="D1300" s="127"/>
      <c r="E1300" s="127"/>
      <c r="F1300" s="127"/>
      <c r="G1300" s="127"/>
      <c r="H1300" s="127"/>
      <c r="I1300" s="127"/>
      <c r="J1300" s="127"/>
      <c r="K1300" s="127"/>
      <c r="L1300" s="127"/>
      <c r="M1300" s="127"/>
      <c r="RG1300" s="6"/>
      <c r="RH1300" s="6"/>
      <c r="RI1300" s="6"/>
      <c r="RJ1300" s="6"/>
      <c r="RK1300" s="6"/>
      <c r="RL1300" s="45"/>
      <c r="RM1300" s="4"/>
      <c r="RN1300" s="4"/>
      <c r="RO1300" s="4"/>
      <c r="RP1300" s="6"/>
    </row>
    <row r="1301" spans="1:484" x14ac:dyDescent="0.25">
      <c r="A1301" s="46"/>
      <c r="B1301" s="47"/>
      <c r="C1301" s="127"/>
      <c r="D1301" s="127"/>
      <c r="E1301" s="127"/>
      <c r="F1301" s="127"/>
      <c r="G1301" s="127"/>
      <c r="H1301" s="127"/>
      <c r="I1301" s="127"/>
      <c r="J1301" s="127"/>
      <c r="K1301" s="127"/>
      <c r="L1301" s="127"/>
      <c r="M1301" s="127"/>
      <c r="RG1301" s="6"/>
      <c r="RH1301" s="6"/>
      <c r="RI1301" s="6"/>
      <c r="RJ1301" s="6"/>
      <c r="RK1301" s="6"/>
      <c r="RL1301" s="45"/>
      <c r="RM1301" s="4"/>
      <c r="RN1301" s="4"/>
      <c r="RO1301" s="4"/>
      <c r="RP1301" s="6"/>
    </row>
    <row r="1302" spans="1:484" x14ac:dyDescent="0.25">
      <c r="A1302" s="46"/>
      <c r="B1302" s="47"/>
      <c r="C1302" s="127"/>
      <c r="D1302" s="127"/>
      <c r="E1302" s="127"/>
      <c r="F1302" s="127"/>
      <c r="G1302" s="127"/>
      <c r="H1302" s="127"/>
      <c r="I1302" s="127"/>
      <c r="J1302" s="127"/>
      <c r="K1302" s="127"/>
      <c r="L1302" s="127"/>
      <c r="M1302" s="127"/>
      <c r="RG1302" s="6"/>
      <c r="RH1302" s="6"/>
      <c r="RI1302" s="6"/>
      <c r="RJ1302" s="6"/>
      <c r="RK1302" s="6"/>
      <c r="RL1302" s="45"/>
      <c r="RM1302" s="4"/>
      <c r="RN1302" s="4"/>
      <c r="RO1302" s="4"/>
      <c r="RP1302" s="6"/>
    </row>
    <row r="1303" spans="1:484" x14ac:dyDescent="0.25">
      <c r="A1303" s="46"/>
      <c r="B1303" s="47"/>
      <c r="C1303" s="127"/>
      <c r="D1303" s="127"/>
      <c r="E1303" s="127"/>
      <c r="F1303" s="127"/>
      <c r="G1303" s="127"/>
      <c r="H1303" s="127"/>
      <c r="I1303" s="127"/>
      <c r="J1303" s="127"/>
      <c r="K1303" s="127"/>
      <c r="L1303" s="127"/>
      <c r="M1303" s="127"/>
      <c r="RG1303" s="6"/>
      <c r="RH1303" s="6"/>
      <c r="RI1303" s="6"/>
      <c r="RJ1303" s="6"/>
      <c r="RK1303" s="6"/>
      <c r="RL1303" s="45"/>
      <c r="RM1303" s="4"/>
      <c r="RN1303" s="4"/>
      <c r="RO1303" s="4"/>
      <c r="RP1303" s="6"/>
    </row>
    <row r="1304" spans="1:484" x14ac:dyDescent="0.25">
      <c r="A1304" s="46"/>
      <c r="B1304" s="47"/>
      <c r="C1304" s="127"/>
      <c r="D1304" s="127"/>
      <c r="E1304" s="127"/>
      <c r="F1304" s="127"/>
      <c r="G1304" s="127"/>
      <c r="H1304" s="127"/>
      <c r="I1304" s="127"/>
      <c r="J1304" s="127"/>
      <c r="K1304" s="127"/>
      <c r="L1304" s="127"/>
      <c r="M1304" s="127"/>
      <c r="RG1304" s="6"/>
      <c r="RH1304" s="6"/>
      <c r="RI1304" s="6"/>
      <c r="RJ1304" s="6"/>
      <c r="RK1304" s="6"/>
      <c r="RL1304" s="45"/>
      <c r="RM1304" s="4"/>
      <c r="RN1304" s="4"/>
      <c r="RO1304" s="4"/>
      <c r="RP1304" s="6"/>
    </row>
    <row r="1305" spans="1:484" x14ac:dyDescent="0.25">
      <c r="A1305" s="46"/>
      <c r="B1305" s="47"/>
      <c r="C1305" s="127"/>
      <c r="D1305" s="127"/>
      <c r="E1305" s="127"/>
      <c r="F1305" s="127"/>
      <c r="G1305" s="127"/>
      <c r="H1305" s="127"/>
      <c r="I1305" s="127"/>
      <c r="J1305" s="127"/>
      <c r="K1305" s="127"/>
      <c r="L1305" s="127"/>
      <c r="M1305" s="127"/>
      <c r="RG1305" s="6"/>
      <c r="RH1305" s="6"/>
      <c r="RI1305" s="6"/>
      <c r="RJ1305" s="6"/>
      <c r="RK1305" s="6"/>
      <c r="RL1305" s="45"/>
      <c r="RM1305" s="4"/>
      <c r="RN1305" s="4"/>
      <c r="RO1305" s="4"/>
      <c r="RP1305" s="6"/>
    </row>
    <row r="1306" spans="1:484" x14ac:dyDescent="0.25">
      <c r="A1306" s="46"/>
      <c r="B1306" s="47"/>
      <c r="C1306" s="127"/>
      <c r="D1306" s="127"/>
      <c r="E1306" s="127"/>
      <c r="F1306" s="127"/>
      <c r="G1306" s="127"/>
      <c r="H1306" s="127"/>
      <c r="I1306" s="127"/>
      <c r="J1306" s="127"/>
      <c r="K1306" s="127"/>
      <c r="L1306" s="127"/>
      <c r="M1306" s="127"/>
      <c r="RG1306" s="6"/>
      <c r="RH1306" s="6"/>
      <c r="RI1306" s="6"/>
      <c r="RJ1306" s="6"/>
      <c r="RK1306" s="6"/>
      <c r="RL1306" s="45"/>
      <c r="RM1306" s="4"/>
      <c r="RN1306" s="4"/>
      <c r="RO1306" s="4"/>
      <c r="RP1306" s="6"/>
    </row>
    <row r="1307" spans="1:484" x14ac:dyDescent="0.25">
      <c r="A1307" s="46"/>
      <c r="B1307" s="47"/>
      <c r="C1307" s="127"/>
      <c r="D1307" s="127"/>
      <c r="E1307" s="127"/>
      <c r="F1307" s="127"/>
      <c r="G1307" s="127"/>
      <c r="H1307" s="127"/>
      <c r="I1307" s="127"/>
      <c r="J1307" s="127"/>
      <c r="K1307" s="127"/>
      <c r="L1307" s="127"/>
      <c r="M1307" s="127"/>
      <c r="RG1307" s="6"/>
      <c r="RH1307" s="6"/>
      <c r="RI1307" s="6"/>
      <c r="RJ1307" s="6"/>
      <c r="RK1307" s="6"/>
      <c r="RL1307" s="45"/>
      <c r="RM1307" s="4"/>
      <c r="RN1307" s="4"/>
      <c r="RO1307" s="4"/>
      <c r="RP1307" s="6"/>
    </row>
    <row r="1308" spans="1:484" x14ac:dyDescent="0.25">
      <c r="A1308" s="46"/>
      <c r="B1308" s="47"/>
      <c r="C1308" s="127"/>
      <c r="D1308" s="127"/>
      <c r="E1308" s="127"/>
      <c r="F1308" s="127"/>
      <c r="G1308" s="127"/>
      <c r="H1308" s="127"/>
      <c r="I1308" s="127"/>
      <c r="J1308" s="127"/>
      <c r="K1308" s="127"/>
      <c r="L1308" s="127"/>
      <c r="M1308" s="127"/>
      <c r="RG1308" s="6"/>
      <c r="RH1308" s="6"/>
      <c r="RI1308" s="6"/>
      <c r="RJ1308" s="6"/>
      <c r="RK1308" s="6"/>
      <c r="RL1308" s="45"/>
      <c r="RM1308" s="4"/>
      <c r="RN1308" s="4"/>
      <c r="RO1308" s="4"/>
      <c r="RP1308" s="6"/>
    </row>
    <row r="1309" spans="1:484" x14ac:dyDescent="0.25">
      <c r="A1309" s="46"/>
      <c r="B1309" s="47"/>
      <c r="C1309" s="127"/>
      <c r="D1309" s="127"/>
      <c r="E1309" s="127"/>
      <c r="F1309" s="127"/>
      <c r="G1309" s="127"/>
      <c r="H1309" s="127"/>
      <c r="I1309" s="127"/>
      <c r="J1309" s="127"/>
      <c r="K1309" s="127"/>
      <c r="L1309" s="127"/>
      <c r="M1309" s="127"/>
      <c r="RG1309" s="6"/>
      <c r="RH1309" s="6"/>
      <c r="RI1309" s="6"/>
      <c r="RJ1309" s="6"/>
      <c r="RK1309" s="6"/>
      <c r="RL1309" s="45"/>
      <c r="RM1309" s="4"/>
      <c r="RN1309" s="4"/>
      <c r="RO1309" s="4"/>
      <c r="RP1309" s="6"/>
    </row>
    <row r="1310" spans="1:484" x14ac:dyDescent="0.25">
      <c r="A1310" s="46"/>
      <c r="B1310" s="47"/>
      <c r="C1310" s="127"/>
      <c r="D1310" s="127"/>
      <c r="E1310" s="127"/>
      <c r="F1310" s="127"/>
      <c r="G1310" s="127"/>
      <c r="H1310" s="127"/>
      <c r="I1310" s="127"/>
      <c r="J1310" s="127"/>
      <c r="K1310" s="127"/>
      <c r="L1310" s="127"/>
      <c r="M1310" s="127"/>
      <c r="RG1310" s="6"/>
      <c r="RH1310" s="6"/>
      <c r="RI1310" s="6"/>
      <c r="RJ1310" s="6"/>
      <c r="RK1310" s="6"/>
      <c r="RL1310" s="45"/>
      <c r="RM1310" s="4"/>
      <c r="RN1310" s="4"/>
      <c r="RO1310" s="4"/>
      <c r="RP1310" s="6"/>
    </row>
    <row r="1311" spans="1:484" x14ac:dyDescent="0.25">
      <c r="A1311" s="46"/>
      <c r="B1311" s="47"/>
      <c r="C1311" s="127"/>
      <c r="D1311" s="127"/>
      <c r="E1311" s="127"/>
      <c r="F1311" s="127"/>
      <c r="G1311" s="127"/>
      <c r="H1311" s="127"/>
      <c r="I1311" s="127"/>
      <c r="J1311" s="127"/>
      <c r="K1311" s="127"/>
      <c r="L1311" s="127"/>
      <c r="M1311" s="127"/>
      <c r="RG1311" s="6"/>
      <c r="RH1311" s="6"/>
      <c r="RI1311" s="6"/>
      <c r="RJ1311" s="6"/>
      <c r="RK1311" s="6"/>
      <c r="RL1311" s="45"/>
      <c r="RM1311" s="4"/>
      <c r="RN1311" s="4"/>
      <c r="RO1311" s="4"/>
      <c r="RP1311" s="6"/>
    </row>
    <row r="1312" spans="1:484" x14ac:dyDescent="0.25">
      <c r="A1312" s="46"/>
      <c r="B1312" s="47"/>
      <c r="C1312" s="127"/>
      <c r="D1312" s="127"/>
      <c r="E1312" s="127"/>
      <c r="F1312" s="127"/>
      <c r="G1312" s="127"/>
      <c r="H1312" s="127"/>
      <c r="I1312" s="127"/>
      <c r="J1312" s="127"/>
      <c r="K1312" s="127"/>
      <c r="L1312" s="127"/>
      <c r="M1312" s="127"/>
      <c r="RG1312" s="6"/>
      <c r="RH1312" s="6"/>
      <c r="RI1312" s="6"/>
      <c r="RJ1312" s="6"/>
      <c r="RK1312" s="6"/>
      <c r="RL1312" s="45"/>
      <c r="RM1312" s="4"/>
      <c r="RN1312" s="4"/>
      <c r="RO1312" s="4"/>
      <c r="RP1312" s="6"/>
    </row>
    <row r="1313" spans="1:484" x14ac:dyDescent="0.25">
      <c r="A1313" s="46"/>
      <c r="B1313" s="47"/>
      <c r="C1313" s="127"/>
      <c r="D1313" s="127"/>
      <c r="E1313" s="127"/>
      <c r="F1313" s="127"/>
      <c r="G1313" s="127"/>
      <c r="H1313" s="127"/>
      <c r="I1313" s="127"/>
      <c r="J1313" s="127"/>
      <c r="K1313" s="127"/>
      <c r="L1313" s="127"/>
      <c r="M1313" s="127"/>
      <c r="RG1313" s="6"/>
      <c r="RH1313" s="6"/>
      <c r="RI1313" s="6"/>
      <c r="RJ1313" s="6"/>
      <c r="RK1313" s="6"/>
      <c r="RL1313" s="45"/>
      <c r="RM1313" s="4"/>
      <c r="RN1313" s="4"/>
      <c r="RO1313" s="4"/>
      <c r="RP1313" s="6"/>
    </row>
    <row r="1314" spans="1:484" x14ac:dyDescent="0.25">
      <c r="A1314" s="46"/>
      <c r="B1314" s="47"/>
      <c r="C1314" s="127"/>
      <c r="D1314" s="127"/>
      <c r="E1314" s="127"/>
      <c r="F1314" s="127"/>
      <c r="G1314" s="127"/>
      <c r="H1314" s="127"/>
      <c r="I1314" s="127"/>
      <c r="J1314" s="127"/>
      <c r="K1314" s="127"/>
      <c r="L1314" s="127"/>
      <c r="M1314" s="127"/>
      <c r="RG1314" s="6"/>
      <c r="RH1314" s="6"/>
      <c r="RI1314" s="6"/>
      <c r="RJ1314" s="6"/>
      <c r="RK1314" s="6"/>
      <c r="RL1314" s="45"/>
      <c r="RM1314" s="4"/>
      <c r="RN1314" s="4"/>
      <c r="RO1314" s="4"/>
      <c r="RP1314" s="6"/>
    </row>
    <row r="1315" spans="1:484" x14ac:dyDescent="0.25">
      <c r="A1315" s="46"/>
      <c r="B1315" s="47"/>
      <c r="C1315" s="127"/>
      <c r="D1315" s="127"/>
      <c r="E1315" s="127"/>
      <c r="F1315" s="127"/>
      <c r="G1315" s="127"/>
      <c r="H1315" s="127"/>
      <c r="I1315" s="127"/>
      <c r="J1315" s="127"/>
      <c r="K1315" s="127"/>
      <c r="L1315" s="127"/>
      <c r="M1315" s="127"/>
      <c r="RG1315" s="6"/>
      <c r="RH1315" s="6"/>
      <c r="RI1315" s="6"/>
      <c r="RJ1315" s="6"/>
      <c r="RK1315" s="6"/>
      <c r="RL1315" s="45"/>
      <c r="RM1315" s="4"/>
      <c r="RN1315" s="4"/>
      <c r="RO1315" s="4"/>
      <c r="RP1315" s="6"/>
    </row>
    <row r="1316" spans="1:484" x14ac:dyDescent="0.25">
      <c r="A1316" s="46"/>
      <c r="B1316" s="47"/>
      <c r="C1316" s="127"/>
      <c r="D1316" s="127"/>
      <c r="E1316" s="127"/>
      <c r="F1316" s="127"/>
      <c r="G1316" s="127"/>
      <c r="H1316" s="127"/>
      <c r="I1316" s="127"/>
      <c r="J1316" s="127"/>
      <c r="K1316" s="127"/>
      <c r="L1316" s="127"/>
      <c r="M1316" s="127"/>
      <c r="RG1316" s="6"/>
      <c r="RH1316" s="6"/>
      <c r="RI1316" s="6"/>
      <c r="RJ1316" s="6"/>
      <c r="RK1316" s="6"/>
      <c r="RL1316" s="45"/>
      <c r="RM1316" s="4"/>
      <c r="RN1316" s="4"/>
      <c r="RO1316" s="4"/>
      <c r="RP1316" s="6"/>
    </row>
    <row r="1317" spans="1:484" x14ac:dyDescent="0.25">
      <c r="A1317" s="46"/>
      <c r="B1317" s="47"/>
      <c r="C1317" s="127"/>
      <c r="D1317" s="127"/>
      <c r="E1317" s="127"/>
      <c r="F1317" s="127"/>
      <c r="G1317" s="127"/>
      <c r="H1317" s="127"/>
      <c r="I1317" s="127"/>
      <c r="J1317" s="127"/>
      <c r="K1317" s="127"/>
      <c r="L1317" s="127"/>
      <c r="M1317" s="127"/>
      <c r="RG1317" s="6"/>
      <c r="RH1317" s="6"/>
      <c r="RI1317" s="6"/>
      <c r="RJ1317" s="6"/>
      <c r="RK1317" s="6"/>
      <c r="RL1317" s="45"/>
      <c r="RM1317" s="4"/>
      <c r="RN1317" s="4"/>
      <c r="RO1317" s="4"/>
      <c r="RP1317" s="6"/>
    </row>
    <row r="1318" spans="1:484" x14ac:dyDescent="0.25">
      <c r="A1318" s="46"/>
      <c r="B1318" s="47"/>
      <c r="C1318" s="127"/>
      <c r="D1318" s="127"/>
      <c r="E1318" s="127"/>
      <c r="F1318" s="127"/>
      <c r="G1318" s="127"/>
      <c r="H1318" s="127"/>
      <c r="I1318" s="127"/>
      <c r="J1318" s="127"/>
      <c r="K1318" s="127"/>
      <c r="L1318" s="127"/>
      <c r="M1318" s="127"/>
      <c r="RG1318" s="6"/>
      <c r="RH1318" s="6"/>
      <c r="RI1318" s="6"/>
      <c r="RJ1318" s="6"/>
      <c r="RK1318" s="6"/>
      <c r="RL1318" s="45"/>
      <c r="RM1318" s="4"/>
      <c r="RN1318" s="4"/>
      <c r="RO1318" s="4"/>
      <c r="RP1318" s="6"/>
    </row>
    <row r="1319" spans="1:484" x14ac:dyDescent="0.25">
      <c r="A1319" s="46"/>
      <c r="B1319" s="47"/>
      <c r="C1319" s="127"/>
      <c r="D1319" s="127"/>
      <c r="E1319" s="127"/>
      <c r="F1319" s="127"/>
      <c r="G1319" s="127"/>
      <c r="H1319" s="127"/>
      <c r="I1319" s="127"/>
      <c r="J1319" s="127"/>
      <c r="K1319" s="127"/>
      <c r="L1319" s="127"/>
      <c r="M1319" s="127"/>
      <c r="RG1319" s="6"/>
      <c r="RH1319" s="6"/>
      <c r="RI1319" s="6"/>
      <c r="RJ1319" s="6"/>
      <c r="RK1319" s="6"/>
      <c r="RL1319" s="45"/>
      <c r="RM1319" s="4"/>
      <c r="RN1319" s="4"/>
      <c r="RO1319" s="4"/>
      <c r="RP1319" s="6"/>
    </row>
    <row r="1320" spans="1:484" x14ac:dyDescent="0.25">
      <c r="A1320" s="46"/>
      <c r="B1320" s="47"/>
      <c r="C1320" s="127"/>
      <c r="D1320" s="127"/>
      <c r="E1320" s="127"/>
      <c r="F1320" s="127"/>
      <c r="G1320" s="127"/>
      <c r="H1320" s="127"/>
      <c r="I1320" s="127"/>
      <c r="J1320" s="127"/>
      <c r="K1320" s="127"/>
      <c r="L1320" s="127"/>
      <c r="M1320" s="127"/>
      <c r="RG1320" s="6"/>
      <c r="RH1320" s="6"/>
      <c r="RI1320" s="6"/>
      <c r="RJ1320" s="6"/>
      <c r="RK1320" s="6"/>
      <c r="RL1320" s="45"/>
      <c r="RM1320" s="4"/>
      <c r="RN1320" s="4"/>
      <c r="RO1320" s="4"/>
      <c r="RP1320" s="6"/>
    </row>
    <row r="1321" spans="1:484" x14ac:dyDescent="0.25">
      <c r="A1321" s="46"/>
      <c r="B1321" s="47"/>
      <c r="C1321" s="127"/>
      <c r="D1321" s="127"/>
      <c r="E1321" s="127"/>
      <c r="F1321" s="127"/>
      <c r="G1321" s="127"/>
      <c r="H1321" s="127"/>
      <c r="I1321" s="127"/>
      <c r="J1321" s="127"/>
      <c r="K1321" s="127"/>
      <c r="L1321" s="127"/>
      <c r="M1321" s="127"/>
      <c r="RG1321" s="6"/>
      <c r="RH1321" s="6"/>
      <c r="RI1321" s="6"/>
      <c r="RJ1321" s="6"/>
      <c r="RK1321" s="6"/>
      <c r="RL1321" s="45"/>
      <c r="RM1321" s="4"/>
      <c r="RN1321" s="4"/>
      <c r="RO1321" s="4"/>
      <c r="RP1321" s="6"/>
    </row>
    <row r="1322" spans="1:484" x14ac:dyDescent="0.25">
      <c r="A1322" s="46"/>
      <c r="B1322" s="47"/>
      <c r="C1322" s="127"/>
      <c r="D1322" s="127"/>
      <c r="E1322" s="127"/>
      <c r="F1322" s="127"/>
      <c r="G1322" s="127"/>
      <c r="H1322" s="127"/>
      <c r="I1322" s="127"/>
      <c r="J1322" s="127"/>
      <c r="K1322" s="127"/>
      <c r="L1322" s="127"/>
      <c r="M1322" s="127"/>
      <c r="RG1322" s="6"/>
      <c r="RH1322" s="6"/>
      <c r="RI1322" s="6"/>
      <c r="RJ1322" s="6"/>
      <c r="RK1322" s="6"/>
      <c r="RL1322" s="45"/>
      <c r="RM1322" s="4"/>
      <c r="RN1322" s="4"/>
      <c r="RO1322" s="4"/>
      <c r="RP1322" s="6"/>
    </row>
    <row r="1323" spans="1:484" x14ac:dyDescent="0.25">
      <c r="A1323" s="46"/>
      <c r="B1323" s="47"/>
      <c r="C1323" s="127"/>
      <c r="D1323" s="127"/>
      <c r="E1323" s="127"/>
      <c r="F1323" s="127"/>
      <c r="G1323" s="127"/>
      <c r="H1323" s="127"/>
      <c r="I1323" s="127"/>
      <c r="J1323" s="127"/>
      <c r="K1323" s="127"/>
      <c r="L1323" s="127"/>
      <c r="M1323" s="127"/>
      <c r="RG1323" s="6"/>
      <c r="RH1323" s="6"/>
      <c r="RI1323" s="6"/>
      <c r="RJ1323" s="6"/>
      <c r="RK1323" s="6"/>
      <c r="RL1323" s="45"/>
      <c r="RM1323" s="4"/>
      <c r="RN1323" s="4"/>
      <c r="RO1323" s="4"/>
      <c r="RP1323" s="6"/>
    </row>
    <row r="1324" spans="1:484" x14ac:dyDescent="0.25">
      <c r="A1324" s="46"/>
      <c r="B1324" s="47"/>
      <c r="C1324" s="127"/>
      <c r="D1324" s="127"/>
      <c r="E1324" s="127"/>
      <c r="F1324" s="127"/>
      <c r="G1324" s="127"/>
      <c r="H1324" s="127"/>
      <c r="I1324" s="127"/>
      <c r="J1324" s="127"/>
      <c r="K1324" s="127"/>
      <c r="L1324" s="127"/>
      <c r="M1324" s="127"/>
      <c r="RG1324" s="6"/>
      <c r="RH1324" s="6"/>
      <c r="RI1324" s="6"/>
      <c r="RJ1324" s="6"/>
      <c r="RK1324" s="6"/>
      <c r="RL1324" s="45"/>
      <c r="RM1324" s="4"/>
      <c r="RN1324" s="4"/>
      <c r="RO1324" s="4"/>
      <c r="RP1324" s="6"/>
    </row>
    <row r="1325" spans="1:484" x14ac:dyDescent="0.25">
      <c r="A1325" s="46"/>
      <c r="B1325" s="47"/>
      <c r="C1325" s="127"/>
      <c r="D1325" s="127"/>
      <c r="E1325" s="127"/>
      <c r="F1325" s="127"/>
      <c r="G1325" s="127"/>
      <c r="H1325" s="127"/>
      <c r="I1325" s="127"/>
      <c r="J1325" s="127"/>
      <c r="K1325" s="127"/>
      <c r="L1325" s="127"/>
      <c r="M1325" s="127"/>
      <c r="RG1325" s="6"/>
      <c r="RH1325" s="6"/>
      <c r="RI1325" s="6"/>
      <c r="RJ1325" s="6"/>
      <c r="RK1325" s="6"/>
      <c r="RL1325" s="45"/>
      <c r="RM1325" s="4"/>
      <c r="RN1325" s="4"/>
      <c r="RO1325" s="4"/>
      <c r="RP1325" s="6"/>
    </row>
    <row r="1326" spans="1:484" x14ac:dyDescent="0.25">
      <c r="A1326" s="46"/>
      <c r="B1326" s="47"/>
      <c r="C1326" s="127"/>
      <c r="D1326" s="127"/>
      <c r="E1326" s="127"/>
      <c r="F1326" s="127"/>
      <c r="G1326" s="127"/>
      <c r="H1326" s="127"/>
      <c r="I1326" s="127"/>
      <c r="J1326" s="127"/>
      <c r="K1326" s="127"/>
      <c r="L1326" s="127"/>
      <c r="M1326" s="127"/>
      <c r="RG1326" s="6"/>
      <c r="RH1326" s="6"/>
      <c r="RI1326" s="6"/>
      <c r="RJ1326" s="6"/>
      <c r="RK1326" s="6"/>
      <c r="RL1326" s="45"/>
      <c r="RM1326" s="4"/>
      <c r="RN1326" s="4"/>
      <c r="RO1326" s="4"/>
      <c r="RP1326" s="6"/>
    </row>
    <row r="1327" spans="1:484" x14ac:dyDescent="0.25">
      <c r="A1327" s="46"/>
      <c r="B1327" s="47"/>
      <c r="C1327" s="127"/>
      <c r="D1327" s="127"/>
      <c r="E1327" s="127"/>
      <c r="F1327" s="127"/>
      <c r="G1327" s="127"/>
      <c r="H1327" s="127"/>
      <c r="I1327" s="127"/>
      <c r="J1327" s="127"/>
      <c r="K1327" s="127"/>
      <c r="L1327" s="127"/>
      <c r="M1327" s="127"/>
      <c r="RG1327" s="6"/>
      <c r="RH1327" s="6"/>
      <c r="RI1327" s="6"/>
      <c r="RJ1327" s="6"/>
      <c r="RK1327" s="6"/>
      <c r="RL1327" s="45"/>
      <c r="RM1327" s="4"/>
      <c r="RN1327" s="4"/>
      <c r="RO1327" s="4"/>
      <c r="RP1327" s="6"/>
    </row>
    <row r="1328" spans="1:484" x14ac:dyDescent="0.25">
      <c r="A1328" s="46"/>
      <c r="B1328" s="47"/>
      <c r="C1328" s="127"/>
      <c r="D1328" s="127"/>
      <c r="E1328" s="127"/>
      <c r="F1328" s="127"/>
      <c r="G1328" s="127"/>
      <c r="H1328" s="127"/>
      <c r="I1328" s="127"/>
      <c r="J1328" s="127"/>
      <c r="K1328" s="127"/>
      <c r="L1328" s="127"/>
      <c r="M1328" s="127"/>
      <c r="RG1328" s="6"/>
      <c r="RH1328" s="6"/>
      <c r="RI1328" s="6"/>
      <c r="RJ1328" s="6"/>
      <c r="RK1328" s="6"/>
      <c r="RL1328" s="45"/>
      <c r="RM1328" s="4"/>
      <c r="RN1328" s="4"/>
      <c r="RO1328" s="4"/>
      <c r="RP1328" s="6"/>
    </row>
    <row r="1329" spans="1:484" x14ac:dyDescent="0.25">
      <c r="A1329" s="46"/>
      <c r="B1329" s="47"/>
      <c r="C1329" s="127"/>
      <c r="D1329" s="127"/>
      <c r="E1329" s="127"/>
      <c r="F1329" s="127"/>
      <c r="G1329" s="127"/>
      <c r="H1329" s="127"/>
      <c r="I1329" s="127"/>
      <c r="J1329" s="127"/>
      <c r="K1329" s="127"/>
      <c r="L1329" s="127"/>
      <c r="M1329" s="127"/>
      <c r="RG1329" s="6"/>
      <c r="RH1329" s="6"/>
      <c r="RI1329" s="6"/>
      <c r="RJ1329" s="6"/>
      <c r="RK1329" s="6"/>
      <c r="RL1329" s="45"/>
      <c r="RM1329" s="4"/>
      <c r="RN1329" s="4"/>
      <c r="RO1329" s="4"/>
      <c r="RP1329" s="6"/>
    </row>
    <row r="1330" spans="1:484" x14ac:dyDescent="0.25">
      <c r="A1330" s="46"/>
      <c r="B1330" s="47"/>
      <c r="C1330" s="127"/>
      <c r="D1330" s="127"/>
      <c r="E1330" s="127"/>
      <c r="F1330" s="127"/>
      <c r="G1330" s="127"/>
      <c r="H1330" s="127"/>
      <c r="I1330" s="127"/>
      <c r="J1330" s="127"/>
      <c r="K1330" s="127"/>
      <c r="L1330" s="127"/>
      <c r="M1330" s="127"/>
      <c r="RG1330" s="6"/>
      <c r="RH1330" s="6"/>
      <c r="RI1330" s="6"/>
      <c r="RJ1330" s="6"/>
      <c r="RK1330" s="6"/>
      <c r="RL1330" s="45"/>
      <c r="RM1330" s="4"/>
      <c r="RN1330" s="4"/>
      <c r="RO1330" s="4"/>
      <c r="RP1330" s="6"/>
    </row>
    <row r="1331" spans="1:484" x14ac:dyDescent="0.25">
      <c r="A1331" s="46"/>
      <c r="B1331" s="47"/>
      <c r="C1331" s="127"/>
      <c r="D1331" s="127"/>
      <c r="E1331" s="127"/>
      <c r="F1331" s="127"/>
      <c r="G1331" s="127"/>
      <c r="H1331" s="127"/>
      <c r="I1331" s="127"/>
      <c r="J1331" s="127"/>
      <c r="K1331" s="127"/>
      <c r="L1331" s="127"/>
      <c r="M1331" s="127"/>
      <c r="RG1331" s="6"/>
      <c r="RH1331" s="6"/>
      <c r="RI1331" s="6"/>
      <c r="RJ1331" s="6"/>
      <c r="RK1331" s="6"/>
      <c r="RL1331" s="45"/>
      <c r="RM1331" s="4"/>
      <c r="RN1331" s="4"/>
      <c r="RO1331" s="4"/>
      <c r="RP1331" s="6"/>
    </row>
    <row r="1332" spans="1:484" x14ac:dyDescent="0.25">
      <c r="A1332" s="46"/>
      <c r="B1332" s="47"/>
      <c r="C1332" s="127"/>
      <c r="D1332" s="127"/>
      <c r="E1332" s="127"/>
      <c r="F1332" s="127"/>
      <c r="G1332" s="127"/>
      <c r="H1332" s="127"/>
      <c r="I1332" s="127"/>
      <c r="J1332" s="127"/>
      <c r="K1332" s="127"/>
      <c r="L1332" s="127"/>
      <c r="M1332" s="127"/>
      <c r="RG1332" s="6"/>
      <c r="RH1332" s="6"/>
      <c r="RI1332" s="6"/>
      <c r="RJ1332" s="6"/>
      <c r="RK1332" s="6"/>
      <c r="RL1332" s="45"/>
      <c r="RM1332" s="4"/>
      <c r="RN1332" s="4"/>
      <c r="RO1332" s="4"/>
      <c r="RP1332" s="6"/>
    </row>
    <row r="1333" spans="1:484" x14ac:dyDescent="0.25">
      <c r="A1333" s="46"/>
      <c r="B1333" s="47"/>
      <c r="C1333" s="127"/>
      <c r="D1333" s="127"/>
      <c r="E1333" s="127"/>
      <c r="F1333" s="127"/>
      <c r="G1333" s="127"/>
      <c r="H1333" s="127"/>
      <c r="I1333" s="127"/>
      <c r="J1333" s="127"/>
      <c r="K1333" s="127"/>
      <c r="L1333" s="127"/>
      <c r="M1333" s="127"/>
      <c r="RG1333" s="6"/>
      <c r="RH1333" s="6"/>
      <c r="RI1333" s="6"/>
      <c r="RJ1333" s="6"/>
      <c r="RK1333" s="6"/>
      <c r="RL1333" s="45"/>
      <c r="RM1333" s="4"/>
      <c r="RN1333" s="4"/>
      <c r="RO1333" s="4"/>
      <c r="RP1333" s="6"/>
    </row>
    <row r="1334" spans="1:484" x14ac:dyDescent="0.25">
      <c r="A1334" s="46"/>
      <c r="B1334" s="47"/>
      <c r="C1334" s="127"/>
      <c r="D1334" s="127"/>
      <c r="E1334" s="127"/>
      <c r="F1334" s="127"/>
      <c r="G1334" s="127"/>
      <c r="H1334" s="127"/>
      <c r="I1334" s="127"/>
      <c r="J1334" s="127"/>
      <c r="K1334" s="127"/>
      <c r="L1334" s="127"/>
      <c r="M1334" s="127"/>
      <c r="RG1334" s="6"/>
      <c r="RH1334" s="6"/>
      <c r="RI1334" s="6"/>
      <c r="RJ1334" s="6"/>
      <c r="RK1334" s="6"/>
      <c r="RL1334" s="45"/>
      <c r="RM1334" s="4"/>
      <c r="RN1334" s="4"/>
      <c r="RO1334" s="4"/>
      <c r="RP1334" s="6"/>
    </row>
    <row r="1335" spans="1:484" x14ac:dyDescent="0.25">
      <c r="A1335" s="46"/>
      <c r="B1335" s="47"/>
      <c r="C1335" s="127"/>
      <c r="D1335" s="127"/>
      <c r="E1335" s="127"/>
      <c r="F1335" s="127"/>
      <c r="G1335" s="127"/>
      <c r="H1335" s="127"/>
      <c r="I1335" s="127"/>
      <c r="J1335" s="127"/>
      <c r="K1335" s="127"/>
      <c r="L1335" s="127"/>
      <c r="M1335" s="127"/>
      <c r="RG1335" s="6"/>
      <c r="RH1335" s="6"/>
      <c r="RI1335" s="6"/>
      <c r="RJ1335" s="6"/>
      <c r="RK1335" s="6"/>
      <c r="RL1335" s="45"/>
      <c r="RM1335" s="4"/>
      <c r="RN1335" s="4"/>
      <c r="RO1335" s="4"/>
      <c r="RP1335" s="6"/>
    </row>
    <row r="1336" spans="1:484" x14ac:dyDescent="0.25">
      <c r="A1336" s="46"/>
      <c r="B1336" s="47"/>
      <c r="C1336" s="127"/>
      <c r="D1336" s="127"/>
      <c r="E1336" s="127"/>
      <c r="F1336" s="127"/>
      <c r="G1336" s="127"/>
      <c r="H1336" s="127"/>
      <c r="I1336" s="127"/>
      <c r="J1336" s="127"/>
      <c r="K1336" s="127"/>
      <c r="L1336" s="127"/>
      <c r="M1336" s="127"/>
      <c r="RG1336" s="6"/>
      <c r="RH1336" s="6"/>
      <c r="RI1336" s="6"/>
      <c r="RJ1336" s="6"/>
      <c r="RK1336" s="6"/>
      <c r="RL1336" s="45"/>
      <c r="RM1336" s="4"/>
      <c r="RN1336" s="4"/>
      <c r="RO1336" s="4"/>
      <c r="RP1336" s="6"/>
    </row>
    <row r="1337" spans="1:484" x14ac:dyDescent="0.25">
      <c r="A1337" s="46"/>
      <c r="B1337" s="47"/>
      <c r="C1337" s="127"/>
      <c r="D1337" s="127"/>
      <c r="E1337" s="127"/>
      <c r="F1337" s="127"/>
      <c r="G1337" s="127"/>
      <c r="H1337" s="127"/>
      <c r="I1337" s="127"/>
      <c r="J1337" s="127"/>
      <c r="K1337" s="127"/>
      <c r="L1337" s="127"/>
      <c r="M1337" s="127"/>
      <c r="RG1337" s="6"/>
      <c r="RH1337" s="6"/>
      <c r="RI1337" s="6"/>
      <c r="RJ1337" s="6"/>
      <c r="RK1337" s="6"/>
      <c r="RL1337" s="45"/>
      <c r="RM1337" s="4"/>
      <c r="RN1337" s="4"/>
      <c r="RO1337" s="4"/>
      <c r="RP1337" s="6"/>
    </row>
    <row r="1338" spans="1:484" x14ac:dyDescent="0.25">
      <c r="A1338" s="46"/>
      <c r="B1338" s="47"/>
      <c r="C1338" s="127"/>
      <c r="D1338" s="127"/>
      <c r="E1338" s="127"/>
      <c r="F1338" s="127"/>
      <c r="G1338" s="127"/>
      <c r="H1338" s="127"/>
      <c r="I1338" s="127"/>
      <c r="J1338" s="127"/>
      <c r="K1338" s="127"/>
      <c r="L1338" s="127"/>
      <c r="M1338" s="127"/>
      <c r="RG1338" s="6"/>
      <c r="RH1338" s="6"/>
      <c r="RI1338" s="6"/>
      <c r="RJ1338" s="6"/>
      <c r="RK1338" s="6"/>
      <c r="RL1338" s="45"/>
      <c r="RM1338" s="4"/>
      <c r="RN1338" s="4"/>
      <c r="RO1338" s="4"/>
      <c r="RP1338" s="6"/>
    </row>
    <row r="1339" spans="1:484" x14ac:dyDescent="0.25">
      <c r="A1339" s="46"/>
      <c r="B1339" s="47"/>
      <c r="C1339" s="127"/>
      <c r="D1339" s="127"/>
      <c r="E1339" s="127"/>
      <c r="F1339" s="127"/>
      <c r="G1339" s="127"/>
      <c r="H1339" s="127"/>
      <c r="I1339" s="127"/>
      <c r="J1339" s="127"/>
      <c r="K1339" s="127"/>
      <c r="L1339" s="127"/>
      <c r="M1339" s="127"/>
      <c r="RG1339" s="6"/>
      <c r="RH1339" s="6"/>
      <c r="RI1339" s="6"/>
      <c r="RJ1339" s="6"/>
      <c r="RK1339" s="6"/>
      <c r="RL1339" s="45"/>
      <c r="RM1339" s="4"/>
      <c r="RN1339" s="4"/>
      <c r="RO1339" s="4"/>
      <c r="RP1339" s="6"/>
    </row>
    <row r="1340" spans="1:484" x14ac:dyDescent="0.25">
      <c r="A1340" s="46"/>
      <c r="B1340" s="47"/>
      <c r="C1340" s="127"/>
      <c r="D1340" s="127"/>
      <c r="E1340" s="127"/>
      <c r="F1340" s="127"/>
      <c r="G1340" s="127"/>
      <c r="H1340" s="127"/>
      <c r="I1340" s="127"/>
      <c r="J1340" s="127"/>
      <c r="K1340" s="127"/>
      <c r="L1340" s="127"/>
      <c r="M1340" s="127"/>
      <c r="RG1340" s="6"/>
      <c r="RH1340" s="6"/>
      <c r="RI1340" s="6"/>
      <c r="RJ1340" s="6"/>
      <c r="RK1340" s="6"/>
      <c r="RL1340" s="45"/>
      <c r="RM1340" s="4"/>
      <c r="RN1340" s="4"/>
      <c r="RO1340" s="4"/>
      <c r="RP1340" s="6"/>
    </row>
    <row r="1341" spans="1:484" x14ac:dyDescent="0.25">
      <c r="A1341" s="46"/>
      <c r="B1341" s="47"/>
      <c r="C1341" s="127"/>
      <c r="D1341" s="127"/>
      <c r="E1341" s="127"/>
      <c r="F1341" s="127"/>
      <c r="G1341" s="127"/>
      <c r="H1341" s="127"/>
      <c r="I1341" s="127"/>
      <c r="J1341" s="127"/>
      <c r="K1341" s="127"/>
      <c r="L1341" s="127"/>
      <c r="M1341" s="127"/>
      <c r="RG1341" s="6"/>
      <c r="RH1341" s="6"/>
      <c r="RI1341" s="6"/>
      <c r="RJ1341" s="6"/>
      <c r="RK1341" s="6"/>
      <c r="RL1341" s="45"/>
      <c r="RM1341" s="4"/>
      <c r="RN1341" s="4"/>
      <c r="RO1341" s="4"/>
      <c r="RP1341" s="6"/>
    </row>
    <row r="1342" spans="1:484" x14ac:dyDescent="0.25">
      <c r="A1342" s="46"/>
      <c r="B1342" s="47"/>
      <c r="C1342" s="127"/>
      <c r="D1342" s="127"/>
      <c r="E1342" s="127"/>
      <c r="F1342" s="127"/>
      <c r="G1342" s="127"/>
      <c r="H1342" s="127"/>
      <c r="I1342" s="127"/>
      <c r="J1342" s="127"/>
      <c r="K1342" s="127"/>
      <c r="L1342" s="127"/>
      <c r="M1342" s="127"/>
      <c r="RG1342" s="6"/>
      <c r="RH1342" s="6"/>
      <c r="RI1342" s="6"/>
      <c r="RJ1342" s="6"/>
      <c r="RK1342" s="6"/>
      <c r="RL1342" s="45"/>
      <c r="RM1342" s="4"/>
      <c r="RN1342" s="4"/>
      <c r="RO1342" s="4"/>
      <c r="RP1342" s="6"/>
    </row>
    <row r="1343" spans="1:484" x14ac:dyDescent="0.25">
      <c r="A1343" s="46"/>
      <c r="B1343" s="47"/>
      <c r="C1343" s="127"/>
      <c r="D1343" s="127"/>
      <c r="E1343" s="127"/>
      <c r="F1343" s="127"/>
      <c r="G1343" s="127"/>
      <c r="H1343" s="127"/>
      <c r="I1343" s="127"/>
      <c r="J1343" s="127"/>
      <c r="K1343" s="127"/>
      <c r="L1343" s="127"/>
      <c r="M1343" s="127"/>
      <c r="RG1343" s="6"/>
      <c r="RH1343" s="6"/>
      <c r="RI1343" s="6"/>
      <c r="RJ1343" s="6"/>
      <c r="RK1343" s="6"/>
      <c r="RL1343" s="45"/>
      <c r="RM1343" s="4"/>
      <c r="RN1343" s="4"/>
      <c r="RO1343" s="4"/>
      <c r="RP1343" s="6"/>
    </row>
    <row r="1344" spans="1:484" x14ac:dyDescent="0.25">
      <c r="A1344" s="46"/>
      <c r="B1344" s="47"/>
      <c r="C1344" s="127"/>
      <c r="D1344" s="127"/>
      <c r="E1344" s="127"/>
      <c r="F1344" s="127"/>
      <c r="G1344" s="127"/>
      <c r="H1344" s="127"/>
      <c r="I1344" s="127"/>
      <c r="J1344" s="127"/>
      <c r="K1344" s="127"/>
      <c r="L1344" s="127"/>
      <c r="M1344" s="127"/>
      <c r="RG1344" s="6"/>
      <c r="RH1344" s="6"/>
      <c r="RI1344" s="6"/>
      <c r="RJ1344" s="6"/>
      <c r="RK1344" s="6"/>
      <c r="RL1344" s="45"/>
      <c r="RM1344" s="4"/>
      <c r="RN1344" s="4"/>
      <c r="RO1344" s="4"/>
      <c r="RP1344" s="6"/>
    </row>
    <row r="1345" spans="1:484" x14ac:dyDescent="0.25">
      <c r="A1345" s="46"/>
      <c r="B1345" s="47"/>
      <c r="C1345" s="127"/>
      <c r="D1345" s="127"/>
      <c r="E1345" s="127"/>
      <c r="F1345" s="127"/>
      <c r="G1345" s="127"/>
      <c r="H1345" s="127"/>
      <c r="I1345" s="127"/>
      <c r="J1345" s="127"/>
      <c r="K1345" s="127"/>
      <c r="L1345" s="127"/>
      <c r="M1345" s="127"/>
      <c r="RG1345" s="6"/>
      <c r="RH1345" s="6"/>
      <c r="RI1345" s="6"/>
      <c r="RJ1345" s="6"/>
      <c r="RK1345" s="6"/>
      <c r="RL1345" s="45"/>
      <c r="RM1345" s="4"/>
      <c r="RN1345" s="4"/>
      <c r="RO1345" s="4"/>
      <c r="RP1345" s="6"/>
    </row>
    <row r="1346" spans="1:484" x14ac:dyDescent="0.25">
      <c r="A1346" s="46"/>
      <c r="B1346" s="47"/>
      <c r="C1346" s="127"/>
      <c r="D1346" s="127"/>
      <c r="E1346" s="127"/>
      <c r="F1346" s="127"/>
      <c r="G1346" s="127"/>
      <c r="H1346" s="127"/>
      <c r="I1346" s="127"/>
      <c r="J1346" s="127"/>
      <c r="K1346" s="127"/>
      <c r="L1346" s="127"/>
      <c r="M1346" s="127"/>
      <c r="RG1346" s="6"/>
      <c r="RH1346" s="6"/>
      <c r="RI1346" s="6"/>
      <c r="RJ1346" s="6"/>
      <c r="RK1346" s="6"/>
      <c r="RL1346" s="45"/>
      <c r="RM1346" s="4"/>
      <c r="RN1346" s="4"/>
      <c r="RO1346" s="4"/>
      <c r="RP1346" s="6"/>
    </row>
    <row r="1347" spans="1:484" x14ac:dyDescent="0.25">
      <c r="A1347" s="46"/>
      <c r="B1347" s="47"/>
      <c r="C1347" s="127"/>
      <c r="D1347" s="127"/>
      <c r="E1347" s="127"/>
      <c r="F1347" s="127"/>
      <c r="G1347" s="127"/>
      <c r="H1347" s="127"/>
      <c r="I1347" s="127"/>
      <c r="J1347" s="127"/>
      <c r="K1347" s="127"/>
      <c r="L1347" s="127"/>
      <c r="M1347" s="127"/>
      <c r="RG1347" s="6"/>
      <c r="RH1347" s="6"/>
      <c r="RI1347" s="6"/>
      <c r="RJ1347" s="6"/>
      <c r="RK1347" s="6"/>
      <c r="RL1347" s="45"/>
      <c r="RM1347" s="4"/>
      <c r="RN1347" s="4"/>
      <c r="RO1347" s="4"/>
      <c r="RP1347" s="6"/>
    </row>
    <row r="1348" spans="1:484" x14ac:dyDescent="0.25">
      <c r="A1348" s="46"/>
      <c r="B1348" s="47"/>
      <c r="C1348" s="127"/>
      <c r="D1348" s="127"/>
      <c r="E1348" s="127"/>
      <c r="F1348" s="127"/>
      <c r="G1348" s="127"/>
      <c r="H1348" s="127"/>
      <c r="I1348" s="127"/>
      <c r="J1348" s="127"/>
      <c r="K1348" s="127"/>
      <c r="L1348" s="127"/>
      <c r="M1348" s="127"/>
      <c r="RG1348" s="6"/>
      <c r="RH1348" s="6"/>
      <c r="RI1348" s="6"/>
      <c r="RJ1348" s="6"/>
      <c r="RK1348" s="6"/>
      <c r="RL1348" s="45"/>
      <c r="RM1348" s="4"/>
      <c r="RN1348" s="4"/>
      <c r="RO1348" s="4"/>
      <c r="RP1348" s="6"/>
    </row>
    <row r="1349" spans="1:484" x14ac:dyDescent="0.25">
      <c r="A1349" s="46"/>
      <c r="B1349" s="47"/>
      <c r="C1349" s="127"/>
      <c r="D1349" s="127"/>
      <c r="E1349" s="127"/>
      <c r="F1349" s="127"/>
      <c r="G1349" s="127"/>
      <c r="H1349" s="127"/>
      <c r="I1349" s="127"/>
      <c r="J1349" s="127"/>
      <c r="K1349" s="127"/>
      <c r="L1349" s="127"/>
      <c r="M1349" s="127"/>
      <c r="RG1349" s="6"/>
      <c r="RH1349" s="6"/>
      <c r="RI1349" s="6"/>
      <c r="RJ1349" s="6"/>
      <c r="RK1349" s="6"/>
      <c r="RL1349" s="45"/>
      <c r="RM1349" s="4"/>
      <c r="RN1349" s="4"/>
      <c r="RO1349" s="4"/>
      <c r="RP1349" s="6"/>
    </row>
    <row r="1350" spans="1:484" x14ac:dyDescent="0.25">
      <c r="A1350" s="46"/>
      <c r="B1350" s="47"/>
      <c r="C1350" s="127"/>
      <c r="D1350" s="127"/>
      <c r="E1350" s="127"/>
      <c r="F1350" s="127"/>
      <c r="G1350" s="127"/>
      <c r="H1350" s="127"/>
      <c r="I1350" s="127"/>
      <c r="J1350" s="127"/>
      <c r="K1350" s="127"/>
      <c r="L1350" s="127"/>
      <c r="M1350" s="127"/>
      <c r="RG1350" s="6"/>
      <c r="RH1350" s="6"/>
      <c r="RI1350" s="6"/>
      <c r="RJ1350" s="6"/>
      <c r="RK1350" s="6"/>
      <c r="RL1350" s="45"/>
      <c r="RM1350" s="4"/>
      <c r="RN1350" s="4"/>
      <c r="RO1350" s="4"/>
      <c r="RP1350" s="6"/>
    </row>
    <row r="1351" spans="1:484" x14ac:dyDescent="0.25">
      <c r="A1351" s="46"/>
      <c r="B1351" s="47"/>
      <c r="C1351" s="127"/>
      <c r="D1351" s="127"/>
      <c r="E1351" s="127"/>
      <c r="F1351" s="127"/>
      <c r="G1351" s="127"/>
      <c r="H1351" s="127"/>
      <c r="I1351" s="127"/>
      <c r="J1351" s="127"/>
      <c r="K1351" s="127"/>
      <c r="L1351" s="127"/>
      <c r="M1351" s="127"/>
      <c r="RG1351" s="6"/>
      <c r="RH1351" s="6"/>
      <c r="RI1351" s="6"/>
      <c r="RJ1351" s="6"/>
      <c r="RK1351" s="6"/>
      <c r="RL1351" s="45"/>
      <c r="RM1351" s="4"/>
      <c r="RN1351" s="4"/>
      <c r="RO1351" s="4"/>
      <c r="RP1351" s="6"/>
    </row>
    <row r="1352" spans="1:484" x14ac:dyDescent="0.25">
      <c r="A1352" s="46"/>
      <c r="B1352" s="47"/>
      <c r="C1352" s="127"/>
      <c r="D1352" s="127"/>
      <c r="E1352" s="127"/>
      <c r="F1352" s="127"/>
      <c r="G1352" s="127"/>
      <c r="H1352" s="127"/>
      <c r="I1352" s="127"/>
      <c r="J1352" s="127"/>
      <c r="K1352" s="127"/>
      <c r="L1352" s="127"/>
      <c r="M1352" s="127"/>
      <c r="RG1352" s="6"/>
      <c r="RH1352" s="6"/>
      <c r="RI1352" s="6"/>
      <c r="RJ1352" s="6"/>
      <c r="RK1352" s="6"/>
      <c r="RL1352" s="45"/>
      <c r="RM1352" s="4"/>
      <c r="RN1352" s="4"/>
      <c r="RO1352" s="4"/>
      <c r="RP1352" s="6"/>
    </row>
    <row r="1353" spans="1:484" x14ac:dyDescent="0.25">
      <c r="A1353" s="46"/>
      <c r="B1353" s="47"/>
      <c r="C1353" s="127"/>
      <c r="D1353" s="127"/>
      <c r="E1353" s="127"/>
      <c r="F1353" s="127"/>
      <c r="G1353" s="127"/>
      <c r="H1353" s="127"/>
      <c r="I1353" s="127"/>
      <c r="J1353" s="127"/>
      <c r="K1353" s="127"/>
      <c r="L1353" s="127"/>
      <c r="M1353" s="127"/>
      <c r="RG1353" s="6"/>
      <c r="RH1353" s="6"/>
      <c r="RI1353" s="6"/>
      <c r="RJ1353" s="6"/>
      <c r="RK1353" s="6"/>
      <c r="RL1353" s="45"/>
      <c r="RM1353" s="4"/>
      <c r="RN1353" s="4"/>
      <c r="RO1353" s="4"/>
      <c r="RP1353" s="6"/>
    </row>
    <row r="1354" spans="1:484" x14ac:dyDescent="0.25">
      <c r="A1354" s="46"/>
      <c r="B1354" s="47"/>
      <c r="C1354" s="127"/>
      <c r="D1354" s="127"/>
      <c r="E1354" s="127"/>
      <c r="F1354" s="127"/>
      <c r="G1354" s="127"/>
      <c r="H1354" s="127"/>
      <c r="I1354" s="127"/>
      <c r="J1354" s="127"/>
      <c r="K1354" s="127"/>
      <c r="L1354" s="127"/>
      <c r="M1354" s="127"/>
      <c r="RG1354" s="6"/>
      <c r="RH1354" s="6"/>
      <c r="RI1354" s="6"/>
      <c r="RJ1354" s="6"/>
      <c r="RK1354" s="6"/>
      <c r="RL1354" s="45"/>
      <c r="RM1354" s="4"/>
      <c r="RN1354" s="4"/>
      <c r="RO1354" s="4"/>
      <c r="RP1354" s="6"/>
    </row>
    <row r="1355" spans="1:484" x14ac:dyDescent="0.25">
      <c r="A1355" s="46"/>
      <c r="B1355" s="47"/>
      <c r="C1355" s="127"/>
      <c r="D1355" s="127"/>
      <c r="E1355" s="127"/>
      <c r="F1355" s="127"/>
      <c r="G1355" s="127"/>
      <c r="H1355" s="127"/>
      <c r="I1355" s="127"/>
      <c r="J1355" s="127"/>
      <c r="K1355" s="127"/>
      <c r="L1355" s="127"/>
      <c r="M1355" s="127"/>
      <c r="RG1355" s="6"/>
      <c r="RH1355" s="6"/>
      <c r="RI1355" s="6"/>
      <c r="RJ1355" s="6"/>
      <c r="RK1355" s="6"/>
      <c r="RL1355" s="45"/>
      <c r="RM1355" s="4"/>
      <c r="RN1355" s="4"/>
      <c r="RO1355" s="4"/>
      <c r="RP1355" s="6"/>
    </row>
    <row r="1356" spans="1:484" x14ac:dyDescent="0.25">
      <c r="A1356" s="46"/>
      <c r="B1356" s="47"/>
      <c r="C1356" s="127"/>
      <c r="D1356" s="127"/>
      <c r="E1356" s="127"/>
      <c r="F1356" s="127"/>
      <c r="G1356" s="127"/>
      <c r="H1356" s="127"/>
      <c r="I1356" s="127"/>
      <c r="J1356" s="127"/>
      <c r="K1356" s="127"/>
      <c r="L1356" s="127"/>
      <c r="M1356" s="127"/>
      <c r="RG1356" s="6"/>
      <c r="RH1356" s="6"/>
      <c r="RI1356" s="6"/>
      <c r="RJ1356" s="6"/>
      <c r="RK1356" s="6"/>
      <c r="RL1356" s="45"/>
      <c r="RM1356" s="4"/>
      <c r="RN1356" s="4"/>
      <c r="RO1356" s="4"/>
      <c r="RP1356" s="6"/>
    </row>
    <row r="1357" spans="1:484" x14ac:dyDescent="0.25">
      <c r="A1357" s="46"/>
      <c r="B1357" s="47"/>
      <c r="C1357" s="127"/>
      <c r="D1357" s="127"/>
      <c r="E1357" s="127"/>
      <c r="F1357" s="127"/>
      <c r="G1357" s="127"/>
      <c r="H1357" s="127"/>
      <c r="I1357" s="127"/>
      <c r="J1357" s="127"/>
      <c r="K1357" s="127"/>
      <c r="L1357" s="127"/>
      <c r="M1357" s="127"/>
      <c r="RG1357" s="6"/>
      <c r="RH1357" s="6"/>
      <c r="RI1357" s="6"/>
      <c r="RJ1357" s="6"/>
      <c r="RK1357" s="6"/>
      <c r="RL1357" s="45"/>
      <c r="RM1357" s="4"/>
      <c r="RN1357" s="4"/>
      <c r="RO1357" s="4"/>
      <c r="RP1357" s="6"/>
    </row>
    <row r="1358" spans="1:484" x14ac:dyDescent="0.25">
      <c r="A1358" s="46"/>
      <c r="B1358" s="47"/>
      <c r="C1358" s="127"/>
      <c r="D1358" s="127"/>
      <c r="E1358" s="127"/>
      <c r="F1358" s="127"/>
      <c r="G1358" s="127"/>
      <c r="H1358" s="127"/>
      <c r="I1358" s="127"/>
      <c r="J1358" s="127"/>
      <c r="K1358" s="127"/>
      <c r="L1358" s="127"/>
      <c r="M1358" s="127"/>
      <c r="RG1358" s="6"/>
      <c r="RH1358" s="6"/>
      <c r="RI1358" s="6"/>
      <c r="RJ1358" s="6"/>
      <c r="RK1358" s="6"/>
      <c r="RL1358" s="45"/>
      <c r="RM1358" s="4"/>
      <c r="RN1358" s="4"/>
      <c r="RO1358" s="4"/>
      <c r="RP1358" s="6"/>
    </row>
    <row r="1359" spans="1:484" x14ac:dyDescent="0.25">
      <c r="A1359" s="46"/>
      <c r="B1359" s="47"/>
      <c r="C1359" s="127"/>
      <c r="D1359" s="127"/>
      <c r="E1359" s="127"/>
      <c r="F1359" s="127"/>
      <c r="G1359" s="127"/>
      <c r="H1359" s="127"/>
      <c r="I1359" s="127"/>
      <c r="J1359" s="127"/>
      <c r="K1359" s="127"/>
      <c r="L1359" s="127"/>
      <c r="M1359" s="127"/>
      <c r="RG1359" s="6"/>
      <c r="RH1359" s="6"/>
      <c r="RI1359" s="6"/>
      <c r="RJ1359" s="6"/>
      <c r="RK1359" s="6"/>
      <c r="RL1359" s="45"/>
      <c r="RM1359" s="4"/>
      <c r="RN1359" s="4"/>
      <c r="RO1359" s="4"/>
      <c r="RP1359" s="6"/>
    </row>
    <row r="1360" spans="1:484" x14ac:dyDescent="0.25">
      <c r="A1360" s="46"/>
      <c r="B1360" s="47"/>
      <c r="C1360" s="127"/>
      <c r="D1360" s="127"/>
      <c r="E1360" s="127"/>
      <c r="F1360" s="127"/>
      <c r="G1360" s="127"/>
      <c r="H1360" s="127"/>
      <c r="I1360" s="127"/>
      <c r="J1360" s="127"/>
      <c r="K1360" s="127"/>
      <c r="L1360" s="127"/>
      <c r="M1360" s="127"/>
      <c r="RG1360" s="6"/>
      <c r="RH1360" s="6"/>
      <c r="RI1360" s="6"/>
      <c r="RJ1360" s="6"/>
      <c r="RK1360" s="6"/>
      <c r="RL1360" s="45"/>
      <c r="RM1360" s="4"/>
      <c r="RN1360" s="4"/>
      <c r="RO1360" s="4"/>
      <c r="RP1360" s="6"/>
    </row>
    <row r="1361" spans="1:484" x14ac:dyDescent="0.25">
      <c r="A1361" s="46"/>
      <c r="B1361" s="47"/>
      <c r="C1361" s="127"/>
      <c r="D1361" s="127"/>
      <c r="E1361" s="127"/>
      <c r="F1361" s="127"/>
      <c r="G1361" s="127"/>
      <c r="H1361" s="127"/>
      <c r="I1361" s="127"/>
      <c r="J1361" s="127"/>
      <c r="K1361" s="127"/>
      <c r="L1361" s="127"/>
      <c r="M1361" s="127"/>
      <c r="RG1361" s="6"/>
      <c r="RH1361" s="6"/>
      <c r="RI1361" s="6"/>
      <c r="RJ1361" s="6"/>
      <c r="RK1361" s="6"/>
      <c r="RL1361" s="45"/>
      <c r="RM1361" s="4"/>
      <c r="RN1361" s="4"/>
      <c r="RO1361" s="4"/>
      <c r="RP1361" s="6"/>
    </row>
    <row r="1362" spans="1:484" x14ac:dyDescent="0.25">
      <c r="A1362" s="46"/>
      <c r="B1362" s="47"/>
      <c r="C1362" s="127"/>
      <c r="D1362" s="127"/>
      <c r="E1362" s="127"/>
      <c r="F1362" s="127"/>
      <c r="G1362" s="127"/>
      <c r="H1362" s="127"/>
      <c r="I1362" s="127"/>
      <c r="J1362" s="127"/>
      <c r="K1362" s="127"/>
      <c r="L1362" s="127"/>
      <c r="M1362" s="127"/>
      <c r="RG1362" s="6"/>
      <c r="RH1362" s="6"/>
      <c r="RI1362" s="6"/>
      <c r="RJ1362" s="6"/>
      <c r="RK1362" s="6"/>
      <c r="RL1362" s="45"/>
      <c r="RM1362" s="4"/>
      <c r="RN1362" s="4"/>
      <c r="RO1362" s="4"/>
      <c r="RP1362" s="6"/>
    </row>
    <row r="1363" spans="1:484" x14ac:dyDescent="0.25">
      <c r="A1363" s="46"/>
      <c r="B1363" s="47"/>
      <c r="C1363" s="127"/>
      <c r="D1363" s="127"/>
      <c r="E1363" s="127"/>
      <c r="F1363" s="127"/>
      <c r="G1363" s="127"/>
      <c r="H1363" s="127"/>
      <c r="I1363" s="127"/>
      <c r="J1363" s="127"/>
      <c r="K1363" s="127"/>
      <c r="L1363" s="127"/>
      <c r="M1363" s="127"/>
      <c r="RG1363" s="6"/>
      <c r="RH1363" s="6"/>
      <c r="RI1363" s="6"/>
      <c r="RJ1363" s="6"/>
      <c r="RK1363" s="6"/>
      <c r="RL1363" s="45"/>
      <c r="RM1363" s="4"/>
      <c r="RN1363" s="4"/>
      <c r="RO1363" s="4"/>
      <c r="RP1363" s="6"/>
    </row>
    <row r="1364" spans="1:484" x14ac:dyDescent="0.25">
      <c r="A1364" s="46"/>
      <c r="B1364" s="47"/>
      <c r="C1364" s="127"/>
      <c r="D1364" s="127"/>
      <c r="E1364" s="127"/>
      <c r="F1364" s="127"/>
      <c r="G1364" s="127"/>
      <c r="H1364" s="127"/>
      <c r="I1364" s="127"/>
      <c r="J1364" s="127"/>
      <c r="K1364" s="127"/>
      <c r="L1364" s="127"/>
      <c r="M1364" s="127"/>
      <c r="RG1364" s="6"/>
      <c r="RH1364" s="6"/>
      <c r="RI1364" s="6"/>
      <c r="RJ1364" s="6"/>
      <c r="RK1364" s="6"/>
      <c r="RL1364" s="45"/>
      <c r="RM1364" s="4"/>
      <c r="RN1364" s="4"/>
      <c r="RO1364" s="4"/>
      <c r="RP1364" s="6"/>
    </row>
    <row r="1365" spans="1:484" x14ac:dyDescent="0.25">
      <c r="A1365" s="46"/>
      <c r="B1365" s="47"/>
      <c r="C1365" s="127"/>
      <c r="D1365" s="127"/>
      <c r="E1365" s="127"/>
      <c r="F1365" s="127"/>
      <c r="G1365" s="127"/>
      <c r="H1365" s="127"/>
      <c r="I1365" s="127"/>
      <c r="J1365" s="127"/>
      <c r="K1365" s="127"/>
      <c r="L1365" s="127"/>
      <c r="M1365" s="127"/>
      <c r="RG1365" s="6"/>
      <c r="RH1365" s="6"/>
      <c r="RI1365" s="6"/>
      <c r="RJ1365" s="6"/>
      <c r="RK1365" s="6"/>
      <c r="RL1365" s="45"/>
      <c r="RM1365" s="4"/>
      <c r="RN1365" s="4"/>
      <c r="RO1365" s="4"/>
      <c r="RP1365" s="6"/>
    </row>
    <row r="1366" spans="1:484" x14ac:dyDescent="0.25">
      <c r="A1366" s="46"/>
      <c r="B1366" s="47"/>
      <c r="C1366" s="127"/>
      <c r="D1366" s="127"/>
      <c r="E1366" s="127"/>
      <c r="F1366" s="127"/>
      <c r="G1366" s="127"/>
      <c r="H1366" s="127"/>
      <c r="I1366" s="127"/>
      <c r="J1366" s="127"/>
      <c r="K1366" s="127"/>
      <c r="L1366" s="127"/>
      <c r="M1366" s="127"/>
      <c r="RG1366" s="6"/>
      <c r="RH1366" s="6"/>
      <c r="RI1366" s="6"/>
      <c r="RJ1366" s="6"/>
      <c r="RK1366" s="6"/>
      <c r="RL1366" s="45"/>
      <c r="RM1366" s="4"/>
      <c r="RN1366" s="4"/>
      <c r="RO1366" s="4"/>
      <c r="RP1366" s="6"/>
    </row>
    <row r="1367" spans="1:484" x14ac:dyDescent="0.25">
      <c r="A1367" s="46"/>
      <c r="B1367" s="47"/>
      <c r="C1367" s="127"/>
      <c r="D1367" s="127"/>
      <c r="E1367" s="127"/>
      <c r="F1367" s="127"/>
      <c r="G1367" s="127"/>
      <c r="H1367" s="127"/>
      <c r="I1367" s="127"/>
      <c r="J1367" s="127"/>
      <c r="K1367" s="127"/>
      <c r="L1367" s="127"/>
      <c r="M1367" s="127"/>
      <c r="RG1367" s="6"/>
      <c r="RH1367" s="6"/>
      <c r="RI1367" s="6"/>
      <c r="RJ1367" s="6"/>
      <c r="RK1367" s="6"/>
      <c r="RL1367" s="45"/>
      <c r="RM1367" s="4"/>
      <c r="RN1367" s="4"/>
      <c r="RO1367" s="4"/>
      <c r="RP1367" s="6"/>
    </row>
    <row r="1368" spans="1:484" x14ac:dyDescent="0.25">
      <c r="A1368" s="46"/>
      <c r="B1368" s="47"/>
      <c r="C1368" s="127"/>
      <c r="D1368" s="127"/>
      <c r="E1368" s="127"/>
      <c r="F1368" s="127"/>
      <c r="G1368" s="127"/>
      <c r="H1368" s="127"/>
      <c r="I1368" s="127"/>
      <c r="J1368" s="127"/>
      <c r="K1368" s="127"/>
      <c r="L1368" s="127"/>
      <c r="M1368" s="127"/>
      <c r="RG1368" s="6"/>
      <c r="RH1368" s="6"/>
      <c r="RI1368" s="6"/>
      <c r="RJ1368" s="6"/>
      <c r="RK1368" s="6"/>
      <c r="RL1368" s="45"/>
      <c r="RM1368" s="4"/>
      <c r="RN1368" s="4"/>
      <c r="RO1368" s="4"/>
      <c r="RP1368" s="6"/>
    </row>
    <row r="1369" spans="1:484" x14ac:dyDescent="0.25">
      <c r="A1369" s="46"/>
      <c r="B1369" s="47"/>
      <c r="C1369" s="127"/>
      <c r="D1369" s="127"/>
      <c r="E1369" s="127"/>
      <c r="F1369" s="127"/>
      <c r="G1369" s="127"/>
      <c r="H1369" s="127"/>
      <c r="I1369" s="127"/>
      <c r="J1369" s="127"/>
      <c r="K1369" s="127"/>
      <c r="L1369" s="127"/>
      <c r="M1369" s="127"/>
      <c r="RG1369" s="6"/>
      <c r="RH1369" s="6"/>
      <c r="RI1369" s="6"/>
      <c r="RJ1369" s="6"/>
      <c r="RK1369" s="6"/>
      <c r="RL1369" s="45"/>
      <c r="RM1369" s="4"/>
      <c r="RN1369" s="4"/>
      <c r="RO1369" s="4"/>
      <c r="RP1369" s="6"/>
    </row>
    <row r="1370" spans="1:484" x14ac:dyDescent="0.25">
      <c r="A1370" s="46"/>
      <c r="B1370" s="47"/>
      <c r="C1370" s="127"/>
      <c r="D1370" s="127"/>
      <c r="E1370" s="127"/>
      <c r="F1370" s="127"/>
      <c r="G1370" s="127"/>
      <c r="H1370" s="127"/>
      <c r="I1370" s="127"/>
      <c r="J1370" s="127"/>
      <c r="K1370" s="127"/>
      <c r="L1370" s="127"/>
      <c r="M1370" s="127"/>
      <c r="RG1370" s="6"/>
      <c r="RH1370" s="6"/>
      <c r="RI1370" s="6"/>
      <c r="RJ1370" s="6"/>
      <c r="RK1370" s="6"/>
      <c r="RL1370" s="45"/>
      <c r="RM1370" s="4"/>
      <c r="RN1370" s="4"/>
      <c r="RO1370" s="4"/>
      <c r="RP1370" s="6"/>
    </row>
    <row r="1371" spans="1:484" x14ac:dyDescent="0.25">
      <c r="A1371" s="46"/>
      <c r="B1371" s="47"/>
      <c r="C1371" s="127"/>
      <c r="D1371" s="127"/>
      <c r="E1371" s="127"/>
      <c r="F1371" s="127"/>
      <c r="G1371" s="127"/>
      <c r="H1371" s="127"/>
      <c r="I1371" s="127"/>
      <c r="J1371" s="127"/>
      <c r="K1371" s="127"/>
      <c r="L1371" s="127"/>
      <c r="M1371" s="127"/>
      <c r="RG1371" s="6"/>
      <c r="RH1371" s="6"/>
      <c r="RI1371" s="6"/>
      <c r="RJ1371" s="6"/>
      <c r="RK1371" s="6"/>
      <c r="RL1371" s="45"/>
      <c r="RM1371" s="4"/>
      <c r="RN1371" s="4"/>
      <c r="RO1371" s="4"/>
      <c r="RP1371" s="6"/>
    </row>
    <row r="1372" spans="1:484" x14ac:dyDescent="0.25">
      <c r="A1372" s="46"/>
      <c r="B1372" s="47"/>
      <c r="C1372" s="127"/>
      <c r="D1372" s="127"/>
      <c r="E1372" s="127"/>
      <c r="F1372" s="127"/>
      <c r="G1372" s="127"/>
      <c r="H1372" s="127"/>
      <c r="I1372" s="127"/>
      <c r="J1372" s="127"/>
      <c r="K1372" s="127"/>
      <c r="L1372" s="127"/>
      <c r="M1372" s="127"/>
      <c r="RG1372" s="6"/>
      <c r="RH1372" s="6"/>
      <c r="RI1372" s="6"/>
      <c r="RJ1372" s="6"/>
      <c r="RK1372" s="6"/>
      <c r="RL1372" s="45"/>
      <c r="RM1372" s="4"/>
      <c r="RN1372" s="4"/>
      <c r="RO1372" s="4"/>
      <c r="RP1372" s="6"/>
    </row>
    <row r="1373" spans="1:484" x14ac:dyDescent="0.25">
      <c r="A1373" s="46"/>
      <c r="B1373" s="47"/>
      <c r="C1373" s="127"/>
      <c r="D1373" s="127"/>
      <c r="E1373" s="127"/>
      <c r="F1373" s="127"/>
      <c r="G1373" s="127"/>
      <c r="H1373" s="127"/>
      <c r="I1373" s="127"/>
      <c r="J1373" s="127"/>
      <c r="K1373" s="127"/>
      <c r="L1373" s="127"/>
      <c r="M1373" s="127"/>
      <c r="RG1373" s="6"/>
      <c r="RH1373" s="6"/>
      <c r="RI1373" s="6"/>
      <c r="RJ1373" s="6"/>
      <c r="RK1373" s="6"/>
      <c r="RL1373" s="45"/>
      <c r="RM1373" s="4"/>
      <c r="RN1373" s="4"/>
      <c r="RO1373" s="4"/>
      <c r="RP1373" s="6"/>
    </row>
    <row r="1374" spans="1:484" x14ac:dyDescent="0.25">
      <c r="A1374" s="46"/>
      <c r="B1374" s="47"/>
      <c r="C1374" s="127"/>
      <c r="D1374" s="127"/>
      <c r="E1374" s="127"/>
      <c r="F1374" s="127"/>
      <c r="G1374" s="127"/>
      <c r="H1374" s="127"/>
      <c r="I1374" s="127"/>
      <c r="J1374" s="127"/>
      <c r="K1374" s="127"/>
      <c r="L1374" s="127"/>
      <c r="M1374" s="127"/>
      <c r="RG1374" s="6"/>
      <c r="RH1374" s="6"/>
      <c r="RI1374" s="6"/>
      <c r="RJ1374" s="6"/>
      <c r="RK1374" s="6"/>
      <c r="RL1374" s="45"/>
      <c r="RM1374" s="4"/>
      <c r="RN1374" s="4"/>
      <c r="RO1374" s="4"/>
      <c r="RP1374" s="6"/>
    </row>
    <row r="1375" spans="1:484" x14ac:dyDescent="0.25">
      <c r="A1375" s="46"/>
      <c r="B1375" s="47"/>
      <c r="C1375" s="127"/>
      <c r="D1375" s="127"/>
      <c r="E1375" s="127"/>
      <c r="F1375" s="127"/>
      <c r="G1375" s="127"/>
      <c r="H1375" s="127"/>
      <c r="I1375" s="127"/>
      <c r="J1375" s="127"/>
      <c r="K1375" s="127"/>
      <c r="L1375" s="127"/>
      <c r="M1375" s="127"/>
      <c r="RG1375" s="6"/>
      <c r="RH1375" s="6"/>
      <c r="RI1375" s="6"/>
      <c r="RJ1375" s="6"/>
      <c r="RK1375" s="6"/>
      <c r="RL1375" s="45"/>
      <c r="RM1375" s="4"/>
      <c r="RN1375" s="4"/>
      <c r="RO1375" s="4"/>
      <c r="RP1375" s="6"/>
    </row>
    <row r="1376" spans="1:484" x14ac:dyDescent="0.25">
      <c r="A1376" s="46"/>
      <c r="B1376" s="47"/>
      <c r="C1376" s="127"/>
      <c r="D1376" s="127"/>
      <c r="E1376" s="127"/>
      <c r="F1376" s="127"/>
      <c r="G1376" s="127"/>
      <c r="H1376" s="127"/>
      <c r="I1376" s="127"/>
      <c r="J1376" s="127"/>
      <c r="K1376" s="127"/>
      <c r="L1376" s="127"/>
      <c r="M1376" s="127"/>
      <c r="RG1376" s="6"/>
      <c r="RH1376" s="6"/>
      <c r="RI1376" s="6"/>
      <c r="RJ1376" s="6"/>
      <c r="RK1376" s="6"/>
      <c r="RL1376" s="45"/>
      <c r="RM1376" s="4"/>
      <c r="RN1376" s="4"/>
      <c r="RO1376" s="4"/>
      <c r="RP1376" s="6"/>
    </row>
    <row r="1377" spans="1:484" x14ac:dyDescent="0.25">
      <c r="A1377" s="46"/>
      <c r="B1377" s="47"/>
      <c r="C1377" s="127"/>
      <c r="D1377" s="127"/>
      <c r="E1377" s="127"/>
      <c r="F1377" s="127"/>
      <c r="G1377" s="127"/>
      <c r="H1377" s="127"/>
      <c r="I1377" s="127"/>
      <c r="J1377" s="127"/>
      <c r="K1377" s="127"/>
      <c r="L1377" s="127"/>
      <c r="M1377" s="127"/>
      <c r="RG1377" s="6"/>
      <c r="RH1377" s="6"/>
      <c r="RI1377" s="6"/>
      <c r="RJ1377" s="6"/>
      <c r="RK1377" s="6"/>
      <c r="RL1377" s="45"/>
      <c r="RM1377" s="4"/>
      <c r="RN1377" s="4"/>
      <c r="RO1377" s="4"/>
      <c r="RP1377" s="6"/>
    </row>
    <row r="1378" spans="1:484" x14ac:dyDescent="0.25">
      <c r="A1378" s="46"/>
      <c r="B1378" s="47"/>
      <c r="C1378" s="127"/>
      <c r="D1378" s="127"/>
      <c r="E1378" s="127"/>
      <c r="F1378" s="127"/>
      <c r="G1378" s="127"/>
      <c r="H1378" s="127"/>
      <c r="I1378" s="127"/>
      <c r="J1378" s="127"/>
      <c r="K1378" s="127"/>
      <c r="L1378" s="127"/>
      <c r="M1378" s="127"/>
      <c r="RG1378" s="6"/>
      <c r="RH1378" s="6"/>
      <c r="RI1378" s="6"/>
      <c r="RJ1378" s="6"/>
      <c r="RK1378" s="6"/>
      <c r="RL1378" s="45"/>
      <c r="RM1378" s="4"/>
      <c r="RN1378" s="4"/>
      <c r="RO1378" s="4"/>
      <c r="RP1378" s="6"/>
    </row>
    <row r="1379" spans="1:484" x14ac:dyDescent="0.25">
      <c r="A1379" s="46"/>
      <c r="B1379" s="47"/>
      <c r="C1379" s="127"/>
      <c r="D1379" s="127"/>
      <c r="E1379" s="127"/>
      <c r="F1379" s="127"/>
      <c r="G1379" s="127"/>
      <c r="H1379" s="127"/>
      <c r="I1379" s="127"/>
      <c r="J1379" s="127"/>
      <c r="K1379" s="127"/>
      <c r="L1379" s="127"/>
      <c r="M1379" s="127"/>
      <c r="RG1379" s="6"/>
      <c r="RH1379" s="6"/>
      <c r="RI1379" s="6"/>
      <c r="RJ1379" s="6"/>
      <c r="RK1379" s="6"/>
      <c r="RL1379" s="45"/>
      <c r="RM1379" s="4"/>
      <c r="RN1379" s="4"/>
      <c r="RO1379" s="4"/>
      <c r="RP1379" s="6"/>
    </row>
    <row r="1380" spans="1:484" x14ac:dyDescent="0.25">
      <c r="A1380" s="46"/>
      <c r="B1380" s="47"/>
      <c r="C1380" s="127"/>
      <c r="D1380" s="127"/>
      <c r="E1380" s="127"/>
      <c r="F1380" s="127"/>
      <c r="G1380" s="127"/>
      <c r="H1380" s="127"/>
      <c r="I1380" s="127"/>
      <c r="J1380" s="127"/>
      <c r="K1380" s="127"/>
      <c r="L1380" s="127"/>
      <c r="M1380" s="127"/>
      <c r="RG1380" s="6"/>
      <c r="RH1380" s="6"/>
      <c r="RI1380" s="6"/>
      <c r="RJ1380" s="6"/>
      <c r="RK1380" s="6"/>
      <c r="RL1380" s="45"/>
      <c r="RM1380" s="4"/>
      <c r="RN1380" s="4"/>
      <c r="RO1380" s="4"/>
      <c r="RP1380" s="6"/>
    </row>
    <row r="1381" spans="1:484" x14ac:dyDescent="0.25">
      <c r="A1381" s="46"/>
      <c r="B1381" s="47"/>
      <c r="C1381" s="127"/>
      <c r="D1381" s="127"/>
      <c r="E1381" s="127"/>
      <c r="F1381" s="127"/>
      <c r="G1381" s="127"/>
      <c r="H1381" s="127"/>
      <c r="I1381" s="127"/>
      <c r="J1381" s="127"/>
      <c r="K1381" s="127"/>
      <c r="L1381" s="127"/>
      <c r="M1381" s="127"/>
      <c r="RG1381" s="6"/>
      <c r="RH1381" s="6"/>
      <c r="RI1381" s="6"/>
      <c r="RJ1381" s="6"/>
      <c r="RK1381" s="6"/>
      <c r="RL1381" s="45"/>
      <c r="RM1381" s="4"/>
      <c r="RN1381" s="4"/>
      <c r="RO1381" s="4"/>
      <c r="RP1381" s="6"/>
    </row>
    <row r="1382" spans="1:484" x14ac:dyDescent="0.25">
      <c r="A1382" s="46"/>
      <c r="B1382" s="47"/>
      <c r="C1382" s="127"/>
      <c r="D1382" s="127"/>
      <c r="E1382" s="127"/>
      <c r="F1382" s="127"/>
      <c r="G1382" s="127"/>
      <c r="H1382" s="127"/>
      <c r="I1382" s="127"/>
      <c r="J1382" s="127"/>
      <c r="K1382" s="127"/>
      <c r="L1382" s="127"/>
      <c r="M1382" s="127"/>
      <c r="RG1382" s="6"/>
      <c r="RH1382" s="6"/>
      <c r="RI1382" s="6"/>
      <c r="RJ1382" s="6"/>
      <c r="RK1382" s="6"/>
      <c r="RL1382" s="45"/>
      <c r="RM1382" s="4"/>
      <c r="RN1382" s="4"/>
      <c r="RO1382" s="4"/>
      <c r="RP1382" s="6"/>
    </row>
    <row r="1383" spans="1:484" x14ac:dyDescent="0.25">
      <c r="A1383" s="46"/>
      <c r="B1383" s="47"/>
      <c r="C1383" s="127"/>
      <c r="D1383" s="127"/>
      <c r="E1383" s="127"/>
      <c r="F1383" s="127"/>
      <c r="G1383" s="127"/>
      <c r="H1383" s="127"/>
      <c r="I1383" s="127"/>
      <c r="J1383" s="127"/>
      <c r="K1383" s="127"/>
      <c r="L1383" s="127"/>
      <c r="M1383" s="127"/>
      <c r="RG1383" s="6"/>
      <c r="RH1383" s="6"/>
      <c r="RI1383" s="6"/>
      <c r="RJ1383" s="6"/>
      <c r="RK1383" s="6"/>
      <c r="RL1383" s="45"/>
      <c r="RM1383" s="4"/>
      <c r="RN1383" s="4"/>
      <c r="RO1383" s="4"/>
      <c r="RP1383" s="6"/>
    </row>
    <row r="1384" spans="1:484" x14ac:dyDescent="0.25">
      <c r="A1384" s="46"/>
      <c r="B1384" s="47"/>
      <c r="C1384" s="127"/>
      <c r="D1384" s="127"/>
      <c r="E1384" s="127"/>
      <c r="F1384" s="127"/>
      <c r="G1384" s="127"/>
      <c r="H1384" s="127"/>
      <c r="I1384" s="127"/>
      <c r="J1384" s="127"/>
      <c r="K1384" s="127"/>
      <c r="L1384" s="127"/>
      <c r="M1384" s="127"/>
      <c r="RG1384" s="6"/>
      <c r="RH1384" s="6"/>
      <c r="RI1384" s="6"/>
      <c r="RJ1384" s="6"/>
      <c r="RK1384" s="6"/>
      <c r="RL1384" s="45"/>
      <c r="RM1384" s="4"/>
      <c r="RN1384" s="4"/>
      <c r="RO1384" s="4"/>
      <c r="RP1384" s="6"/>
    </row>
    <row r="1385" spans="1:484" x14ac:dyDescent="0.25">
      <c r="A1385" s="46"/>
      <c r="B1385" s="47"/>
      <c r="C1385" s="127"/>
      <c r="D1385" s="127"/>
      <c r="E1385" s="127"/>
      <c r="F1385" s="127"/>
      <c r="G1385" s="127"/>
      <c r="H1385" s="127"/>
      <c r="I1385" s="127"/>
      <c r="J1385" s="127"/>
      <c r="K1385" s="127"/>
      <c r="L1385" s="127"/>
      <c r="M1385" s="127"/>
      <c r="RG1385" s="6"/>
      <c r="RH1385" s="6"/>
      <c r="RI1385" s="6"/>
      <c r="RJ1385" s="6"/>
      <c r="RK1385" s="6"/>
      <c r="RL1385" s="45"/>
      <c r="RM1385" s="4"/>
      <c r="RN1385" s="4"/>
      <c r="RO1385" s="4"/>
      <c r="RP1385" s="6"/>
    </row>
    <row r="1386" spans="1:484" x14ac:dyDescent="0.25">
      <c r="A1386" s="46"/>
      <c r="B1386" s="47"/>
      <c r="C1386" s="127"/>
      <c r="D1386" s="127"/>
      <c r="E1386" s="127"/>
      <c r="F1386" s="127"/>
      <c r="G1386" s="127"/>
      <c r="H1386" s="127"/>
      <c r="I1386" s="127"/>
      <c r="J1386" s="127"/>
      <c r="K1386" s="127"/>
      <c r="L1386" s="127"/>
      <c r="M1386" s="127"/>
      <c r="RG1386" s="6"/>
      <c r="RH1386" s="6"/>
      <c r="RI1386" s="6"/>
      <c r="RJ1386" s="6"/>
      <c r="RK1386" s="6"/>
      <c r="RL1386" s="45"/>
      <c r="RM1386" s="4"/>
      <c r="RN1386" s="4"/>
      <c r="RO1386" s="4"/>
      <c r="RP1386" s="6"/>
    </row>
    <row r="1387" spans="1:484" x14ac:dyDescent="0.25">
      <c r="A1387" s="46"/>
      <c r="B1387" s="47"/>
      <c r="C1387" s="127"/>
      <c r="D1387" s="127"/>
      <c r="E1387" s="127"/>
      <c r="F1387" s="127"/>
      <c r="G1387" s="127"/>
      <c r="H1387" s="127"/>
      <c r="I1387" s="127"/>
      <c r="J1387" s="127"/>
      <c r="K1387" s="127"/>
      <c r="L1387" s="127"/>
      <c r="M1387" s="127"/>
      <c r="RG1387" s="6"/>
      <c r="RH1387" s="6"/>
      <c r="RI1387" s="6"/>
      <c r="RJ1387" s="6"/>
      <c r="RK1387" s="6"/>
      <c r="RL1387" s="45"/>
      <c r="RM1387" s="4"/>
      <c r="RN1387" s="4"/>
      <c r="RO1387" s="4"/>
      <c r="RP1387" s="6"/>
    </row>
    <row r="1388" spans="1:484" x14ac:dyDescent="0.25">
      <c r="A1388" s="46"/>
      <c r="B1388" s="47"/>
      <c r="C1388" s="127"/>
      <c r="D1388" s="127"/>
      <c r="E1388" s="127"/>
      <c r="F1388" s="127"/>
      <c r="G1388" s="127"/>
      <c r="H1388" s="127"/>
      <c r="I1388" s="127"/>
      <c r="J1388" s="127"/>
      <c r="K1388" s="127"/>
      <c r="L1388" s="127"/>
      <c r="M1388" s="127"/>
      <c r="RG1388" s="6"/>
      <c r="RH1388" s="6"/>
      <c r="RI1388" s="6"/>
      <c r="RJ1388" s="6"/>
      <c r="RK1388" s="6"/>
      <c r="RL1388" s="45"/>
      <c r="RM1388" s="4"/>
      <c r="RN1388" s="4"/>
      <c r="RO1388" s="4"/>
      <c r="RP1388" s="6"/>
    </row>
    <row r="1389" spans="1:484" x14ac:dyDescent="0.25">
      <c r="A1389" s="46"/>
      <c r="B1389" s="47"/>
      <c r="C1389" s="127"/>
      <c r="D1389" s="127"/>
      <c r="E1389" s="127"/>
      <c r="F1389" s="127"/>
      <c r="G1389" s="127"/>
      <c r="H1389" s="127"/>
      <c r="I1389" s="127"/>
      <c r="J1389" s="127"/>
      <c r="K1389" s="127"/>
      <c r="L1389" s="127"/>
      <c r="M1389" s="127"/>
      <c r="RG1389" s="6"/>
      <c r="RH1389" s="6"/>
      <c r="RI1389" s="6"/>
      <c r="RJ1389" s="6"/>
      <c r="RK1389" s="6"/>
      <c r="RL1389" s="45"/>
      <c r="RM1389" s="4"/>
      <c r="RN1389" s="4"/>
      <c r="RO1389" s="4"/>
      <c r="RP1389" s="6"/>
    </row>
    <row r="1390" spans="1:484" x14ac:dyDescent="0.25">
      <c r="A1390" s="46"/>
      <c r="B1390" s="47"/>
      <c r="C1390" s="127"/>
      <c r="D1390" s="127"/>
      <c r="E1390" s="127"/>
      <c r="F1390" s="127"/>
      <c r="G1390" s="127"/>
      <c r="H1390" s="127"/>
      <c r="I1390" s="127"/>
      <c r="J1390" s="127"/>
      <c r="K1390" s="127"/>
      <c r="L1390" s="127"/>
      <c r="M1390" s="127"/>
      <c r="RG1390" s="6"/>
      <c r="RH1390" s="6"/>
      <c r="RI1390" s="6"/>
      <c r="RJ1390" s="6"/>
      <c r="RK1390" s="6"/>
      <c r="RL1390" s="45"/>
      <c r="RM1390" s="4"/>
      <c r="RN1390" s="4"/>
      <c r="RO1390" s="4"/>
      <c r="RP1390" s="6"/>
    </row>
    <row r="1391" spans="1:484" x14ac:dyDescent="0.25">
      <c r="A1391" s="46"/>
      <c r="B1391" s="47"/>
      <c r="C1391" s="127"/>
      <c r="D1391" s="127"/>
      <c r="E1391" s="127"/>
      <c r="F1391" s="127"/>
      <c r="G1391" s="127"/>
      <c r="H1391" s="127"/>
      <c r="I1391" s="127"/>
      <c r="J1391" s="127"/>
      <c r="K1391" s="127"/>
      <c r="L1391" s="127"/>
      <c r="M1391" s="127"/>
      <c r="RG1391" s="6"/>
      <c r="RH1391" s="6"/>
      <c r="RI1391" s="6"/>
      <c r="RJ1391" s="6"/>
      <c r="RK1391" s="6"/>
      <c r="RL1391" s="45"/>
      <c r="RM1391" s="4"/>
      <c r="RN1391" s="4"/>
      <c r="RO1391" s="4"/>
      <c r="RP1391" s="6"/>
    </row>
    <row r="1392" spans="1:484" x14ac:dyDescent="0.25">
      <c r="A1392" s="46"/>
      <c r="B1392" s="47"/>
      <c r="C1392" s="127"/>
      <c r="D1392" s="127"/>
      <c r="E1392" s="127"/>
      <c r="F1392" s="127"/>
      <c r="G1392" s="127"/>
      <c r="H1392" s="127"/>
      <c r="I1392" s="127"/>
      <c r="J1392" s="127"/>
      <c r="K1392" s="127"/>
      <c r="L1392" s="127"/>
      <c r="M1392" s="127"/>
      <c r="RG1392" s="6"/>
      <c r="RH1392" s="6"/>
      <c r="RI1392" s="6"/>
      <c r="RJ1392" s="6"/>
      <c r="RK1392" s="6"/>
      <c r="RL1392" s="45"/>
      <c r="RM1392" s="4"/>
      <c r="RN1392" s="4"/>
      <c r="RO1392" s="4"/>
      <c r="RP1392" s="6"/>
    </row>
    <row r="1393" spans="1:484" x14ac:dyDescent="0.25">
      <c r="A1393" s="46"/>
      <c r="B1393" s="47"/>
      <c r="C1393" s="127"/>
      <c r="D1393" s="127"/>
      <c r="E1393" s="127"/>
      <c r="F1393" s="127"/>
      <c r="G1393" s="127"/>
      <c r="H1393" s="127"/>
      <c r="I1393" s="127"/>
      <c r="J1393" s="127"/>
      <c r="K1393" s="127"/>
      <c r="L1393" s="127"/>
      <c r="M1393" s="127"/>
      <c r="RG1393" s="6"/>
      <c r="RH1393" s="6"/>
      <c r="RI1393" s="6"/>
      <c r="RJ1393" s="6"/>
      <c r="RK1393" s="6"/>
      <c r="RL1393" s="45"/>
      <c r="RM1393" s="4"/>
      <c r="RN1393" s="4"/>
      <c r="RO1393" s="4"/>
      <c r="RP1393" s="6"/>
    </row>
    <row r="1394" spans="1:484" x14ac:dyDescent="0.25">
      <c r="A1394" s="46"/>
      <c r="B1394" s="47"/>
      <c r="C1394" s="127"/>
      <c r="D1394" s="127"/>
      <c r="E1394" s="127"/>
      <c r="F1394" s="127"/>
      <c r="G1394" s="127"/>
      <c r="H1394" s="127"/>
      <c r="I1394" s="127"/>
      <c r="J1394" s="127"/>
      <c r="K1394" s="127"/>
      <c r="L1394" s="127"/>
      <c r="M1394" s="127"/>
      <c r="RG1394" s="6"/>
      <c r="RH1394" s="6"/>
      <c r="RI1394" s="6"/>
      <c r="RJ1394" s="6"/>
      <c r="RK1394" s="6"/>
      <c r="RL1394" s="45"/>
      <c r="RM1394" s="4"/>
      <c r="RN1394" s="4"/>
      <c r="RO1394" s="4"/>
      <c r="RP1394" s="6"/>
    </row>
    <row r="1395" spans="1:484" x14ac:dyDescent="0.25">
      <c r="A1395" s="46"/>
      <c r="B1395" s="47"/>
      <c r="C1395" s="127"/>
      <c r="D1395" s="127"/>
      <c r="E1395" s="127"/>
      <c r="F1395" s="127"/>
      <c r="G1395" s="127"/>
      <c r="H1395" s="127"/>
      <c r="I1395" s="127"/>
      <c r="J1395" s="127"/>
      <c r="K1395" s="127"/>
      <c r="L1395" s="127"/>
      <c r="M1395" s="127"/>
      <c r="RG1395" s="6"/>
      <c r="RH1395" s="6"/>
      <c r="RI1395" s="6"/>
      <c r="RJ1395" s="6"/>
      <c r="RK1395" s="6"/>
      <c r="RL1395" s="45"/>
      <c r="RM1395" s="4"/>
      <c r="RN1395" s="4"/>
      <c r="RO1395" s="4"/>
      <c r="RP1395" s="6"/>
    </row>
    <row r="1396" spans="1:484" x14ac:dyDescent="0.25">
      <c r="A1396" s="46"/>
      <c r="B1396" s="47"/>
      <c r="C1396" s="127"/>
      <c r="D1396" s="127"/>
      <c r="E1396" s="127"/>
      <c r="F1396" s="127"/>
      <c r="G1396" s="127"/>
      <c r="H1396" s="127"/>
      <c r="I1396" s="127"/>
      <c r="J1396" s="127"/>
      <c r="K1396" s="127"/>
      <c r="L1396" s="127"/>
      <c r="M1396" s="127"/>
      <c r="RG1396" s="6"/>
      <c r="RH1396" s="6"/>
      <c r="RI1396" s="6"/>
      <c r="RJ1396" s="6"/>
      <c r="RK1396" s="6"/>
      <c r="RL1396" s="45"/>
      <c r="RM1396" s="4"/>
      <c r="RN1396" s="4"/>
      <c r="RO1396" s="4"/>
      <c r="RP1396" s="6"/>
    </row>
    <row r="1397" spans="1:484" x14ac:dyDescent="0.25">
      <c r="A1397" s="46"/>
      <c r="B1397" s="47"/>
      <c r="C1397" s="127"/>
      <c r="D1397" s="127"/>
      <c r="E1397" s="127"/>
      <c r="F1397" s="127"/>
      <c r="G1397" s="127"/>
      <c r="H1397" s="127"/>
      <c r="I1397" s="127"/>
      <c r="J1397" s="127"/>
      <c r="K1397" s="127"/>
      <c r="L1397" s="127"/>
      <c r="M1397" s="127"/>
      <c r="RG1397" s="6"/>
      <c r="RH1397" s="6"/>
      <c r="RI1397" s="6"/>
      <c r="RJ1397" s="6"/>
      <c r="RK1397" s="6"/>
      <c r="RL1397" s="45"/>
      <c r="RM1397" s="4"/>
      <c r="RN1397" s="4"/>
      <c r="RO1397" s="4"/>
      <c r="RP1397" s="6"/>
    </row>
    <row r="1398" spans="1:484" x14ac:dyDescent="0.25">
      <c r="A1398" s="46"/>
      <c r="B1398" s="47"/>
      <c r="C1398" s="127"/>
      <c r="D1398" s="127"/>
      <c r="E1398" s="127"/>
      <c r="F1398" s="127"/>
      <c r="G1398" s="127"/>
      <c r="H1398" s="127"/>
      <c r="I1398" s="127"/>
      <c r="J1398" s="127"/>
      <c r="K1398" s="127"/>
      <c r="L1398" s="127"/>
      <c r="M1398" s="127"/>
      <c r="RG1398" s="6"/>
      <c r="RH1398" s="6"/>
      <c r="RI1398" s="6"/>
      <c r="RJ1398" s="6"/>
      <c r="RK1398" s="6"/>
      <c r="RL1398" s="45"/>
      <c r="RM1398" s="4"/>
      <c r="RN1398" s="4"/>
      <c r="RO1398" s="4"/>
      <c r="RP1398" s="6"/>
    </row>
    <row r="1399" spans="1:484" x14ac:dyDescent="0.25">
      <c r="A1399" s="46"/>
      <c r="B1399" s="47"/>
      <c r="C1399" s="127"/>
      <c r="D1399" s="127"/>
      <c r="E1399" s="127"/>
      <c r="F1399" s="127"/>
      <c r="G1399" s="127"/>
      <c r="H1399" s="127"/>
      <c r="I1399" s="127"/>
      <c r="J1399" s="127"/>
      <c r="K1399" s="127"/>
      <c r="L1399" s="127"/>
      <c r="M1399" s="127"/>
      <c r="RG1399" s="6"/>
      <c r="RH1399" s="6"/>
      <c r="RI1399" s="6"/>
      <c r="RJ1399" s="6"/>
      <c r="RK1399" s="6"/>
      <c r="RL1399" s="45"/>
      <c r="RM1399" s="4"/>
      <c r="RN1399" s="4"/>
      <c r="RO1399" s="4"/>
      <c r="RP1399" s="6"/>
    </row>
    <row r="1400" spans="1:484" x14ac:dyDescent="0.25">
      <c r="A1400" s="46"/>
      <c r="B1400" s="47"/>
      <c r="C1400" s="127"/>
      <c r="D1400" s="127"/>
      <c r="E1400" s="127"/>
      <c r="F1400" s="127"/>
      <c r="G1400" s="127"/>
      <c r="H1400" s="127"/>
      <c r="I1400" s="127"/>
      <c r="J1400" s="127"/>
      <c r="K1400" s="127"/>
      <c r="L1400" s="127"/>
      <c r="M1400" s="127"/>
      <c r="RG1400" s="6"/>
      <c r="RH1400" s="6"/>
      <c r="RI1400" s="6"/>
      <c r="RJ1400" s="6"/>
      <c r="RK1400" s="6"/>
      <c r="RL1400" s="45"/>
      <c r="RM1400" s="4"/>
      <c r="RN1400" s="4"/>
      <c r="RO1400" s="4"/>
      <c r="RP1400" s="6"/>
    </row>
    <row r="1401" spans="1:484" x14ac:dyDescent="0.25">
      <c r="A1401" s="46"/>
      <c r="B1401" s="47"/>
      <c r="C1401" s="127"/>
      <c r="D1401" s="127"/>
      <c r="E1401" s="127"/>
      <c r="F1401" s="127"/>
      <c r="G1401" s="127"/>
      <c r="H1401" s="127"/>
      <c r="I1401" s="127"/>
      <c r="J1401" s="127"/>
      <c r="K1401" s="127"/>
      <c r="L1401" s="127"/>
      <c r="M1401" s="127"/>
      <c r="RG1401" s="6"/>
      <c r="RH1401" s="6"/>
      <c r="RI1401" s="6"/>
      <c r="RJ1401" s="6"/>
      <c r="RK1401" s="6"/>
      <c r="RL1401" s="45"/>
      <c r="RM1401" s="4"/>
      <c r="RN1401" s="4"/>
      <c r="RO1401" s="4"/>
      <c r="RP1401" s="6"/>
    </row>
    <row r="1402" spans="1:484" x14ac:dyDescent="0.25">
      <c r="A1402" s="46"/>
      <c r="B1402" s="47"/>
      <c r="C1402" s="127"/>
      <c r="D1402" s="127"/>
      <c r="E1402" s="127"/>
      <c r="F1402" s="127"/>
      <c r="G1402" s="127"/>
      <c r="H1402" s="127"/>
      <c r="I1402" s="127"/>
      <c r="J1402" s="127"/>
      <c r="K1402" s="127"/>
      <c r="L1402" s="127"/>
      <c r="M1402" s="127"/>
      <c r="RG1402" s="6"/>
      <c r="RH1402" s="6"/>
      <c r="RI1402" s="6"/>
      <c r="RJ1402" s="6"/>
      <c r="RK1402" s="6"/>
      <c r="RL1402" s="45"/>
      <c r="RM1402" s="4"/>
      <c r="RN1402" s="4"/>
      <c r="RO1402" s="4"/>
      <c r="RP1402" s="6"/>
    </row>
    <row r="1403" spans="1:484" x14ac:dyDescent="0.25">
      <c r="A1403" s="46"/>
      <c r="B1403" s="47"/>
      <c r="C1403" s="127"/>
      <c r="D1403" s="127"/>
      <c r="E1403" s="127"/>
      <c r="F1403" s="127"/>
      <c r="G1403" s="127"/>
      <c r="H1403" s="127"/>
      <c r="I1403" s="127"/>
      <c r="J1403" s="127"/>
      <c r="K1403" s="127"/>
      <c r="L1403" s="127"/>
      <c r="M1403" s="127"/>
      <c r="RG1403" s="6"/>
      <c r="RH1403" s="6"/>
      <c r="RI1403" s="6"/>
      <c r="RJ1403" s="6"/>
      <c r="RK1403" s="6"/>
      <c r="RL1403" s="45"/>
      <c r="RM1403" s="4"/>
      <c r="RN1403" s="4"/>
      <c r="RO1403" s="4"/>
      <c r="RP1403" s="6"/>
    </row>
    <row r="1404" spans="1:484" x14ac:dyDescent="0.25">
      <c r="A1404" s="46"/>
      <c r="B1404" s="47"/>
      <c r="C1404" s="127"/>
      <c r="D1404" s="127"/>
      <c r="E1404" s="127"/>
      <c r="F1404" s="127"/>
      <c r="G1404" s="127"/>
      <c r="H1404" s="127"/>
      <c r="I1404" s="127"/>
      <c r="J1404" s="127"/>
      <c r="K1404" s="127"/>
      <c r="L1404" s="127"/>
      <c r="M1404" s="127"/>
      <c r="RG1404" s="6"/>
      <c r="RH1404" s="6"/>
      <c r="RI1404" s="6"/>
      <c r="RJ1404" s="6"/>
      <c r="RK1404" s="6"/>
      <c r="RL1404" s="45"/>
      <c r="RM1404" s="4"/>
      <c r="RN1404" s="4"/>
      <c r="RO1404" s="4"/>
      <c r="RP1404" s="6"/>
    </row>
    <row r="1405" spans="1:484" x14ac:dyDescent="0.25">
      <c r="A1405" s="46"/>
      <c r="B1405" s="47"/>
      <c r="C1405" s="127"/>
      <c r="D1405" s="127"/>
      <c r="E1405" s="127"/>
      <c r="F1405" s="127"/>
      <c r="G1405" s="127"/>
      <c r="H1405" s="127"/>
      <c r="I1405" s="127"/>
      <c r="J1405" s="127"/>
      <c r="K1405" s="127"/>
      <c r="L1405" s="127"/>
      <c r="M1405" s="127"/>
      <c r="RG1405" s="6"/>
      <c r="RH1405" s="6"/>
      <c r="RI1405" s="6"/>
      <c r="RJ1405" s="6"/>
      <c r="RK1405" s="6"/>
      <c r="RL1405" s="45"/>
      <c r="RM1405" s="4"/>
      <c r="RN1405" s="4"/>
      <c r="RO1405" s="4"/>
      <c r="RP1405" s="6"/>
    </row>
    <row r="1406" spans="1:484" x14ac:dyDescent="0.25">
      <c r="A1406" s="46"/>
      <c r="B1406" s="47"/>
      <c r="C1406" s="127"/>
      <c r="D1406" s="127"/>
      <c r="E1406" s="127"/>
      <c r="F1406" s="127"/>
      <c r="G1406" s="127"/>
      <c r="H1406" s="127"/>
      <c r="I1406" s="127"/>
      <c r="J1406" s="127"/>
      <c r="K1406" s="127"/>
      <c r="L1406" s="127"/>
      <c r="M1406" s="127"/>
      <c r="RG1406" s="6"/>
      <c r="RH1406" s="6"/>
      <c r="RI1406" s="6"/>
      <c r="RJ1406" s="6"/>
      <c r="RK1406" s="6"/>
      <c r="RL1406" s="45"/>
      <c r="RM1406" s="4"/>
      <c r="RN1406" s="4"/>
      <c r="RO1406" s="4"/>
      <c r="RP1406" s="6"/>
    </row>
    <row r="1407" spans="1:484" x14ac:dyDescent="0.25">
      <c r="A1407" s="46"/>
      <c r="B1407" s="47"/>
      <c r="C1407" s="127"/>
      <c r="D1407" s="127"/>
      <c r="E1407" s="127"/>
      <c r="F1407" s="127"/>
      <c r="G1407" s="127"/>
      <c r="H1407" s="127"/>
      <c r="I1407" s="127"/>
      <c r="J1407" s="127"/>
      <c r="K1407" s="127"/>
      <c r="L1407" s="127"/>
      <c r="M1407" s="127"/>
      <c r="RG1407" s="6"/>
      <c r="RH1407" s="6"/>
      <c r="RI1407" s="6"/>
      <c r="RJ1407" s="6"/>
      <c r="RK1407" s="6"/>
      <c r="RL1407" s="45"/>
      <c r="RM1407" s="4"/>
      <c r="RN1407" s="4"/>
      <c r="RO1407" s="4"/>
      <c r="RP1407" s="6"/>
    </row>
    <row r="1408" spans="1:484" x14ac:dyDescent="0.25">
      <c r="A1408" s="46"/>
      <c r="B1408" s="47"/>
      <c r="C1408" s="127"/>
      <c r="D1408" s="127"/>
      <c r="E1408" s="127"/>
      <c r="F1408" s="127"/>
      <c r="G1408" s="127"/>
      <c r="H1408" s="127"/>
      <c r="I1408" s="127"/>
      <c r="J1408" s="127"/>
      <c r="K1408" s="127"/>
      <c r="L1408" s="127"/>
      <c r="M1408" s="127"/>
      <c r="RG1408" s="6"/>
      <c r="RH1408" s="6"/>
      <c r="RI1408" s="6"/>
      <c r="RJ1408" s="6"/>
      <c r="RK1408" s="6"/>
      <c r="RL1408" s="45"/>
      <c r="RM1408" s="4"/>
      <c r="RN1408" s="4"/>
      <c r="RO1408" s="4"/>
      <c r="RP1408" s="6"/>
    </row>
    <row r="1409" spans="1:484" x14ac:dyDescent="0.25">
      <c r="A1409" s="46"/>
      <c r="B1409" s="47"/>
      <c r="C1409" s="127"/>
      <c r="D1409" s="127"/>
      <c r="E1409" s="127"/>
      <c r="F1409" s="127"/>
      <c r="G1409" s="127"/>
      <c r="H1409" s="127"/>
      <c r="I1409" s="127"/>
      <c r="J1409" s="127"/>
      <c r="K1409" s="127"/>
      <c r="L1409" s="127"/>
      <c r="M1409" s="127"/>
      <c r="RG1409" s="6"/>
      <c r="RH1409" s="6"/>
      <c r="RI1409" s="6"/>
      <c r="RJ1409" s="6"/>
      <c r="RK1409" s="6"/>
      <c r="RL1409" s="45"/>
      <c r="RM1409" s="4"/>
      <c r="RN1409" s="4"/>
      <c r="RO1409" s="4"/>
      <c r="RP1409" s="6"/>
    </row>
    <row r="1410" spans="1:484" x14ac:dyDescent="0.25">
      <c r="A1410" s="46"/>
      <c r="B1410" s="47"/>
      <c r="C1410" s="127"/>
      <c r="D1410" s="127"/>
      <c r="E1410" s="127"/>
      <c r="F1410" s="127"/>
      <c r="G1410" s="127"/>
      <c r="H1410" s="127"/>
      <c r="I1410" s="127"/>
      <c r="J1410" s="127"/>
      <c r="K1410" s="127"/>
      <c r="L1410" s="127"/>
      <c r="M1410" s="127"/>
      <c r="RG1410" s="6"/>
      <c r="RH1410" s="6"/>
      <c r="RI1410" s="6"/>
      <c r="RJ1410" s="6"/>
      <c r="RK1410" s="6"/>
      <c r="RL1410" s="45"/>
      <c r="RM1410" s="4"/>
      <c r="RN1410" s="4"/>
      <c r="RO1410" s="4"/>
      <c r="RP1410" s="6"/>
    </row>
    <row r="1411" spans="1:484" x14ac:dyDescent="0.25">
      <c r="A1411" s="46"/>
      <c r="B1411" s="47"/>
      <c r="C1411" s="127"/>
      <c r="D1411" s="127"/>
      <c r="E1411" s="127"/>
      <c r="F1411" s="127"/>
      <c r="G1411" s="127"/>
      <c r="H1411" s="127"/>
      <c r="I1411" s="127"/>
      <c r="J1411" s="127"/>
      <c r="K1411" s="127"/>
      <c r="L1411" s="127"/>
      <c r="M1411" s="127"/>
      <c r="RG1411" s="6"/>
      <c r="RH1411" s="6"/>
      <c r="RI1411" s="6"/>
      <c r="RJ1411" s="6"/>
      <c r="RK1411" s="6"/>
      <c r="RL1411" s="45"/>
      <c r="RM1411" s="4"/>
      <c r="RN1411" s="4"/>
      <c r="RO1411" s="4"/>
      <c r="RP1411" s="6"/>
    </row>
    <row r="1412" spans="1:484" x14ac:dyDescent="0.25">
      <c r="A1412" s="46"/>
      <c r="B1412" s="47"/>
      <c r="C1412" s="127"/>
      <c r="D1412" s="127"/>
      <c r="E1412" s="127"/>
      <c r="F1412" s="127"/>
      <c r="G1412" s="127"/>
      <c r="H1412" s="127"/>
      <c r="I1412" s="127"/>
      <c r="J1412" s="127"/>
      <c r="K1412" s="127"/>
      <c r="L1412" s="127"/>
      <c r="M1412" s="127"/>
      <c r="RG1412" s="6"/>
      <c r="RH1412" s="6"/>
      <c r="RI1412" s="6"/>
      <c r="RJ1412" s="6"/>
      <c r="RK1412" s="6"/>
      <c r="RL1412" s="45"/>
      <c r="RM1412" s="4"/>
      <c r="RN1412" s="4"/>
      <c r="RO1412" s="4"/>
      <c r="RP1412" s="6"/>
    </row>
    <row r="1413" spans="1:484" x14ac:dyDescent="0.25">
      <c r="A1413" s="46"/>
      <c r="B1413" s="47"/>
      <c r="C1413" s="127"/>
      <c r="D1413" s="127"/>
      <c r="E1413" s="127"/>
      <c r="F1413" s="127"/>
      <c r="G1413" s="127"/>
      <c r="H1413" s="127"/>
      <c r="I1413" s="127"/>
      <c r="J1413" s="127"/>
      <c r="K1413" s="127"/>
      <c r="L1413" s="127"/>
      <c r="M1413" s="127"/>
      <c r="RG1413" s="6"/>
      <c r="RH1413" s="6"/>
      <c r="RI1413" s="6"/>
      <c r="RJ1413" s="6"/>
      <c r="RK1413" s="6"/>
      <c r="RL1413" s="45"/>
      <c r="RM1413" s="4"/>
      <c r="RN1413" s="4"/>
      <c r="RO1413" s="4"/>
      <c r="RP1413" s="6"/>
    </row>
    <row r="1414" spans="1:484" x14ac:dyDescent="0.25">
      <c r="A1414" s="46"/>
      <c r="B1414" s="47"/>
      <c r="C1414" s="127"/>
      <c r="D1414" s="127"/>
      <c r="E1414" s="127"/>
      <c r="F1414" s="127"/>
      <c r="G1414" s="127"/>
      <c r="H1414" s="127"/>
      <c r="I1414" s="127"/>
      <c r="J1414" s="127"/>
      <c r="K1414" s="127"/>
      <c r="L1414" s="127"/>
      <c r="M1414" s="127"/>
      <c r="RG1414" s="6"/>
      <c r="RH1414" s="6"/>
      <c r="RI1414" s="6"/>
      <c r="RJ1414" s="6"/>
      <c r="RK1414" s="6"/>
      <c r="RL1414" s="45"/>
      <c r="RM1414" s="4"/>
      <c r="RN1414" s="4"/>
      <c r="RO1414" s="4"/>
      <c r="RP1414" s="6"/>
    </row>
    <row r="1415" spans="1:484" x14ac:dyDescent="0.25">
      <c r="A1415" s="46"/>
      <c r="B1415" s="47"/>
      <c r="C1415" s="127"/>
      <c r="D1415" s="127"/>
      <c r="E1415" s="127"/>
      <c r="F1415" s="127"/>
      <c r="G1415" s="127"/>
      <c r="H1415" s="127"/>
      <c r="I1415" s="127"/>
      <c r="J1415" s="127"/>
      <c r="K1415" s="127"/>
      <c r="L1415" s="127"/>
      <c r="M1415" s="127"/>
      <c r="RG1415" s="6"/>
      <c r="RH1415" s="6"/>
      <c r="RI1415" s="6"/>
      <c r="RJ1415" s="6"/>
      <c r="RK1415" s="6"/>
      <c r="RL1415" s="45"/>
      <c r="RM1415" s="4"/>
      <c r="RN1415" s="4"/>
      <c r="RO1415" s="4"/>
      <c r="RP1415" s="6"/>
    </row>
    <row r="1416" spans="1:484" x14ac:dyDescent="0.25">
      <c r="A1416" s="46"/>
      <c r="B1416" s="47"/>
      <c r="C1416" s="127"/>
      <c r="D1416" s="127"/>
      <c r="E1416" s="127"/>
      <c r="F1416" s="127"/>
      <c r="G1416" s="127"/>
      <c r="H1416" s="127"/>
      <c r="I1416" s="127"/>
      <c r="J1416" s="127"/>
      <c r="K1416" s="127"/>
      <c r="L1416" s="127"/>
      <c r="M1416" s="127"/>
      <c r="RG1416" s="6"/>
      <c r="RH1416" s="6"/>
      <c r="RI1416" s="6"/>
      <c r="RJ1416" s="6"/>
      <c r="RK1416" s="6"/>
      <c r="RL1416" s="45"/>
      <c r="RM1416" s="4"/>
      <c r="RN1416" s="4"/>
      <c r="RO1416" s="4"/>
      <c r="RP1416" s="6"/>
    </row>
    <row r="1417" spans="1:484" x14ac:dyDescent="0.25">
      <c r="A1417" s="46"/>
      <c r="B1417" s="47"/>
      <c r="C1417" s="127"/>
      <c r="D1417" s="127"/>
      <c r="E1417" s="127"/>
      <c r="F1417" s="127"/>
      <c r="G1417" s="127"/>
      <c r="H1417" s="127"/>
      <c r="I1417" s="127"/>
      <c r="J1417" s="127"/>
      <c r="K1417" s="127"/>
      <c r="L1417" s="127"/>
      <c r="M1417" s="127"/>
      <c r="RG1417" s="6"/>
      <c r="RH1417" s="6"/>
      <c r="RI1417" s="6"/>
      <c r="RJ1417" s="6"/>
      <c r="RK1417" s="6"/>
      <c r="RL1417" s="45"/>
      <c r="RM1417" s="4"/>
      <c r="RN1417" s="4"/>
      <c r="RO1417" s="4"/>
      <c r="RP1417" s="6"/>
    </row>
    <row r="1418" spans="1:484" x14ac:dyDescent="0.25">
      <c r="A1418" s="46"/>
      <c r="B1418" s="47"/>
      <c r="C1418" s="127"/>
      <c r="D1418" s="127"/>
      <c r="E1418" s="127"/>
      <c r="F1418" s="127"/>
      <c r="G1418" s="127"/>
      <c r="H1418" s="127"/>
      <c r="I1418" s="127"/>
      <c r="J1418" s="127"/>
      <c r="K1418" s="127"/>
      <c r="L1418" s="127"/>
      <c r="M1418" s="127"/>
      <c r="RG1418" s="6"/>
      <c r="RH1418" s="6"/>
      <c r="RI1418" s="6"/>
      <c r="RJ1418" s="6"/>
      <c r="RK1418" s="6"/>
      <c r="RL1418" s="45"/>
      <c r="RM1418" s="4"/>
      <c r="RN1418" s="4"/>
      <c r="RO1418" s="4"/>
      <c r="RP1418" s="6"/>
    </row>
    <row r="1419" spans="1:484" x14ac:dyDescent="0.25">
      <c r="A1419" s="46"/>
      <c r="B1419" s="47"/>
      <c r="C1419" s="127"/>
      <c r="D1419" s="127"/>
      <c r="E1419" s="127"/>
      <c r="F1419" s="127"/>
      <c r="G1419" s="127"/>
      <c r="H1419" s="127"/>
      <c r="I1419" s="127"/>
      <c r="J1419" s="127"/>
      <c r="K1419" s="127"/>
      <c r="L1419" s="127"/>
      <c r="M1419" s="127"/>
      <c r="RG1419" s="6"/>
      <c r="RH1419" s="6"/>
      <c r="RI1419" s="6"/>
      <c r="RJ1419" s="6"/>
      <c r="RK1419" s="6"/>
      <c r="RL1419" s="45"/>
      <c r="RM1419" s="4"/>
      <c r="RN1419" s="4"/>
      <c r="RO1419" s="4"/>
      <c r="RP1419" s="6"/>
    </row>
    <row r="1420" spans="1:484" x14ac:dyDescent="0.25">
      <c r="A1420" s="46"/>
      <c r="B1420" s="47"/>
      <c r="C1420" s="127"/>
      <c r="D1420" s="127"/>
      <c r="E1420" s="127"/>
      <c r="F1420" s="127"/>
      <c r="G1420" s="127"/>
      <c r="H1420" s="127"/>
      <c r="I1420" s="127"/>
      <c r="J1420" s="127"/>
      <c r="K1420" s="127"/>
      <c r="L1420" s="127"/>
      <c r="M1420" s="127"/>
      <c r="RG1420" s="6"/>
      <c r="RH1420" s="6"/>
      <c r="RI1420" s="6"/>
      <c r="RJ1420" s="6"/>
      <c r="RK1420" s="6"/>
      <c r="RL1420" s="45"/>
      <c r="RM1420" s="4"/>
      <c r="RN1420" s="4"/>
      <c r="RO1420" s="4"/>
      <c r="RP1420" s="6"/>
    </row>
    <row r="1421" spans="1:484" x14ac:dyDescent="0.25">
      <c r="A1421" s="46"/>
      <c r="B1421" s="47"/>
      <c r="C1421" s="127"/>
      <c r="D1421" s="127"/>
      <c r="E1421" s="127"/>
      <c r="F1421" s="127"/>
      <c r="G1421" s="127"/>
      <c r="H1421" s="127"/>
      <c r="I1421" s="127"/>
      <c r="J1421" s="127"/>
      <c r="K1421" s="127"/>
      <c r="L1421" s="127"/>
      <c r="M1421" s="127"/>
      <c r="RG1421" s="6"/>
      <c r="RH1421" s="6"/>
      <c r="RI1421" s="6"/>
      <c r="RJ1421" s="6"/>
      <c r="RK1421" s="6"/>
      <c r="RL1421" s="45"/>
      <c r="RM1421" s="4"/>
      <c r="RN1421" s="4"/>
      <c r="RO1421" s="4"/>
      <c r="RP1421" s="6"/>
    </row>
    <row r="1422" spans="1:484" x14ac:dyDescent="0.25">
      <c r="A1422" s="46"/>
      <c r="B1422" s="47"/>
      <c r="C1422" s="127"/>
      <c r="D1422" s="127"/>
      <c r="E1422" s="127"/>
      <c r="F1422" s="127"/>
      <c r="G1422" s="127"/>
      <c r="H1422" s="127"/>
      <c r="I1422" s="127"/>
      <c r="J1422" s="127"/>
      <c r="K1422" s="127"/>
      <c r="L1422" s="127"/>
      <c r="M1422" s="127"/>
      <c r="RG1422" s="6"/>
      <c r="RH1422" s="6"/>
      <c r="RI1422" s="6"/>
      <c r="RJ1422" s="6"/>
      <c r="RK1422" s="6"/>
      <c r="RL1422" s="45"/>
      <c r="RM1422" s="4"/>
      <c r="RN1422" s="4"/>
      <c r="RO1422" s="4"/>
      <c r="RP1422" s="6"/>
    </row>
    <row r="1423" spans="1:484" x14ac:dyDescent="0.25">
      <c r="A1423" s="46"/>
      <c r="B1423" s="47"/>
      <c r="C1423" s="127"/>
      <c r="D1423" s="127"/>
      <c r="E1423" s="127"/>
      <c r="F1423" s="127"/>
      <c r="G1423" s="127"/>
      <c r="H1423" s="127"/>
      <c r="I1423" s="127"/>
      <c r="J1423" s="127"/>
      <c r="K1423" s="127"/>
      <c r="L1423" s="127"/>
      <c r="M1423" s="127"/>
      <c r="RG1423" s="6"/>
      <c r="RH1423" s="6"/>
      <c r="RI1423" s="6"/>
      <c r="RJ1423" s="6"/>
      <c r="RK1423" s="6"/>
      <c r="RL1423" s="45"/>
      <c r="RM1423" s="4"/>
      <c r="RN1423" s="4"/>
      <c r="RO1423" s="4"/>
      <c r="RP1423" s="6"/>
    </row>
    <row r="1424" spans="1:484" x14ac:dyDescent="0.25">
      <c r="A1424" s="46"/>
      <c r="B1424" s="47"/>
      <c r="C1424" s="127"/>
      <c r="D1424" s="127"/>
      <c r="E1424" s="127"/>
      <c r="F1424" s="127"/>
      <c r="G1424" s="127"/>
      <c r="H1424" s="127"/>
      <c r="I1424" s="127"/>
      <c r="J1424" s="127"/>
      <c r="K1424" s="127"/>
      <c r="L1424" s="127"/>
      <c r="M1424" s="127"/>
      <c r="RG1424" s="6"/>
      <c r="RH1424" s="6"/>
      <c r="RI1424" s="6"/>
      <c r="RJ1424" s="6"/>
      <c r="RK1424" s="6"/>
      <c r="RL1424" s="45"/>
      <c r="RM1424" s="4"/>
      <c r="RN1424" s="4"/>
      <c r="RO1424" s="4"/>
      <c r="RP1424" s="6"/>
    </row>
    <row r="1425" spans="1:484" x14ac:dyDescent="0.25">
      <c r="A1425" s="46"/>
      <c r="B1425" s="47"/>
      <c r="C1425" s="127"/>
      <c r="D1425" s="127"/>
      <c r="E1425" s="127"/>
      <c r="F1425" s="127"/>
      <c r="G1425" s="127"/>
      <c r="H1425" s="127"/>
      <c r="I1425" s="127"/>
      <c r="J1425" s="127"/>
      <c r="K1425" s="127"/>
      <c r="L1425" s="127"/>
      <c r="M1425" s="127"/>
      <c r="RG1425" s="6"/>
      <c r="RH1425" s="6"/>
      <c r="RI1425" s="6"/>
      <c r="RJ1425" s="6"/>
      <c r="RK1425" s="6"/>
      <c r="RL1425" s="45"/>
      <c r="RM1425" s="4"/>
      <c r="RN1425" s="4"/>
      <c r="RO1425" s="4"/>
      <c r="RP1425" s="6"/>
    </row>
    <row r="1426" spans="1:484" x14ac:dyDescent="0.25">
      <c r="A1426" s="46"/>
      <c r="B1426" s="47"/>
      <c r="C1426" s="127"/>
      <c r="D1426" s="127"/>
      <c r="E1426" s="127"/>
      <c r="F1426" s="127"/>
      <c r="G1426" s="127"/>
      <c r="H1426" s="127"/>
      <c r="I1426" s="127"/>
      <c r="J1426" s="127"/>
      <c r="K1426" s="127"/>
      <c r="L1426" s="127"/>
      <c r="M1426" s="127"/>
      <c r="RG1426" s="6"/>
      <c r="RH1426" s="6"/>
      <c r="RI1426" s="6"/>
      <c r="RJ1426" s="6"/>
      <c r="RK1426" s="6"/>
      <c r="RL1426" s="45"/>
      <c r="RM1426" s="4"/>
      <c r="RN1426" s="4"/>
      <c r="RO1426" s="4"/>
      <c r="RP1426" s="6"/>
    </row>
    <row r="1427" spans="1:484" x14ac:dyDescent="0.25">
      <c r="A1427" s="46"/>
      <c r="B1427" s="47"/>
      <c r="C1427" s="127"/>
      <c r="D1427" s="127"/>
      <c r="E1427" s="127"/>
      <c r="F1427" s="127"/>
      <c r="G1427" s="127"/>
      <c r="H1427" s="127"/>
      <c r="I1427" s="127"/>
      <c r="J1427" s="127"/>
      <c r="K1427" s="127"/>
      <c r="L1427" s="127"/>
      <c r="M1427" s="127"/>
      <c r="RG1427" s="6"/>
      <c r="RH1427" s="6"/>
      <c r="RI1427" s="6"/>
      <c r="RJ1427" s="6"/>
      <c r="RK1427" s="6"/>
      <c r="RL1427" s="45"/>
      <c r="RM1427" s="4"/>
      <c r="RN1427" s="4"/>
      <c r="RO1427" s="4"/>
      <c r="RP1427" s="6"/>
    </row>
    <row r="1428" spans="1:484" x14ac:dyDescent="0.25">
      <c r="A1428" s="46"/>
      <c r="B1428" s="47"/>
      <c r="C1428" s="127"/>
      <c r="D1428" s="127"/>
      <c r="E1428" s="127"/>
      <c r="F1428" s="127"/>
      <c r="G1428" s="127"/>
      <c r="H1428" s="127"/>
      <c r="I1428" s="127"/>
      <c r="J1428" s="127"/>
      <c r="K1428" s="127"/>
      <c r="L1428" s="127"/>
      <c r="M1428" s="127"/>
      <c r="RG1428" s="6"/>
      <c r="RH1428" s="6"/>
      <c r="RI1428" s="6"/>
      <c r="RJ1428" s="6"/>
      <c r="RK1428" s="6"/>
      <c r="RL1428" s="45"/>
      <c r="RM1428" s="4"/>
      <c r="RN1428" s="4"/>
      <c r="RO1428" s="4"/>
      <c r="RP1428" s="6"/>
    </row>
    <row r="1429" spans="1:484" x14ac:dyDescent="0.25">
      <c r="A1429" s="46"/>
      <c r="B1429" s="47"/>
      <c r="C1429" s="127"/>
      <c r="D1429" s="127"/>
      <c r="E1429" s="127"/>
      <c r="F1429" s="127"/>
      <c r="G1429" s="127"/>
      <c r="H1429" s="127"/>
      <c r="I1429" s="127"/>
      <c r="J1429" s="127"/>
      <c r="K1429" s="127"/>
      <c r="L1429" s="127"/>
      <c r="M1429" s="127"/>
      <c r="RG1429" s="6"/>
      <c r="RH1429" s="6"/>
      <c r="RI1429" s="6"/>
      <c r="RJ1429" s="6"/>
      <c r="RK1429" s="6"/>
      <c r="RL1429" s="45"/>
      <c r="RM1429" s="4"/>
      <c r="RN1429" s="4"/>
      <c r="RO1429" s="4"/>
      <c r="RP1429" s="6"/>
    </row>
    <row r="1430" spans="1:484" x14ac:dyDescent="0.25">
      <c r="A1430" s="46"/>
      <c r="B1430" s="47"/>
      <c r="C1430" s="127"/>
      <c r="D1430" s="127"/>
      <c r="E1430" s="127"/>
      <c r="F1430" s="127"/>
      <c r="G1430" s="127"/>
      <c r="H1430" s="127"/>
      <c r="I1430" s="127"/>
      <c r="J1430" s="127"/>
      <c r="K1430" s="127"/>
      <c r="L1430" s="127"/>
      <c r="M1430" s="127"/>
      <c r="RG1430" s="6"/>
      <c r="RH1430" s="6"/>
      <c r="RI1430" s="6"/>
      <c r="RJ1430" s="6"/>
      <c r="RK1430" s="6"/>
      <c r="RL1430" s="45"/>
      <c r="RM1430" s="4"/>
      <c r="RN1430" s="4"/>
      <c r="RO1430" s="4"/>
      <c r="RP1430" s="6"/>
    </row>
    <row r="1431" spans="1:484" x14ac:dyDescent="0.25">
      <c r="A1431" s="46"/>
      <c r="B1431" s="47"/>
      <c r="C1431" s="127"/>
      <c r="D1431" s="127"/>
      <c r="E1431" s="127"/>
      <c r="F1431" s="127"/>
      <c r="G1431" s="127"/>
      <c r="H1431" s="127"/>
      <c r="I1431" s="127"/>
      <c r="J1431" s="127"/>
      <c r="K1431" s="127"/>
      <c r="L1431" s="127"/>
      <c r="M1431" s="127"/>
      <c r="RG1431" s="6"/>
      <c r="RH1431" s="6"/>
      <c r="RI1431" s="6"/>
      <c r="RJ1431" s="6"/>
      <c r="RK1431" s="6"/>
      <c r="RL1431" s="45"/>
      <c r="RM1431" s="4"/>
      <c r="RN1431" s="4"/>
      <c r="RO1431" s="4"/>
      <c r="RP1431" s="6"/>
    </row>
    <row r="1432" spans="1:484" x14ac:dyDescent="0.25">
      <c r="A1432" s="46"/>
      <c r="B1432" s="47"/>
      <c r="C1432" s="127"/>
      <c r="D1432" s="127"/>
      <c r="E1432" s="127"/>
      <c r="F1432" s="127"/>
      <c r="G1432" s="127"/>
      <c r="H1432" s="127"/>
      <c r="I1432" s="127"/>
      <c r="J1432" s="127"/>
      <c r="K1432" s="127"/>
      <c r="L1432" s="127"/>
      <c r="M1432" s="127"/>
      <c r="RG1432" s="6"/>
      <c r="RH1432" s="6"/>
      <c r="RI1432" s="6"/>
      <c r="RJ1432" s="6"/>
      <c r="RK1432" s="6"/>
      <c r="RL1432" s="45"/>
      <c r="RM1432" s="4"/>
      <c r="RN1432" s="4"/>
      <c r="RO1432" s="4"/>
      <c r="RP1432" s="6"/>
    </row>
    <row r="1433" spans="1:484" x14ac:dyDescent="0.25">
      <c r="A1433" s="46"/>
      <c r="B1433" s="47"/>
      <c r="C1433" s="127"/>
      <c r="D1433" s="127"/>
      <c r="E1433" s="127"/>
      <c r="F1433" s="127"/>
      <c r="G1433" s="127"/>
      <c r="H1433" s="127"/>
      <c r="I1433" s="127"/>
      <c r="J1433" s="127"/>
      <c r="K1433" s="127"/>
      <c r="L1433" s="127"/>
      <c r="M1433" s="127"/>
      <c r="RG1433" s="6"/>
      <c r="RH1433" s="6"/>
      <c r="RI1433" s="6"/>
      <c r="RJ1433" s="6"/>
      <c r="RK1433" s="6"/>
      <c r="RL1433" s="45"/>
      <c r="RM1433" s="4"/>
      <c r="RN1433" s="4"/>
      <c r="RO1433" s="4"/>
      <c r="RP1433" s="6"/>
    </row>
    <row r="1434" spans="1:484" x14ac:dyDescent="0.25">
      <c r="A1434" s="46"/>
      <c r="B1434" s="47"/>
      <c r="C1434" s="127"/>
      <c r="D1434" s="127"/>
      <c r="E1434" s="127"/>
      <c r="F1434" s="127"/>
      <c r="G1434" s="127"/>
      <c r="H1434" s="127"/>
      <c r="I1434" s="127"/>
      <c r="J1434" s="127"/>
      <c r="K1434" s="127"/>
      <c r="L1434" s="127"/>
      <c r="M1434" s="127"/>
      <c r="RG1434" s="6"/>
      <c r="RH1434" s="6"/>
      <c r="RI1434" s="6"/>
      <c r="RJ1434" s="6"/>
      <c r="RK1434" s="6"/>
      <c r="RL1434" s="45"/>
      <c r="RM1434" s="4"/>
      <c r="RN1434" s="4"/>
      <c r="RO1434" s="4"/>
      <c r="RP1434" s="6"/>
    </row>
    <row r="1435" spans="1:484" x14ac:dyDescent="0.25">
      <c r="A1435" s="46"/>
      <c r="B1435" s="47"/>
      <c r="C1435" s="127"/>
      <c r="D1435" s="127"/>
      <c r="E1435" s="127"/>
      <c r="F1435" s="127"/>
      <c r="G1435" s="127"/>
      <c r="H1435" s="127"/>
      <c r="I1435" s="127"/>
      <c r="J1435" s="127"/>
      <c r="K1435" s="127"/>
      <c r="L1435" s="127"/>
      <c r="M1435" s="127"/>
      <c r="RG1435" s="6"/>
      <c r="RH1435" s="6"/>
      <c r="RI1435" s="6"/>
      <c r="RJ1435" s="6"/>
      <c r="RK1435" s="6"/>
      <c r="RL1435" s="45"/>
      <c r="RM1435" s="4"/>
      <c r="RN1435" s="4"/>
      <c r="RO1435" s="4"/>
      <c r="RP1435" s="6"/>
    </row>
    <row r="1436" spans="1:484" x14ac:dyDescent="0.25">
      <c r="A1436" s="46"/>
      <c r="B1436" s="47"/>
      <c r="C1436" s="127"/>
      <c r="D1436" s="127"/>
      <c r="E1436" s="127"/>
      <c r="F1436" s="127"/>
      <c r="G1436" s="127"/>
      <c r="H1436" s="127"/>
      <c r="I1436" s="127"/>
      <c r="J1436" s="127"/>
      <c r="K1436" s="127"/>
      <c r="L1436" s="127"/>
      <c r="M1436" s="127"/>
      <c r="RG1436" s="6"/>
      <c r="RH1436" s="6"/>
      <c r="RI1436" s="6"/>
      <c r="RJ1436" s="6"/>
      <c r="RK1436" s="6"/>
      <c r="RL1436" s="45"/>
      <c r="RM1436" s="4"/>
      <c r="RN1436" s="4"/>
      <c r="RO1436" s="4"/>
      <c r="RP1436" s="6"/>
    </row>
    <row r="1437" spans="1:484" x14ac:dyDescent="0.25">
      <c r="A1437" s="46"/>
      <c r="B1437" s="47"/>
      <c r="C1437" s="127"/>
      <c r="D1437" s="127"/>
      <c r="E1437" s="127"/>
      <c r="F1437" s="127"/>
      <c r="G1437" s="127"/>
      <c r="H1437" s="127"/>
      <c r="I1437" s="127"/>
      <c r="J1437" s="127"/>
      <c r="K1437" s="127"/>
      <c r="L1437" s="127"/>
      <c r="M1437" s="127"/>
      <c r="RG1437" s="6"/>
      <c r="RH1437" s="6"/>
      <c r="RI1437" s="6"/>
      <c r="RJ1437" s="6"/>
      <c r="RK1437" s="6"/>
      <c r="RL1437" s="45"/>
      <c r="RM1437" s="4"/>
      <c r="RN1437" s="4"/>
      <c r="RO1437" s="4"/>
      <c r="RP1437" s="6"/>
    </row>
    <row r="1438" spans="1:484" x14ac:dyDescent="0.25">
      <c r="A1438" s="46"/>
      <c r="B1438" s="47"/>
      <c r="C1438" s="127"/>
      <c r="D1438" s="127"/>
      <c r="E1438" s="127"/>
      <c r="F1438" s="127"/>
      <c r="G1438" s="127"/>
      <c r="H1438" s="127"/>
      <c r="I1438" s="127"/>
      <c r="J1438" s="127"/>
      <c r="K1438" s="127"/>
      <c r="L1438" s="127"/>
      <c r="M1438" s="127"/>
      <c r="RG1438" s="6"/>
      <c r="RH1438" s="6"/>
      <c r="RI1438" s="6"/>
      <c r="RJ1438" s="6"/>
      <c r="RK1438" s="6"/>
      <c r="RL1438" s="45"/>
      <c r="RM1438" s="4"/>
      <c r="RN1438" s="4"/>
      <c r="RO1438" s="4"/>
      <c r="RP1438" s="6"/>
    </row>
    <row r="1439" spans="1:484" x14ac:dyDescent="0.25">
      <c r="A1439" s="46"/>
      <c r="B1439" s="47"/>
      <c r="C1439" s="127"/>
      <c r="D1439" s="127"/>
      <c r="E1439" s="127"/>
      <c r="F1439" s="127"/>
      <c r="G1439" s="127"/>
      <c r="H1439" s="127"/>
      <c r="I1439" s="127"/>
      <c r="J1439" s="127"/>
      <c r="K1439" s="127"/>
      <c r="L1439" s="127"/>
      <c r="M1439" s="127"/>
      <c r="RG1439" s="6"/>
      <c r="RH1439" s="6"/>
      <c r="RI1439" s="6"/>
      <c r="RJ1439" s="6"/>
      <c r="RK1439" s="6"/>
      <c r="RL1439" s="45"/>
      <c r="RM1439" s="4"/>
      <c r="RN1439" s="4"/>
      <c r="RO1439" s="4"/>
      <c r="RP1439" s="6"/>
    </row>
    <row r="1440" spans="1:484" x14ac:dyDescent="0.25">
      <c r="A1440" s="46"/>
      <c r="B1440" s="47"/>
      <c r="C1440" s="127"/>
      <c r="D1440" s="127"/>
      <c r="E1440" s="127"/>
      <c r="F1440" s="127"/>
      <c r="G1440" s="127"/>
      <c r="H1440" s="127"/>
      <c r="I1440" s="127"/>
      <c r="J1440" s="127"/>
      <c r="K1440" s="127"/>
      <c r="L1440" s="127"/>
      <c r="M1440" s="127"/>
      <c r="RG1440" s="6"/>
      <c r="RH1440" s="6"/>
      <c r="RI1440" s="6"/>
      <c r="RJ1440" s="6"/>
      <c r="RK1440" s="6"/>
      <c r="RL1440" s="45"/>
      <c r="RM1440" s="4"/>
      <c r="RN1440" s="4"/>
      <c r="RO1440" s="4"/>
      <c r="RP1440" s="6"/>
    </row>
    <row r="1441" spans="1:484" x14ac:dyDescent="0.25">
      <c r="A1441" s="46"/>
      <c r="B1441" s="47"/>
      <c r="C1441" s="127"/>
      <c r="D1441" s="127"/>
      <c r="E1441" s="127"/>
      <c r="F1441" s="127"/>
      <c r="G1441" s="127"/>
      <c r="H1441" s="127"/>
      <c r="I1441" s="127"/>
      <c r="J1441" s="127"/>
      <c r="K1441" s="127"/>
      <c r="L1441" s="127"/>
      <c r="M1441" s="127"/>
      <c r="RG1441" s="6"/>
      <c r="RH1441" s="6"/>
      <c r="RI1441" s="6"/>
      <c r="RJ1441" s="6"/>
      <c r="RK1441" s="6"/>
      <c r="RL1441" s="45"/>
      <c r="RM1441" s="4"/>
      <c r="RN1441" s="4"/>
      <c r="RO1441" s="4"/>
      <c r="RP1441" s="6"/>
    </row>
    <row r="1442" spans="1:484" x14ac:dyDescent="0.25">
      <c r="A1442" s="46"/>
      <c r="B1442" s="47"/>
      <c r="C1442" s="127"/>
      <c r="D1442" s="127"/>
      <c r="E1442" s="127"/>
      <c r="F1442" s="127"/>
      <c r="G1442" s="127"/>
      <c r="H1442" s="127"/>
      <c r="I1442" s="127"/>
      <c r="J1442" s="127"/>
      <c r="K1442" s="127"/>
      <c r="L1442" s="127"/>
      <c r="M1442" s="127"/>
      <c r="RG1442" s="6"/>
      <c r="RH1442" s="6"/>
      <c r="RI1442" s="6"/>
      <c r="RJ1442" s="6"/>
      <c r="RK1442" s="6"/>
      <c r="RL1442" s="45"/>
      <c r="RM1442" s="4"/>
      <c r="RN1442" s="4"/>
      <c r="RO1442" s="4"/>
      <c r="RP1442" s="6"/>
    </row>
    <row r="1443" spans="1:484" x14ac:dyDescent="0.25">
      <c r="A1443" s="46"/>
      <c r="B1443" s="47"/>
      <c r="C1443" s="127"/>
      <c r="D1443" s="127"/>
      <c r="E1443" s="127"/>
      <c r="F1443" s="127"/>
      <c r="G1443" s="127"/>
      <c r="H1443" s="127"/>
      <c r="I1443" s="127"/>
      <c r="J1443" s="127"/>
      <c r="K1443" s="127"/>
      <c r="L1443" s="127"/>
      <c r="M1443" s="127"/>
      <c r="RG1443" s="6"/>
      <c r="RH1443" s="6"/>
      <c r="RI1443" s="6"/>
      <c r="RJ1443" s="6"/>
      <c r="RK1443" s="6"/>
      <c r="RL1443" s="45"/>
      <c r="RM1443" s="4"/>
      <c r="RN1443" s="4"/>
      <c r="RO1443" s="4"/>
      <c r="RP1443" s="6"/>
    </row>
    <row r="1444" spans="1:484" x14ac:dyDescent="0.25">
      <c r="A1444" s="46"/>
      <c r="B1444" s="47"/>
      <c r="C1444" s="127"/>
      <c r="D1444" s="127"/>
      <c r="E1444" s="127"/>
      <c r="F1444" s="127"/>
      <c r="G1444" s="127"/>
      <c r="H1444" s="127"/>
      <c r="I1444" s="127"/>
      <c r="J1444" s="127"/>
      <c r="K1444" s="127"/>
      <c r="L1444" s="127"/>
      <c r="M1444" s="127"/>
      <c r="RG1444" s="6"/>
      <c r="RH1444" s="6"/>
      <c r="RI1444" s="6"/>
      <c r="RJ1444" s="6"/>
      <c r="RK1444" s="6"/>
      <c r="RL1444" s="45"/>
      <c r="RM1444" s="4"/>
      <c r="RN1444" s="4"/>
      <c r="RO1444" s="4"/>
      <c r="RP1444" s="6"/>
    </row>
    <row r="1445" spans="1:484" x14ac:dyDescent="0.25">
      <c r="A1445" s="46"/>
      <c r="B1445" s="47"/>
      <c r="C1445" s="127"/>
      <c r="D1445" s="127"/>
      <c r="E1445" s="127"/>
      <c r="F1445" s="127"/>
      <c r="G1445" s="127"/>
      <c r="H1445" s="127"/>
      <c r="I1445" s="127"/>
      <c r="J1445" s="127"/>
      <c r="K1445" s="127"/>
      <c r="L1445" s="127"/>
      <c r="M1445" s="127"/>
      <c r="RG1445" s="6"/>
      <c r="RH1445" s="6"/>
      <c r="RI1445" s="6"/>
      <c r="RJ1445" s="6"/>
      <c r="RK1445" s="6"/>
      <c r="RL1445" s="45"/>
      <c r="RM1445" s="4"/>
      <c r="RN1445" s="4"/>
      <c r="RO1445" s="4"/>
      <c r="RP1445" s="6"/>
    </row>
    <row r="1446" spans="1:484" x14ac:dyDescent="0.25">
      <c r="A1446" s="46"/>
      <c r="B1446" s="47"/>
      <c r="C1446" s="127"/>
      <c r="D1446" s="127"/>
      <c r="E1446" s="127"/>
      <c r="F1446" s="127"/>
      <c r="G1446" s="127"/>
      <c r="H1446" s="127"/>
      <c r="I1446" s="127"/>
      <c r="J1446" s="127"/>
      <c r="K1446" s="127"/>
      <c r="L1446" s="127"/>
      <c r="M1446" s="127"/>
      <c r="RG1446" s="6"/>
      <c r="RH1446" s="6"/>
      <c r="RI1446" s="6"/>
      <c r="RJ1446" s="6"/>
      <c r="RK1446" s="6"/>
      <c r="RL1446" s="45"/>
      <c r="RM1446" s="4"/>
      <c r="RN1446" s="4"/>
      <c r="RO1446" s="4"/>
      <c r="RP1446" s="6"/>
    </row>
    <row r="1447" spans="1:484" x14ac:dyDescent="0.25">
      <c r="A1447" s="46"/>
      <c r="B1447" s="47"/>
      <c r="C1447" s="127"/>
      <c r="D1447" s="127"/>
      <c r="E1447" s="127"/>
      <c r="F1447" s="127"/>
      <c r="G1447" s="127"/>
      <c r="H1447" s="127"/>
      <c r="I1447" s="127"/>
      <c r="J1447" s="127"/>
      <c r="K1447" s="127"/>
      <c r="L1447" s="127"/>
      <c r="M1447" s="127"/>
      <c r="RG1447" s="6"/>
      <c r="RH1447" s="6"/>
      <c r="RI1447" s="6"/>
      <c r="RJ1447" s="6"/>
      <c r="RK1447" s="6"/>
      <c r="RL1447" s="45"/>
      <c r="RM1447" s="4"/>
      <c r="RN1447" s="4"/>
      <c r="RO1447" s="4"/>
      <c r="RP1447" s="6"/>
    </row>
    <row r="1448" spans="1:484" x14ac:dyDescent="0.25">
      <c r="A1448" s="46"/>
      <c r="B1448" s="47"/>
      <c r="C1448" s="127"/>
      <c r="D1448" s="127"/>
      <c r="E1448" s="127"/>
      <c r="F1448" s="127"/>
      <c r="G1448" s="127"/>
      <c r="H1448" s="127"/>
      <c r="I1448" s="127"/>
      <c r="J1448" s="127"/>
      <c r="K1448" s="127"/>
      <c r="L1448" s="127"/>
      <c r="M1448" s="127"/>
      <c r="RG1448" s="6"/>
      <c r="RH1448" s="6"/>
      <c r="RI1448" s="6"/>
      <c r="RJ1448" s="6"/>
      <c r="RK1448" s="6"/>
      <c r="RL1448" s="45"/>
      <c r="RM1448" s="4"/>
      <c r="RN1448" s="4"/>
      <c r="RO1448" s="4"/>
      <c r="RP1448" s="6"/>
    </row>
    <row r="1449" spans="1:484" x14ac:dyDescent="0.25">
      <c r="A1449" s="46"/>
      <c r="B1449" s="47"/>
      <c r="C1449" s="127"/>
      <c r="D1449" s="127"/>
      <c r="E1449" s="127"/>
      <c r="F1449" s="127"/>
      <c r="G1449" s="127"/>
      <c r="H1449" s="127"/>
      <c r="I1449" s="127"/>
      <c r="J1449" s="127"/>
      <c r="K1449" s="127"/>
      <c r="L1449" s="127"/>
      <c r="M1449" s="127"/>
      <c r="RG1449" s="6"/>
      <c r="RH1449" s="6"/>
      <c r="RI1449" s="6"/>
      <c r="RJ1449" s="6"/>
      <c r="RK1449" s="6"/>
      <c r="RL1449" s="45"/>
      <c r="RM1449" s="4"/>
      <c r="RN1449" s="4"/>
      <c r="RO1449" s="4"/>
      <c r="RP1449" s="6"/>
    </row>
    <row r="1450" spans="1:484" x14ac:dyDescent="0.25">
      <c r="A1450" s="46"/>
      <c r="B1450" s="47"/>
      <c r="C1450" s="127"/>
      <c r="D1450" s="127"/>
      <c r="E1450" s="127"/>
      <c r="F1450" s="127"/>
      <c r="G1450" s="127"/>
      <c r="H1450" s="127"/>
      <c r="I1450" s="127"/>
      <c r="J1450" s="127"/>
      <c r="K1450" s="127"/>
      <c r="L1450" s="127"/>
      <c r="M1450" s="127"/>
      <c r="RG1450" s="6"/>
      <c r="RH1450" s="6"/>
      <c r="RI1450" s="6"/>
      <c r="RJ1450" s="6"/>
      <c r="RK1450" s="6"/>
      <c r="RL1450" s="45"/>
      <c r="RM1450" s="4"/>
      <c r="RN1450" s="4"/>
      <c r="RO1450" s="4"/>
      <c r="RP1450" s="6"/>
    </row>
    <row r="1451" spans="1:484" x14ac:dyDescent="0.25">
      <c r="A1451" s="46"/>
      <c r="B1451" s="47"/>
      <c r="C1451" s="127"/>
      <c r="D1451" s="127"/>
      <c r="E1451" s="127"/>
      <c r="F1451" s="127"/>
      <c r="G1451" s="127"/>
      <c r="H1451" s="127"/>
      <c r="I1451" s="127"/>
      <c r="J1451" s="127"/>
      <c r="K1451" s="127"/>
      <c r="L1451" s="127"/>
      <c r="M1451" s="127"/>
      <c r="RG1451" s="6"/>
      <c r="RH1451" s="6"/>
      <c r="RI1451" s="6"/>
      <c r="RJ1451" s="6"/>
      <c r="RK1451" s="6"/>
      <c r="RL1451" s="45"/>
      <c r="RM1451" s="4"/>
      <c r="RN1451" s="4"/>
      <c r="RO1451" s="4"/>
      <c r="RP1451" s="6"/>
    </row>
    <row r="1452" spans="1:484" x14ac:dyDescent="0.25">
      <c r="A1452" s="46"/>
      <c r="B1452" s="47"/>
      <c r="C1452" s="127"/>
      <c r="D1452" s="127"/>
      <c r="E1452" s="127"/>
      <c r="F1452" s="127"/>
      <c r="G1452" s="127"/>
      <c r="H1452" s="127"/>
      <c r="I1452" s="127"/>
      <c r="J1452" s="127"/>
      <c r="K1452" s="127"/>
      <c r="L1452" s="127"/>
      <c r="M1452" s="127"/>
      <c r="RG1452" s="6"/>
      <c r="RH1452" s="6"/>
      <c r="RI1452" s="6"/>
      <c r="RJ1452" s="6"/>
      <c r="RK1452" s="6"/>
      <c r="RL1452" s="45"/>
      <c r="RM1452" s="4"/>
      <c r="RN1452" s="4"/>
      <c r="RO1452" s="4"/>
      <c r="RP1452" s="6"/>
    </row>
    <row r="1453" spans="1:484" x14ac:dyDescent="0.25">
      <c r="A1453" s="46"/>
      <c r="B1453" s="47"/>
      <c r="C1453" s="127"/>
      <c r="D1453" s="127"/>
      <c r="E1453" s="127"/>
      <c r="F1453" s="127"/>
      <c r="G1453" s="127"/>
      <c r="H1453" s="127"/>
      <c r="I1453" s="127"/>
      <c r="J1453" s="127"/>
      <c r="K1453" s="127"/>
      <c r="L1453" s="127"/>
      <c r="M1453" s="127"/>
      <c r="RG1453" s="6"/>
      <c r="RH1453" s="6"/>
      <c r="RI1453" s="6"/>
      <c r="RJ1453" s="6"/>
      <c r="RK1453" s="6"/>
      <c r="RL1453" s="45"/>
      <c r="RM1453" s="4"/>
      <c r="RN1453" s="4"/>
      <c r="RO1453" s="4"/>
      <c r="RP1453" s="6"/>
    </row>
    <row r="1454" spans="1:484" x14ac:dyDescent="0.25">
      <c r="A1454" s="46"/>
      <c r="B1454" s="47"/>
      <c r="C1454" s="127"/>
      <c r="D1454" s="127"/>
      <c r="E1454" s="127"/>
      <c r="F1454" s="127"/>
      <c r="G1454" s="127"/>
      <c r="H1454" s="127"/>
      <c r="I1454" s="127"/>
      <c r="J1454" s="127"/>
      <c r="K1454" s="127"/>
      <c r="L1454" s="127"/>
      <c r="M1454" s="127"/>
      <c r="RG1454" s="6"/>
      <c r="RH1454" s="6"/>
      <c r="RI1454" s="6"/>
      <c r="RJ1454" s="6"/>
      <c r="RK1454" s="6"/>
      <c r="RL1454" s="45"/>
      <c r="RM1454" s="4"/>
      <c r="RN1454" s="4"/>
      <c r="RO1454" s="4"/>
      <c r="RP1454" s="6"/>
    </row>
    <row r="1455" spans="1:484" x14ac:dyDescent="0.25">
      <c r="A1455" s="46"/>
      <c r="B1455" s="47"/>
      <c r="C1455" s="127"/>
      <c r="D1455" s="127"/>
      <c r="E1455" s="127"/>
      <c r="F1455" s="127"/>
      <c r="G1455" s="127"/>
      <c r="H1455" s="127"/>
      <c r="I1455" s="127"/>
      <c r="J1455" s="127"/>
      <c r="K1455" s="127"/>
      <c r="L1455" s="127"/>
      <c r="M1455" s="127"/>
      <c r="RG1455" s="6"/>
      <c r="RH1455" s="6"/>
      <c r="RI1455" s="6"/>
      <c r="RJ1455" s="6"/>
      <c r="RK1455" s="6"/>
      <c r="RL1455" s="45"/>
      <c r="RM1455" s="4"/>
      <c r="RN1455" s="4"/>
      <c r="RO1455" s="4"/>
      <c r="RP1455" s="6"/>
    </row>
    <row r="1456" spans="1:484" x14ac:dyDescent="0.25">
      <c r="A1456" s="46"/>
      <c r="B1456" s="47"/>
      <c r="C1456" s="127"/>
      <c r="D1456" s="127"/>
      <c r="E1456" s="127"/>
      <c r="F1456" s="127"/>
      <c r="G1456" s="127"/>
      <c r="H1456" s="127"/>
      <c r="I1456" s="127"/>
      <c r="J1456" s="127"/>
      <c r="K1456" s="127"/>
      <c r="L1456" s="127"/>
      <c r="M1456" s="127"/>
      <c r="RG1456" s="6"/>
      <c r="RH1456" s="6"/>
      <c r="RI1456" s="6"/>
      <c r="RJ1456" s="6"/>
      <c r="RK1456" s="6"/>
      <c r="RL1456" s="45"/>
      <c r="RM1456" s="4"/>
      <c r="RN1456" s="4"/>
      <c r="RO1456" s="4"/>
      <c r="RP1456" s="6"/>
    </row>
    <row r="1457" spans="1:484" x14ac:dyDescent="0.25">
      <c r="A1457" s="46"/>
      <c r="B1457" s="47"/>
      <c r="C1457" s="127"/>
      <c r="D1457" s="127"/>
      <c r="E1457" s="127"/>
      <c r="F1457" s="127"/>
      <c r="G1457" s="127"/>
      <c r="H1457" s="127"/>
      <c r="I1457" s="127"/>
      <c r="J1457" s="127"/>
      <c r="K1457" s="127"/>
      <c r="L1457" s="127"/>
      <c r="M1457" s="127"/>
      <c r="RG1457" s="6"/>
      <c r="RH1457" s="6"/>
      <c r="RI1457" s="6"/>
      <c r="RJ1457" s="6"/>
      <c r="RK1457" s="6"/>
      <c r="RL1457" s="45"/>
      <c r="RM1457" s="4"/>
      <c r="RN1457" s="4"/>
      <c r="RO1457" s="4"/>
      <c r="RP1457" s="6"/>
    </row>
    <row r="1458" spans="1:484" x14ac:dyDescent="0.25">
      <c r="A1458" s="46"/>
      <c r="B1458" s="47"/>
      <c r="C1458" s="127"/>
      <c r="D1458" s="127"/>
      <c r="E1458" s="127"/>
      <c r="F1458" s="127"/>
      <c r="G1458" s="127"/>
      <c r="H1458" s="127"/>
      <c r="I1458" s="127"/>
      <c r="J1458" s="127"/>
      <c r="K1458" s="127"/>
      <c r="L1458" s="127"/>
      <c r="M1458" s="127"/>
      <c r="RG1458" s="6"/>
      <c r="RH1458" s="6"/>
      <c r="RI1458" s="6"/>
      <c r="RJ1458" s="6"/>
      <c r="RK1458" s="6"/>
      <c r="RL1458" s="45"/>
      <c r="RM1458" s="4"/>
      <c r="RN1458" s="4"/>
      <c r="RO1458" s="4"/>
      <c r="RP1458" s="6"/>
    </row>
    <row r="1459" spans="1:484" x14ac:dyDescent="0.25">
      <c r="A1459" s="46"/>
      <c r="B1459" s="47"/>
      <c r="C1459" s="127"/>
      <c r="D1459" s="127"/>
      <c r="E1459" s="127"/>
      <c r="F1459" s="127"/>
      <c r="G1459" s="127"/>
      <c r="H1459" s="127"/>
      <c r="I1459" s="127"/>
      <c r="J1459" s="127"/>
      <c r="K1459" s="127"/>
      <c r="L1459" s="127"/>
      <c r="M1459" s="127"/>
      <c r="RG1459" s="6"/>
      <c r="RH1459" s="6"/>
      <c r="RI1459" s="6"/>
      <c r="RJ1459" s="6"/>
      <c r="RK1459" s="6"/>
      <c r="RL1459" s="45"/>
      <c r="RM1459" s="4"/>
      <c r="RN1459" s="4"/>
      <c r="RO1459" s="4"/>
      <c r="RP1459" s="6"/>
    </row>
    <row r="1460" spans="1:484" x14ac:dyDescent="0.25">
      <c r="A1460" s="46"/>
      <c r="B1460" s="47"/>
      <c r="C1460" s="127"/>
      <c r="D1460" s="127"/>
      <c r="E1460" s="127"/>
      <c r="F1460" s="127"/>
      <c r="G1460" s="127"/>
      <c r="H1460" s="127"/>
      <c r="I1460" s="127"/>
      <c r="J1460" s="127"/>
      <c r="K1460" s="127"/>
      <c r="L1460" s="127"/>
      <c r="M1460" s="127"/>
      <c r="RG1460" s="6"/>
      <c r="RH1460" s="6"/>
      <c r="RI1460" s="6"/>
      <c r="RJ1460" s="6"/>
      <c r="RK1460" s="6"/>
      <c r="RL1460" s="45"/>
      <c r="RM1460" s="4"/>
      <c r="RN1460" s="4"/>
      <c r="RO1460" s="4"/>
      <c r="RP1460" s="6"/>
    </row>
    <row r="1461" spans="1:484" x14ac:dyDescent="0.25">
      <c r="A1461" s="46"/>
      <c r="B1461" s="47"/>
      <c r="C1461" s="127"/>
      <c r="D1461" s="127"/>
      <c r="E1461" s="127"/>
      <c r="F1461" s="127"/>
      <c r="G1461" s="127"/>
      <c r="H1461" s="127"/>
      <c r="I1461" s="127"/>
      <c r="J1461" s="127"/>
      <c r="K1461" s="127"/>
      <c r="L1461" s="127"/>
      <c r="M1461" s="127"/>
      <c r="RG1461" s="6"/>
      <c r="RH1461" s="6"/>
      <c r="RI1461" s="6"/>
      <c r="RJ1461" s="6"/>
      <c r="RK1461" s="6"/>
      <c r="RL1461" s="45"/>
      <c r="RM1461" s="4"/>
      <c r="RN1461" s="4"/>
      <c r="RO1461" s="4"/>
      <c r="RP1461" s="6"/>
    </row>
    <row r="1462" spans="1:484" x14ac:dyDescent="0.25">
      <c r="A1462" s="46"/>
      <c r="B1462" s="47"/>
      <c r="C1462" s="127"/>
      <c r="D1462" s="127"/>
      <c r="E1462" s="127"/>
      <c r="F1462" s="127"/>
      <c r="G1462" s="127"/>
      <c r="H1462" s="127"/>
      <c r="I1462" s="127"/>
      <c r="J1462" s="127"/>
      <c r="K1462" s="127"/>
      <c r="L1462" s="127"/>
      <c r="M1462" s="127"/>
      <c r="RG1462" s="6"/>
      <c r="RH1462" s="6"/>
      <c r="RI1462" s="6"/>
      <c r="RJ1462" s="6"/>
      <c r="RK1462" s="6"/>
      <c r="RL1462" s="45"/>
      <c r="RM1462" s="4"/>
      <c r="RN1462" s="4"/>
      <c r="RO1462" s="4"/>
      <c r="RP1462" s="6"/>
    </row>
    <row r="1463" spans="1:484" x14ac:dyDescent="0.25">
      <c r="A1463" s="46"/>
      <c r="B1463" s="47"/>
      <c r="C1463" s="127"/>
      <c r="D1463" s="127"/>
      <c r="E1463" s="127"/>
      <c r="F1463" s="127"/>
      <c r="G1463" s="127"/>
      <c r="H1463" s="127"/>
      <c r="I1463" s="127"/>
      <c r="J1463" s="127"/>
      <c r="K1463" s="127"/>
      <c r="L1463" s="127"/>
      <c r="M1463" s="127"/>
      <c r="RG1463" s="6"/>
      <c r="RH1463" s="6"/>
      <c r="RI1463" s="6"/>
      <c r="RJ1463" s="6"/>
      <c r="RK1463" s="6"/>
      <c r="RL1463" s="45"/>
      <c r="RM1463" s="4"/>
      <c r="RN1463" s="4"/>
      <c r="RO1463" s="4"/>
      <c r="RP1463" s="6"/>
    </row>
    <row r="1464" spans="1:484" x14ac:dyDescent="0.25">
      <c r="A1464" s="46"/>
      <c r="B1464" s="47"/>
      <c r="C1464" s="127"/>
      <c r="D1464" s="127"/>
      <c r="E1464" s="127"/>
      <c r="F1464" s="127"/>
      <c r="G1464" s="127"/>
      <c r="H1464" s="127"/>
      <c r="I1464" s="127"/>
      <c r="J1464" s="127"/>
      <c r="K1464" s="127"/>
      <c r="L1464" s="127"/>
      <c r="M1464" s="127"/>
      <c r="RG1464" s="6"/>
      <c r="RH1464" s="6"/>
      <c r="RI1464" s="6"/>
      <c r="RJ1464" s="6"/>
      <c r="RK1464" s="6"/>
      <c r="RL1464" s="45"/>
      <c r="RM1464" s="4"/>
      <c r="RN1464" s="4"/>
      <c r="RO1464" s="4"/>
      <c r="RP1464" s="6"/>
    </row>
    <row r="1465" spans="1:484" x14ac:dyDescent="0.25">
      <c r="A1465" s="46"/>
      <c r="B1465" s="47"/>
      <c r="C1465" s="127"/>
      <c r="D1465" s="127"/>
      <c r="E1465" s="127"/>
      <c r="F1465" s="127"/>
      <c r="G1465" s="127"/>
      <c r="H1465" s="127"/>
      <c r="I1465" s="127"/>
      <c r="J1465" s="127"/>
      <c r="K1465" s="127"/>
      <c r="L1465" s="127"/>
      <c r="M1465" s="127"/>
      <c r="RG1465" s="6"/>
      <c r="RH1465" s="6"/>
      <c r="RI1465" s="6"/>
      <c r="RJ1465" s="6"/>
      <c r="RK1465" s="6"/>
      <c r="RL1465" s="45"/>
      <c r="RM1465" s="4"/>
      <c r="RN1465" s="4"/>
      <c r="RO1465" s="4"/>
      <c r="RP1465" s="6"/>
    </row>
    <row r="1466" spans="1:484" x14ac:dyDescent="0.25">
      <c r="A1466" s="46"/>
      <c r="B1466" s="47"/>
      <c r="C1466" s="127"/>
      <c r="D1466" s="127"/>
      <c r="E1466" s="127"/>
      <c r="F1466" s="127"/>
      <c r="G1466" s="127"/>
      <c r="H1466" s="127"/>
      <c r="I1466" s="127"/>
      <c r="J1466" s="127"/>
      <c r="K1466" s="127"/>
      <c r="L1466" s="127"/>
      <c r="M1466" s="127"/>
      <c r="RG1466" s="6"/>
      <c r="RH1466" s="6"/>
      <c r="RI1466" s="6"/>
      <c r="RJ1466" s="6"/>
      <c r="RK1466" s="6"/>
      <c r="RL1466" s="45"/>
      <c r="RM1466" s="4"/>
      <c r="RN1466" s="4"/>
      <c r="RO1466" s="4"/>
      <c r="RP1466" s="6"/>
    </row>
    <row r="1467" spans="1:484" x14ac:dyDescent="0.25">
      <c r="A1467" s="46"/>
      <c r="B1467" s="47"/>
      <c r="C1467" s="127"/>
      <c r="D1467" s="127"/>
      <c r="E1467" s="127"/>
      <c r="F1467" s="127"/>
      <c r="G1467" s="127"/>
      <c r="H1467" s="127"/>
      <c r="I1467" s="127"/>
      <c r="J1467" s="127"/>
      <c r="K1467" s="127"/>
      <c r="L1467" s="127"/>
      <c r="M1467" s="127"/>
      <c r="RG1467" s="6"/>
      <c r="RH1467" s="6"/>
      <c r="RI1467" s="6"/>
      <c r="RJ1467" s="6"/>
      <c r="RK1467" s="6"/>
      <c r="RL1467" s="45"/>
      <c r="RM1467" s="4"/>
      <c r="RN1467" s="4"/>
      <c r="RO1467" s="4"/>
      <c r="RP1467" s="6"/>
    </row>
    <row r="1468" spans="1:484" x14ac:dyDescent="0.25">
      <c r="A1468" s="46"/>
      <c r="B1468" s="47"/>
      <c r="C1468" s="127"/>
      <c r="D1468" s="127"/>
      <c r="E1468" s="127"/>
      <c r="F1468" s="127"/>
      <c r="G1468" s="127"/>
      <c r="H1468" s="127"/>
      <c r="I1468" s="127"/>
      <c r="J1468" s="127"/>
      <c r="K1468" s="127"/>
      <c r="L1468" s="127"/>
      <c r="M1468" s="127"/>
      <c r="RG1468" s="6"/>
      <c r="RH1468" s="6"/>
      <c r="RI1468" s="6"/>
      <c r="RJ1468" s="6"/>
      <c r="RK1468" s="6"/>
      <c r="RL1468" s="45"/>
      <c r="RM1468" s="4"/>
      <c r="RN1468" s="4"/>
      <c r="RO1468" s="4"/>
      <c r="RP1468" s="6"/>
    </row>
    <row r="1469" spans="1:484" x14ac:dyDescent="0.25">
      <c r="A1469" s="46"/>
      <c r="B1469" s="47"/>
      <c r="C1469" s="127"/>
      <c r="D1469" s="127"/>
      <c r="E1469" s="127"/>
      <c r="F1469" s="127"/>
      <c r="G1469" s="127"/>
      <c r="H1469" s="127"/>
      <c r="I1469" s="127"/>
      <c r="J1469" s="127"/>
      <c r="K1469" s="127"/>
      <c r="L1469" s="127"/>
      <c r="M1469" s="127"/>
      <c r="RG1469" s="6"/>
      <c r="RH1469" s="6"/>
      <c r="RI1469" s="6"/>
      <c r="RJ1469" s="6"/>
      <c r="RK1469" s="6"/>
      <c r="RL1469" s="45"/>
      <c r="RM1469" s="4"/>
      <c r="RN1469" s="4"/>
      <c r="RO1469" s="4"/>
      <c r="RP1469" s="6"/>
    </row>
    <row r="1470" spans="1:484" x14ac:dyDescent="0.25">
      <c r="A1470" s="46"/>
      <c r="B1470" s="47"/>
      <c r="C1470" s="127"/>
      <c r="D1470" s="127"/>
      <c r="E1470" s="127"/>
      <c r="F1470" s="127"/>
      <c r="G1470" s="127"/>
      <c r="H1470" s="127"/>
      <c r="I1470" s="127"/>
      <c r="J1470" s="127"/>
      <c r="K1470" s="127"/>
      <c r="L1470" s="127"/>
      <c r="M1470" s="127"/>
      <c r="RG1470" s="6"/>
      <c r="RH1470" s="6"/>
      <c r="RI1470" s="6"/>
      <c r="RJ1470" s="6"/>
      <c r="RK1470" s="6"/>
      <c r="RL1470" s="45"/>
      <c r="RM1470" s="4"/>
      <c r="RN1470" s="4"/>
      <c r="RO1470" s="4"/>
      <c r="RP1470" s="6"/>
    </row>
    <row r="1471" spans="1:484" x14ac:dyDescent="0.25">
      <c r="A1471" s="46"/>
      <c r="B1471" s="47"/>
      <c r="C1471" s="127"/>
      <c r="D1471" s="127"/>
      <c r="E1471" s="127"/>
      <c r="F1471" s="127"/>
      <c r="G1471" s="127"/>
      <c r="H1471" s="127"/>
      <c r="I1471" s="127"/>
      <c r="J1471" s="127"/>
      <c r="K1471" s="127"/>
      <c r="L1471" s="127"/>
      <c r="M1471" s="127"/>
      <c r="RG1471" s="6"/>
      <c r="RH1471" s="6"/>
      <c r="RI1471" s="6"/>
      <c r="RJ1471" s="6"/>
      <c r="RK1471" s="6"/>
      <c r="RL1471" s="45"/>
      <c r="RM1471" s="4"/>
      <c r="RN1471" s="4"/>
      <c r="RO1471" s="4"/>
      <c r="RP1471" s="6"/>
    </row>
    <row r="1472" spans="1:484" x14ac:dyDescent="0.25">
      <c r="A1472" s="46"/>
      <c r="B1472" s="47"/>
      <c r="C1472" s="127"/>
      <c r="D1472" s="127"/>
      <c r="E1472" s="127"/>
      <c r="F1472" s="127"/>
      <c r="G1472" s="127"/>
      <c r="H1472" s="127"/>
      <c r="I1472" s="127"/>
      <c r="J1472" s="127"/>
      <c r="K1472" s="127"/>
      <c r="L1472" s="127"/>
      <c r="M1472" s="127"/>
      <c r="RG1472" s="6"/>
      <c r="RH1472" s="6"/>
      <c r="RI1472" s="6"/>
      <c r="RJ1472" s="6"/>
      <c r="RK1472" s="6"/>
      <c r="RL1472" s="45"/>
      <c r="RM1472" s="4"/>
      <c r="RN1472" s="4"/>
      <c r="RO1472" s="4"/>
      <c r="RP1472" s="6"/>
    </row>
    <row r="1473" spans="1:484" x14ac:dyDescent="0.25">
      <c r="A1473" s="46"/>
      <c r="B1473" s="47"/>
      <c r="C1473" s="127"/>
      <c r="D1473" s="127"/>
      <c r="E1473" s="127"/>
      <c r="F1473" s="127"/>
      <c r="G1473" s="127"/>
      <c r="H1473" s="127"/>
      <c r="I1473" s="127"/>
      <c r="J1473" s="127"/>
      <c r="K1473" s="127"/>
      <c r="L1473" s="127"/>
      <c r="M1473" s="127"/>
      <c r="RG1473" s="6"/>
      <c r="RH1473" s="6"/>
      <c r="RI1473" s="6"/>
      <c r="RJ1473" s="6"/>
      <c r="RK1473" s="6"/>
      <c r="RL1473" s="45"/>
      <c r="RM1473" s="4"/>
      <c r="RN1473" s="4"/>
      <c r="RO1473" s="4"/>
      <c r="RP1473" s="6"/>
    </row>
    <row r="1474" spans="1:484" x14ac:dyDescent="0.25">
      <c r="A1474" s="46"/>
      <c r="B1474" s="47"/>
      <c r="C1474" s="127"/>
      <c r="D1474" s="127"/>
      <c r="E1474" s="127"/>
      <c r="F1474" s="127"/>
      <c r="G1474" s="127"/>
      <c r="H1474" s="127"/>
      <c r="I1474" s="127"/>
      <c r="J1474" s="127"/>
      <c r="K1474" s="127"/>
      <c r="L1474" s="127"/>
      <c r="M1474" s="127"/>
      <c r="RG1474" s="6"/>
      <c r="RH1474" s="6"/>
      <c r="RI1474" s="6"/>
      <c r="RJ1474" s="6"/>
      <c r="RK1474" s="6"/>
      <c r="RL1474" s="45"/>
      <c r="RM1474" s="4"/>
      <c r="RN1474" s="4"/>
      <c r="RO1474" s="4"/>
      <c r="RP1474" s="6"/>
    </row>
    <row r="1475" spans="1:484" x14ac:dyDescent="0.25">
      <c r="A1475" s="46"/>
      <c r="B1475" s="47"/>
      <c r="C1475" s="127"/>
      <c r="D1475" s="127"/>
      <c r="E1475" s="127"/>
      <c r="F1475" s="127"/>
      <c r="G1475" s="127"/>
      <c r="H1475" s="127"/>
      <c r="I1475" s="127"/>
      <c r="J1475" s="127"/>
      <c r="K1475" s="127"/>
      <c r="L1475" s="127"/>
      <c r="M1475" s="127"/>
      <c r="RG1475" s="6"/>
      <c r="RH1475" s="6"/>
      <c r="RI1475" s="6"/>
      <c r="RJ1475" s="6"/>
      <c r="RK1475" s="6"/>
      <c r="RL1475" s="45"/>
      <c r="RM1475" s="4"/>
      <c r="RN1475" s="4"/>
      <c r="RO1475" s="4"/>
      <c r="RP1475" s="6"/>
    </row>
    <row r="1476" spans="1:484" x14ac:dyDescent="0.25">
      <c r="A1476" s="46"/>
      <c r="B1476" s="47"/>
      <c r="C1476" s="127"/>
      <c r="D1476" s="127"/>
      <c r="E1476" s="127"/>
      <c r="F1476" s="127"/>
      <c r="G1476" s="127"/>
      <c r="H1476" s="127"/>
      <c r="I1476" s="127"/>
      <c r="J1476" s="127"/>
      <c r="K1476" s="127"/>
      <c r="L1476" s="127"/>
      <c r="M1476" s="127"/>
      <c r="RG1476" s="6"/>
      <c r="RH1476" s="6"/>
      <c r="RI1476" s="6"/>
      <c r="RJ1476" s="6"/>
      <c r="RK1476" s="6"/>
      <c r="RL1476" s="45"/>
      <c r="RM1476" s="4"/>
      <c r="RN1476" s="4"/>
      <c r="RO1476" s="4"/>
      <c r="RP1476" s="6"/>
    </row>
    <row r="1477" spans="1:484" x14ac:dyDescent="0.25">
      <c r="A1477" s="46"/>
      <c r="B1477" s="47"/>
      <c r="C1477" s="127"/>
      <c r="D1477" s="127"/>
      <c r="E1477" s="127"/>
      <c r="F1477" s="127"/>
      <c r="G1477" s="127"/>
      <c r="H1477" s="127"/>
      <c r="I1477" s="127"/>
      <c r="J1477" s="127"/>
      <c r="K1477" s="127"/>
      <c r="L1477" s="127"/>
      <c r="M1477" s="127"/>
      <c r="RG1477" s="6"/>
      <c r="RH1477" s="6"/>
      <c r="RI1477" s="6"/>
      <c r="RJ1477" s="6"/>
      <c r="RK1477" s="6"/>
      <c r="RL1477" s="45"/>
      <c r="RM1477" s="4"/>
      <c r="RN1477" s="4"/>
      <c r="RO1477" s="4"/>
      <c r="RP1477" s="6"/>
    </row>
    <row r="1478" spans="1:484" x14ac:dyDescent="0.25">
      <c r="A1478" s="46"/>
      <c r="B1478" s="47"/>
      <c r="C1478" s="127"/>
      <c r="D1478" s="127"/>
      <c r="E1478" s="127"/>
      <c r="F1478" s="127"/>
      <c r="G1478" s="127"/>
      <c r="H1478" s="127"/>
      <c r="I1478" s="127"/>
      <c r="J1478" s="127"/>
      <c r="K1478" s="127"/>
      <c r="L1478" s="127"/>
      <c r="M1478" s="127"/>
      <c r="RG1478" s="6"/>
      <c r="RH1478" s="6"/>
      <c r="RI1478" s="6"/>
      <c r="RJ1478" s="6"/>
      <c r="RK1478" s="6"/>
      <c r="RL1478" s="45"/>
      <c r="RM1478" s="4"/>
      <c r="RN1478" s="4"/>
      <c r="RO1478" s="4"/>
      <c r="RP1478" s="6"/>
    </row>
    <row r="1479" spans="1:484" x14ac:dyDescent="0.25">
      <c r="A1479" s="46"/>
      <c r="B1479" s="47"/>
      <c r="C1479" s="127"/>
      <c r="D1479" s="127"/>
      <c r="E1479" s="127"/>
      <c r="F1479" s="127"/>
      <c r="G1479" s="127"/>
      <c r="H1479" s="127"/>
      <c r="I1479" s="127"/>
      <c r="J1479" s="127"/>
      <c r="K1479" s="127"/>
      <c r="L1479" s="127"/>
      <c r="M1479" s="127"/>
      <c r="RG1479" s="6"/>
      <c r="RH1479" s="6"/>
      <c r="RI1479" s="6"/>
      <c r="RJ1479" s="6"/>
      <c r="RK1479" s="6"/>
      <c r="RL1479" s="45"/>
      <c r="RM1479" s="4"/>
      <c r="RN1479" s="4"/>
      <c r="RO1479" s="4"/>
      <c r="RP1479" s="6"/>
    </row>
    <row r="1480" spans="1:484" x14ac:dyDescent="0.25">
      <c r="A1480" s="46"/>
      <c r="B1480" s="47"/>
      <c r="C1480" s="127"/>
      <c r="D1480" s="127"/>
      <c r="E1480" s="127"/>
      <c r="F1480" s="127"/>
      <c r="G1480" s="127"/>
      <c r="H1480" s="127"/>
      <c r="I1480" s="127"/>
      <c r="J1480" s="127"/>
      <c r="K1480" s="127"/>
      <c r="L1480" s="127"/>
      <c r="M1480" s="127"/>
      <c r="RG1480" s="6"/>
      <c r="RH1480" s="6"/>
      <c r="RI1480" s="6"/>
      <c r="RJ1480" s="6"/>
      <c r="RK1480" s="6"/>
      <c r="RL1480" s="45"/>
      <c r="RM1480" s="4"/>
      <c r="RN1480" s="4"/>
      <c r="RO1480" s="4"/>
      <c r="RP1480" s="6"/>
    </row>
    <row r="1481" spans="1:484" x14ac:dyDescent="0.25">
      <c r="A1481" s="46"/>
      <c r="B1481" s="47"/>
      <c r="C1481" s="127"/>
      <c r="D1481" s="127"/>
      <c r="E1481" s="127"/>
      <c r="F1481" s="127"/>
      <c r="G1481" s="127"/>
      <c r="H1481" s="127"/>
      <c r="I1481" s="127"/>
      <c r="J1481" s="127"/>
      <c r="K1481" s="127"/>
      <c r="L1481" s="127"/>
      <c r="M1481" s="127"/>
      <c r="RG1481" s="6"/>
      <c r="RH1481" s="6"/>
      <c r="RI1481" s="6"/>
      <c r="RJ1481" s="6"/>
      <c r="RK1481" s="6"/>
      <c r="RL1481" s="45"/>
      <c r="RM1481" s="4"/>
      <c r="RN1481" s="4"/>
      <c r="RO1481" s="4"/>
      <c r="RP1481" s="6"/>
    </row>
    <row r="1482" spans="1:484" x14ac:dyDescent="0.25">
      <c r="A1482" s="46"/>
      <c r="B1482" s="47"/>
      <c r="C1482" s="127"/>
      <c r="D1482" s="127"/>
      <c r="E1482" s="127"/>
      <c r="F1482" s="127"/>
      <c r="G1482" s="127"/>
      <c r="H1482" s="127"/>
      <c r="I1482" s="127"/>
      <c r="J1482" s="127"/>
      <c r="K1482" s="127"/>
      <c r="L1482" s="127"/>
      <c r="M1482" s="127"/>
      <c r="RG1482" s="6"/>
      <c r="RH1482" s="6"/>
      <c r="RI1482" s="6"/>
      <c r="RJ1482" s="6"/>
      <c r="RK1482" s="6"/>
      <c r="RL1482" s="45"/>
      <c r="RM1482" s="4"/>
      <c r="RN1482" s="4"/>
      <c r="RO1482" s="4"/>
      <c r="RP1482" s="6"/>
    </row>
    <row r="1483" spans="1:484" x14ac:dyDescent="0.25">
      <c r="A1483" s="46"/>
      <c r="B1483" s="47"/>
      <c r="C1483" s="127"/>
      <c r="D1483" s="127"/>
      <c r="E1483" s="127"/>
      <c r="F1483" s="127"/>
      <c r="G1483" s="127"/>
      <c r="H1483" s="127"/>
      <c r="I1483" s="127"/>
      <c r="J1483" s="127"/>
      <c r="K1483" s="127"/>
      <c r="L1483" s="127"/>
      <c r="M1483" s="127"/>
      <c r="RG1483" s="6"/>
      <c r="RH1483" s="6"/>
      <c r="RI1483" s="6"/>
      <c r="RJ1483" s="6"/>
      <c r="RK1483" s="6"/>
      <c r="RL1483" s="45"/>
      <c r="RM1483" s="4"/>
      <c r="RN1483" s="4"/>
      <c r="RO1483" s="4"/>
      <c r="RP1483" s="6"/>
    </row>
    <row r="1484" spans="1:484" x14ac:dyDescent="0.25">
      <c r="A1484" s="46"/>
      <c r="B1484" s="47"/>
      <c r="C1484" s="127"/>
      <c r="D1484" s="127"/>
      <c r="E1484" s="127"/>
      <c r="F1484" s="127"/>
      <c r="G1484" s="127"/>
      <c r="H1484" s="127"/>
      <c r="I1484" s="127"/>
      <c r="J1484" s="127"/>
      <c r="K1484" s="127"/>
      <c r="L1484" s="127"/>
      <c r="M1484" s="127"/>
      <c r="RG1484" s="6"/>
      <c r="RH1484" s="6"/>
      <c r="RI1484" s="6"/>
      <c r="RJ1484" s="6"/>
      <c r="RK1484" s="6"/>
      <c r="RL1484" s="45"/>
      <c r="RM1484" s="4"/>
      <c r="RN1484" s="4"/>
      <c r="RO1484" s="4"/>
      <c r="RP1484" s="6"/>
    </row>
    <row r="1485" spans="1:484" x14ac:dyDescent="0.25">
      <c r="A1485" s="46"/>
      <c r="B1485" s="47"/>
      <c r="C1485" s="127"/>
      <c r="D1485" s="127"/>
      <c r="E1485" s="127"/>
      <c r="F1485" s="127"/>
      <c r="G1485" s="127"/>
      <c r="H1485" s="127"/>
      <c r="I1485" s="127"/>
      <c r="J1485" s="127"/>
      <c r="K1485" s="127"/>
      <c r="L1485" s="127"/>
      <c r="M1485" s="127"/>
      <c r="RG1485" s="6"/>
      <c r="RH1485" s="6"/>
      <c r="RI1485" s="6"/>
      <c r="RJ1485" s="6"/>
      <c r="RK1485" s="6"/>
      <c r="RL1485" s="45"/>
      <c r="RM1485" s="4"/>
      <c r="RN1485" s="4"/>
      <c r="RO1485" s="4"/>
      <c r="RP1485" s="6"/>
    </row>
    <row r="1486" spans="1:484" x14ac:dyDescent="0.25">
      <c r="A1486" s="46"/>
      <c r="B1486" s="47"/>
      <c r="C1486" s="127"/>
      <c r="D1486" s="127"/>
      <c r="E1486" s="127"/>
      <c r="F1486" s="127"/>
      <c r="G1486" s="127"/>
      <c r="H1486" s="127"/>
      <c r="I1486" s="127"/>
      <c r="J1486" s="127"/>
      <c r="K1486" s="127"/>
      <c r="L1486" s="127"/>
      <c r="M1486" s="127"/>
      <c r="RG1486" s="6"/>
      <c r="RH1486" s="6"/>
      <c r="RI1486" s="6"/>
      <c r="RJ1486" s="6"/>
      <c r="RK1486" s="6"/>
      <c r="RL1486" s="45"/>
      <c r="RM1486" s="4"/>
      <c r="RN1486" s="4"/>
      <c r="RO1486" s="4"/>
      <c r="RP1486" s="6"/>
    </row>
    <row r="1487" spans="1:484" x14ac:dyDescent="0.25">
      <c r="A1487" s="46"/>
      <c r="B1487" s="47"/>
      <c r="C1487" s="127"/>
      <c r="D1487" s="127"/>
      <c r="E1487" s="127"/>
      <c r="F1487" s="127"/>
      <c r="G1487" s="127"/>
      <c r="H1487" s="127"/>
      <c r="I1487" s="127"/>
      <c r="J1487" s="127"/>
      <c r="K1487" s="127"/>
      <c r="L1487" s="127"/>
      <c r="M1487" s="127"/>
      <c r="RG1487" s="6"/>
      <c r="RH1487" s="6"/>
      <c r="RI1487" s="6"/>
      <c r="RJ1487" s="6"/>
      <c r="RK1487" s="6"/>
      <c r="RL1487" s="45"/>
      <c r="RM1487" s="4"/>
      <c r="RN1487" s="4"/>
      <c r="RO1487" s="4"/>
      <c r="RP1487" s="6"/>
    </row>
    <row r="1488" spans="1:484" x14ac:dyDescent="0.25">
      <c r="A1488" s="46"/>
      <c r="B1488" s="47"/>
      <c r="C1488" s="127"/>
      <c r="D1488" s="127"/>
      <c r="E1488" s="127"/>
      <c r="F1488" s="127"/>
      <c r="G1488" s="127"/>
      <c r="H1488" s="127"/>
      <c r="I1488" s="127"/>
      <c r="J1488" s="127"/>
      <c r="K1488" s="127"/>
      <c r="L1488" s="127"/>
      <c r="M1488" s="127"/>
      <c r="RG1488" s="6"/>
      <c r="RH1488" s="6"/>
      <c r="RI1488" s="6"/>
      <c r="RJ1488" s="6"/>
      <c r="RK1488" s="6"/>
      <c r="RL1488" s="45"/>
      <c r="RM1488" s="4"/>
      <c r="RN1488" s="4"/>
      <c r="RO1488" s="4"/>
      <c r="RP1488" s="6"/>
    </row>
    <row r="1489" spans="1:484" x14ac:dyDescent="0.25">
      <c r="A1489" s="46"/>
      <c r="B1489" s="47"/>
      <c r="C1489" s="127"/>
      <c r="D1489" s="127"/>
      <c r="E1489" s="127"/>
      <c r="F1489" s="127"/>
      <c r="G1489" s="127"/>
      <c r="H1489" s="127"/>
      <c r="I1489" s="127"/>
      <c r="J1489" s="127"/>
      <c r="K1489" s="127"/>
      <c r="L1489" s="127"/>
      <c r="M1489" s="127"/>
      <c r="RG1489" s="6"/>
      <c r="RH1489" s="6"/>
      <c r="RI1489" s="6"/>
      <c r="RJ1489" s="6"/>
      <c r="RK1489" s="6"/>
      <c r="RL1489" s="45"/>
      <c r="RM1489" s="4"/>
      <c r="RN1489" s="4"/>
      <c r="RO1489" s="4"/>
      <c r="RP1489" s="6"/>
    </row>
    <row r="1490" spans="1:484" x14ac:dyDescent="0.25">
      <c r="A1490" s="46"/>
      <c r="B1490" s="47"/>
      <c r="C1490" s="127"/>
      <c r="D1490" s="127"/>
      <c r="E1490" s="127"/>
      <c r="F1490" s="127"/>
      <c r="G1490" s="127"/>
      <c r="H1490" s="127"/>
      <c r="I1490" s="127"/>
      <c r="J1490" s="127"/>
      <c r="K1490" s="127"/>
      <c r="L1490" s="127"/>
      <c r="M1490" s="127"/>
      <c r="RG1490" s="6"/>
      <c r="RH1490" s="6"/>
      <c r="RI1490" s="6"/>
      <c r="RJ1490" s="6"/>
      <c r="RK1490" s="6"/>
      <c r="RL1490" s="45"/>
      <c r="RM1490" s="4"/>
      <c r="RN1490" s="4"/>
      <c r="RO1490" s="4"/>
      <c r="RP1490" s="6"/>
    </row>
  </sheetData>
  <sheetProtection formatCells="0" formatColumns="0" formatRows="0" insertColumns="0" insertRows="0" insertHyperlinks="0" deleteColumns="0" deleteRows="0" sort="0" autoFilter="0" pivotTables="0"/>
  <autoFilter ref="A1:RP78" xr:uid="{00000000-0009-0000-0000-000000000000}">
    <sortState xmlns:xlrd2="http://schemas.microsoft.com/office/spreadsheetml/2017/richdata2" ref="A2:RP78">
      <sortCondition ref="A1:A78"/>
    </sortState>
  </autoFilter>
  <sortState xmlns:xlrd2="http://schemas.microsoft.com/office/spreadsheetml/2017/richdata2" ref="RI214:RK219">
    <sortCondition ref="RI213"/>
  </sortState>
  <mergeCells count="1">
    <mergeCell ref="RI82:RK82"/>
  </mergeCells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L428"/>
  <sheetViews>
    <sheetView zoomScale="110" zoomScaleNormal="110" zoomScaleSheetLayoutView="100" workbookViewId="0">
      <pane xSplit="7" ySplit="2" topLeftCell="FL243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FL1" sqref="FL1:FL1048576"/>
    </sheetView>
  </sheetViews>
  <sheetFormatPr defaultColWidth="255.6640625" defaultRowHeight="13.2" x14ac:dyDescent="0.25"/>
  <cols>
    <col min="1" max="1" width="37.88671875" style="7" customWidth="1"/>
    <col min="2" max="2" width="10.88671875" style="38" bestFit="1" customWidth="1"/>
    <col min="3" max="3" width="8" customWidth="1"/>
    <col min="4" max="4" width="10.109375" style="38" customWidth="1"/>
    <col min="5" max="5" width="11.5546875" style="7" customWidth="1"/>
    <col min="6" max="6" width="14.6640625" customWidth="1"/>
    <col min="7" max="7" width="5.88671875" style="59" hidden="1" customWidth="1"/>
    <col min="8" max="8" width="5.5546875" style="37" bestFit="1" customWidth="1"/>
    <col min="9" max="9" width="9" style="37" hidden="1" customWidth="1"/>
    <col min="10" max="11" width="6.5546875" style="37" hidden="1" customWidth="1"/>
    <col min="12" max="13" width="9" style="37" hidden="1" customWidth="1"/>
    <col min="14" max="16" width="7.33203125" style="37" hidden="1" customWidth="1"/>
    <col min="17" max="17" width="9" style="37" hidden="1" customWidth="1"/>
    <col min="18" max="20" width="7.33203125" style="37" hidden="1" customWidth="1"/>
    <col min="21" max="22" width="7.33203125" style="37" customWidth="1"/>
    <col min="23" max="23" width="6.5546875" style="59" bestFit="1" customWidth="1"/>
    <col min="24" max="26" width="8" style="37" hidden="1" customWidth="1"/>
    <col min="27" max="27" width="8" style="37" customWidth="1"/>
    <col min="28" max="33" width="8" style="37" hidden="1" customWidth="1"/>
    <col min="34" max="35" width="8" style="37" customWidth="1"/>
    <col min="36" max="37" width="8" style="37" hidden="1" customWidth="1"/>
    <col min="38" max="38" width="8" style="37" customWidth="1"/>
    <col min="39" max="39" width="7.6640625" style="37" bestFit="1" customWidth="1"/>
    <col min="40" max="42" width="7.6640625" style="37" hidden="1" customWidth="1"/>
    <col min="43" max="43" width="10.109375" style="37" bestFit="1" customWidth="1"/>
    <col min="44" max="56" width="7.44140625" style="37" hidden="1" customWidth="1"/>
    <col min="57" max="57" width="7.44140625" style="37" customWidth="1"/>
    <col min="58" max="65" width="7.44140625" style="37" hidden="1" customWidth="1"/>
    <col min="66" max="66" width="7.44140625" style="37" customWidth="1"/>
    <col min="67" max="69" width="7.44140625" style="37" hidden="1" customWidth="1"/>
    <col min="70" max="70" width="7.88671875" style="37" hidden="1" customWidth="1"/>
    <col min="71" max="71" width="6.5546875" style="37" customWidth="1"/>
    <col min="72" max="74" width="6.5546875" style="37" hidden="1" customWidth="1"/>
    <col min="75" max="75" width="6.5546875" style="37" customWidth="1"/>
    <col min="76" max="76" width="6.5546875" style="37" hidden="1" customWidth="1"/>
    <col min="77" max="77" width="7.88671875" style="37" hidden="1" customWidth="1"/>
    <col min="78" max="81" width="6.5546875" style="37" hidden="1" customWidth="1"/>
    <col min="82" max="82" width="9.33203125" style="37" hidden="1" customWidth="1"/>
    <col min="83" max="83" width="7.33203125" style="37" customWidth="1"/>
    <col min="84" max="84" width="7.33203125" style="37" hidden="1" customWidth="1"/>
    <col min="85" max="85" width="8.109375" style="37" customWidth="1"/>
    <col min="86" max="88" width="8.109375" style="37" hidden="1" customWidth="1"/>
    <col min="89" max="89" width="8.109375" style="37" customWidth="1"/>
    <col min="90" max="94" width="8.109375" style="37" hidden="1" customWidth="1"/>
    <col min="95" max="95" width="9.109375" style="37" customWidth="1"/>
    <col min="96" max="96" width="11" style="37" customWidth="1"/>
    <col min="97" max="99" width="8.6640625" style="37" hidden="1" customWidth="1"/>
    <col min="100" max="100" width="8.6640625" style="37" customWidth="1"/>
    <col min="101" max="101" width="9" style="37" customWidth="1"/>
    <col min="102" max="111" width="6.44140625" style="37" hidden="1" customWidth="1"/>
    <col min="112" max="112" width="12.33203125" style="37" hidden="1" customWidth="1"/>
    <col min="113" max="119" width="10.33203125" style="37" hidden="1" customWidth="1"/>
    <col min="120" max="120" width="7.88671875" style="37" hidden="1" customWidth="1"/>
    <col min="121" max="128" width="9.6640625" style="37" hidden="1" customWidth="1"/>
    <col min="129" max="130" width="11.109375" style="37" hidden="1" customWidth="1"/>
    <col min="131" max="131" width="7" style="37" hidden="1" customWidth="1"/>
    <col min="132" max="137" width="11.109375" style="37" hidden="1" customWidth="1"/>
    <col min="138" max="147" width="8.5546875" style="37" hidden="1" customWidth="1"/>
    <col min="148" max="148" width="8.5546875" style="37" customWidth="1"/>
    <col min="149" max="152" width="8.5546875" style="37" hidden="1" customWidth="1"/>
    <col min="153" max="153" width="9.6640625" style="37" hidden="1" customWidth="1"/>
    <col min="154" max="160" width="11.109375" style="37" hidden="1" customWidth="1"/>
    <col min="161" max="161" width="7" style="37" hidden="1" customWidth="1"/>
    <col min="162" max="168" width="11.109375" style="37" hidden="1" customWidth="1"/>
    <col min="169" max="169" width="7.6640625" style="37" bestFit="1" customWidth="1"/>
    <col min="170" max="170" width="13.33203125" style="34" bestFit="1" customWidth="1"/>
    <col min="171" max="194" width="255.6640625" style="37"/>
    <col min="195" max="16384" width="255.6640625" style="7"/>
  </cols>
  <sheetData>
    <row r="1" spans="1:194" ht="45.75" customHeight="1" x14ac:dyDescent="0.25">
      <c r="A1" s="9" t="s">
        <v>33</v>
      </c>
      <c r="B1" s="9" t="s">
        <v>6</v>
      </c>
      <c r="C1" s="143" t="s">
        <v>7</v>
      </c>
      <c r="D1" s="17" t="s">
        <v>41</v>
      </c>
      <c r="E1" s="14" t="s">
        <v>56</v>
      </c>
      <c r="F1" s="1" t="s">
        <v>8</v>
      </c>
      <c r="G1" s="57" t="s">
        <v>546</v>
      </c>
      <c r="H1" s="156" t="s">
        <v>63</v>
      </c>
      <c r="I1" s="156" t="s">
        <v>358</v>
      </c>
      <c r="J1" s="156" t="s">
        <v>396</v>
      </c>
      <c r="K1" s="156" t="s">
        <v>462</v>
      </c>
      <c r="L1" s="156" t="s">
        <v>462</v>
      </c>
      <c r="M1" s="156" t="s">
        <v>469</v>
      </c>
      <c r="N1" s="156" t="s">
        <v>469</v>
      </c>
      <c r="O1" s="156" t="s">
        <v>366</v>
      </c>
      <c r="P1" s="156" t="s">
        <v>396</v>
      </c>
      <c r="Q1" s="156" t="s">
        <v>366</v>
      </c>
      <c r="R1" s="156" t="s">
        <v>518</v>
      </c>
      <c r="S1" s="156" t="s">
        <v>579</v>
      </c>
      <c r="T1" s="156" t="s">
        <v>462</v>
      </c>
      <c r="U1" s="156" t="s">
        <v>366</v>
      </c>
      <c r="V1" s="156" t="s">
        <v>396</v>
      </c>
      <c r="W1" s="57" t="s">
        <v>340</v>
      </c>
      <c r="X1" s="90" t="s">
        <v>45</v>
      </c>
      <c r="Y1" s="90" t="s">
        <v>86</v>
      </c>
      <c r="Z1" s="90" t="s">
        <v>45</v>
      </c>
      <c r="AA1" s="90" t="s">
        <v>45</v>
      </c>
      <c r="AB1" s="90" t="s">
        <v>559</v>
      </c>
      <c r="AC1" s="90" t="s">
        <v>73</v>
      </c>
      <c r="AD1" s="90" t="s">
        <v>405</v>
      </c>
      <c r="AE1" s="90" t="s">
        <v>30</v>
      </c>
      <c r="AF1" s="90" t="s">
        <v>575</v>
      </c>
      <c r="AG1" s="90" t="s">
        <v>549</v>
      </c>
      <c r="AH1" s="90" t="s">
        <v>405</v>
      </c>
      <c r="AI1" s="90" t="s">
        <v>566</v>
      </c>
      <c r="AJ1" s="90" t="s">
        <v>566</v>
      </c>
      <c r="AK1" s="90" t="s">
        <v>449</v>
      </c>
      <c r="AL1" s="90" t="s">
        <v>449</v>
      </c>
      <c r="AM1" s="90" t="s">
        <v>30</v>
      </c>
      <c r="AN1" s="90" t="s">
        <v>283</v>
      </c>
      <c r="AO1" s="90" t="s">
        <v>283</v>
      </c>
      <c r="AP1" s="90" t="s">
        <v>283</v>
      </c>
      <c r="AQ1" s="90" t="s">
        <v>283</v>
      </c>
      <c r="AR1" s="90" t="s">
        <v>140</v>
      </c>
      <c r="AS1" s="90" t="s">
        <v>55</v>
      </c>
      <c r="AT1" s="90" t="s">
        <v>55</v>
      </c>
      <c r="AU1" s="90" t="s">
        <v>55</v>
      </c>
      <c r="AV1" s="90" t="s">
        <v>55</v>
      </c>
      <c r="AW1" s="90" t="s">
        <v>55</v>
      </c>
      <c r="AX1" s="90" t="s">
        <v>55</v>
      </c>
      <c r="AY1" s="90" t="s">
        <v>55</v>
      </c>
      <c r="AZ1" s="90" t="s">
        <v>55</v>
      </c>
      <c r="BA1" s="90" t="s">
        <v>55</v>
      </c>
      <c r="BB1" s="90" t="s">
        <v>55</v>
      </c>
      <c r="BC1" s="90" t="s">
        <v>55</v>
      </c>
      <c r="BD1" s="90" t="s">
        <v>55</v>
      </c>
      <c r="BE1" s="90" t="s">
        <v>55</v>
      </c>
      <c r="BF1" s="90" t="s">
        <v>75</v>
      </c>
      <c r="BG1" s="90" t="s">
        <v>75</v>
      </c>
      <c r="BH1" s="90" t="s">
        <v>75</v>
      </c>
      <c r="BI1" s="90" t="s">
        <v>550</v>
      </c>
      <c r="BJ1" s="90" t="s">
        <v>550</v>
      </c>
      <c r="BK1" s="90" t="s">
        <v>75</v>
      </c>
      <c r="BL1" s="90" t="s">
        <v>75</v>
      </c>
      <c r="BM1" s="90" t="s">
        <v>75</v>
      </c>
      <c r="BN1" s="90" t="s">
        <v>75</v>
      </c>
      <c r="BO1" s="90" t="s">
        <v>137</v>
      </c>
      <c r="BP1" s="90" t="s">
        <v>568</v>
      </c>
      <c r="BQ1" s="90" t="s">
        <v>578</v>
      </c>
      <c r="BR1" s="90" t="s">
        <v>548</v>
      </c>
      <c r="BS1" s="90" t="s">
        <v>87</v>
      </c>
      <c r="BT1" s="90" t="s">
        <v>456</v>
      </c>
      <c r="BU1" s="90" t="s">
        <v>456</v>
      </c>
      <c r="BV1" s="90" t="s">
        <v>456</v>
      </c>
      <c r="BW1" s="90" t="s">
        <v>456</v>
      </c>
      <c r="BX1" s="90" t="s">
        <v>196</v>
      </c>
      <c r="BY1" s="90" t="s">
        <v>196</v>
      </c>
      <c r="BZ1" s="90" t="s">
        <v>196</v>
      </c>
      <c r="CA1" s="90" t="s">
        <v>565</v>
      </c>
      <c r="CB1" s="90" t="s">
        <v>560</v>
      </c>
      <c r="CC1" s="90" t="s">
        <v>580</v>
      </c>
      <c r="CD1" s="90" t="s">
        <v>580</v>
      </c>
      <c r="CE1" s="90" t="s">
        <v>284</v>
      </c>
      <c r="CF1" s="90" t="s">
        <v>350</v>
      </c>
      <c r="CG1" s="90" t="s">
        <v>350</v>
      </c>
      <c r="CH1" s="90" t="s">
        <v>88</v>
      </c>
      <c r="CI1" s="90" t="s">
        <v>88</v>
      </c>
      <c r="CJ1" s="90" t="s">
        <v>131</v>
      </c>
      <c r="CK1" s="90" t="s">
        <v>131</v>
      </c>
      <c r="CL1" s="90" t="s">
        <v>336</v>
      </c>
      <c r="CM1" s="90" t="s">
        <v>336</v>
      </c>
      <c r="CN1" s="90" t="s">
        <v>514</v>
      </c>
      <c r="CO1" s="90" t="s">
        <v>336</v>
      </c>
      <c r="CP1" s="90" t="s">
        <v>123</v>
      </c>
      <c r="CQ1" s="156" t="s">
        <v>514</v>
      </c>
      <c r="CR1" s="156" t="s">
        <v>425</v>
      </c>
      <c r="CS1" s="156" t="s">
        <v>527</v>
      </c>
      <c r="CT1" s="156" t="s">
        <v>243</v>
      </c>
      <c r="CU1" s="156" t="s">
        <v>243</v>
      </c>
      <c r="CV1" s="156" t="s">
        <v>527</v>
      </c>
      <c r="CW1" s="156" t="s">
        <v>243</v>
      </c>
      <c r="CX1" s="156" t="s">
        <v>348</v>
      </c>
      <c r="CY1" s="156" t="s">
        <v>547</v>
      </c>
      <c r="CZ1" s="156" t="s">
        <v>287</v>
      </c>
      <c r="DA1" s="156" t="s">
        <v>287</v>
      </c>
      <c r="DB1" s="156" t="s">
        <v>75</v>
      </c>
      <c r="DC1" s="156" t="s">
        <v>405</v>
      </c>
      <c r="DD1" s="156" t="s">
        <v>549</v>
      </c>
      <c r="DE1" s="156" t="s">
        <v>550</v>
      </c>
      <c r="DF1" s="156" t="s">
        <v>551</v>
      </c>
      <c r="DG1" s="156" t="s">
        <v>192</v>
      </c>
      <c r="DH1" s="156" t="s">
        <v>552</v>
      </c>
      <c r="DI1" s="156" t="s">
        <v>553</v>
      </c>
      <c r="DJ1" s="156" t="s">
        <v>557</v>
      </c>
      <c r="DK1" s="156" t="s">
        <v>550</v>
      </c>
      <c r="DL1" s="156" t="s">
        <v>558</v>
      </c>
      <c r="DM1" s="156" t="s">
        <v>123</v>
      </c>
      <c r="DN1" s="156" t="s">
        <v>468</v>
      </c>
      <c r="DO1" s="156" t="s">
        <v>562</v>
      </c>
      <c r="DP1" s="156" t="s">
        <v>550</v>
      </c>
      <c r="DQ1" s="156" t="s">
        <v>552</v>
      </c>
      <c r="DR1" s="156" t="s">
        <v>340</v>
      </c>
      <c r="DS1" s="156" t="s">
        <v>566</v>
      </c>
      <c r="DT1" s="156" t="s">
        <v>567</v>
      </c>
      <c r="DU1" s="156" t="s">
        <v>568</v>
      </c>
      <c r="DV1" s="156" t="s">
        <v>570</v>
      </c>
      <c r="DW1" s="156" t="s">
        <v>192</v>
      </c>
      <c r="DX1" s="156" t="s">
        <v>287</v>
      </c>
      <c r="DY1" s="156" t="s">
        <v>576</v>
      </c>
      <c r="DZ1" s="156" t="s">
        <v>581</v>
      </c>
      <c r="EA1" s="156" t="s">
        <v>348</v>
      </c>
      <c r="EB1" s="156" t="s">
        <v>287</v>
      </c>
      <c r="EC1" s="156" t="s">
        <v>584</v>
      </c>
      <c r="ED1" s="156" t="s">
        <v>586</v>
      </c>
      <c r="EE1" s="156" t="s">
        <v>587</v>
      </c>
      <c r="EF1" s="156" t="s">
        <v>552</v>
      </c>
      <c r="EG1" s="156" t="s">
        <v>174</v>
      </c>
      <c r="EH1" s="156" t="s">
        <v>527</v>
      </c>
      <c r="EI1" s="156" t="s">
        <v>584</v>
      </c>
      <c r="EJ1" s="156" t="s">
        <v>584</v>
      </c>
      <c r="EK1" s="156" t="s">
        <v>581</v>
      </c>
      <c r="EL1" s="156" t="s">
        <v>592</v>
      </c>
      <c r="EM1" s="156" t="s">
        <v>468</v>
      </c>
      <c r="EN1" s="156" t="s">
        <v>559</v>
      </c>
      <c r="EO1" s="156" t="s">
        <v>284</v>
      </c>
      <c r="EP1" s="156" t="s">
        <v>73</v>
      </c>
      <c r="EQ1" s="156" t="s">
        <v>595</v>
      </c>
      <c r="ER1" s="156" t="s">
        <v>567</v>
      </c>
      <c r="ES1" s="156" t="s">
        <v>565</v>
      </c>
      <c r="ET1" s="156" t="s">
        <v>597</v>
      </c>
      <c r="EU1" s="156" t="s">
        <v>547</v>
      </c>
      <c r="EV1" s="156" t="s">
        <v>344</v>
      </c>
      <c r="EW1" s="156" t="s">
        <v>552</v>
      </c>
      <c r="EX1" s="156" t="s">
        <v>605</v>
      </c>
      <c r="EY1" s="156" t="s">
        <v>581</v>
      </c>
      <c r="EZ1" s="156" t="s">
        <v>607</v>
      </c>
      <c r="FA1" s="156" t="s">
        <v>405</v>
      </c>
      <c r="FB1" s="156" t="s">
        <v>568</v>
      </c>
      <c r="FC1" s="156" t="s">
        <v>595</v>
      </c>
      <c r="FD1" s="156" t="s">
        <v>615</v>
      </c>
      <c r="FE1" s="156" t="s">
        <v>348</v>
      </c>
      <c r="FF1" s="156" t="s">
        <v>592</v>
      </c>
      <c r="FG1" s="156" t="s">
        <v>568</v>
      </c>
      <c r="FH1" s="156" t="s">
        <v>616</v>
      </c>
      <c r="FI1" s="156" t="s">
        <v>88</v>
      </c>
      <c r="FJ1" s="156" t="s">
        <v>558</v>
      </c>
      <c r="FK1" s="156" t="s">
        <v>607</v>
      </c>
      <c r="FL1" s="156" t="s">
        <v>625</v>
      </c>
      <c r="FM1" s="92" t="s">
        <v>189</v>
      </c>
      <c r="FN1" s="87" t="s">
        <v>23</v>
      </c>
      <c r="FO1" s="5"/>
    </row>
    <row r="2" spans="1:194" x14ac:dyDescent="0.25">
      <c r="A2" s="8" t="s">
        <v>9</v>
      </c>
      <c r="B2" s="10" t="s">
        <v>10</v>
      </c>
      <c r="C2" s="2" t="s">
        <v>10</v>
      </c>
      <c r="D2" s="17" t="s">
        <v>43</v>
      </c>
      <c r="E2" s="15" t="s">
        <v>57</v>
      </c>
      <c r="F2" s="2" t="s">
        <v>34</v>
      </c>
      <c r="G2" s="58"/>
      <c r="H2" s="91"/>
      <c r="I2" s="91">
        <v>44971</v>
      </c>
      <c r="J2" s="91">
        <v>44957</v>
      </c>
      <c r="K2" s="91">
        <v>44953</v>
      </c>
      <c r="L2" s="91">
        <v>44971</v>
      </c>
      <c r="M2" s="91">
        <v>44942</v>
      </c>
      <c r="N2" s="91">
        <v>44951</v>
      </c>
      <c r="O2" s="91">
        <v>44937</v>
      </c>
      <c r="P2" s="91">
        <v>44963</v>
      </c>
      <c r="Q2" s="91">
        <v>44970</v>
      </c>
      <c r="R2" s="91">
        <v>44953</v>
      </c>
      <c r="S2" s="91">
        <v>44963</v>
      </c>
      <c r="T2" s="91">
        <v>44979</v>
      </c>
      <c r="U2" s="91"/>
      <c r="V2" s="91"/>
      <c r="W2" s="157"/>
      <c r="X2" s="91">
        <v>44944</v>
      </c>
      <c r="Y2" s="91">
        <v>44958</v>
      </c>
      <c r="Z2" s="91">
        <v>44959</v>
      </c>
      <c r="AA2" s="91"/>
      <c r="AB2" s="91">
        <v>44951</v>
      </c>
      <c r="AC2" s="91">
        <v>44959</v>
      </c>
      <c r="AD2" s="91">
        <v>44952</v>
      </c>
      <c r="AE2" s="91">
        <v>44950</v>
      </c>
      <c r="AF2" s="91">
        <v>44964</v>
      </c>
      <c r="AG2" s="91">
        <v>44980</v>
      </c>
      <c r="AH2" s="91"/>
      <c r="AI2" s="91"/>
      <c r="AJ2" s="91">
        <v>44978</v>
      </c>
      <c r="AK2" s="91">
        <v>44980</v>
      </c>
      <c r="AL2" s="91"/>
      <c r="AM2" s="91"/>
      <c r="AN2" s="91">
        <v>44946</v>
      </c>
      <c r="AO2" s="91">
        <v>44958</v>
      </c>
      <c r="AP2" s="91">
        <v>44984</v>
      </c>
      <c r="AQ2" s="91"/>
      <c r="AR2" s="91">
        <v>44950</v>
      </c>
      <c r="AS2" s="91">
        <v>44937</v>
      </c>
      <c r="AT2" s="91">
        <v>44957</v>
      </c>
      <c r="AU2" s="91">
        <v>44957</v>
      </c>
      <c r="AV2" s="91">
        <v>44957</v>
      </c>
      <c r="AW2" s="91">
        <v>44970</v>
      </c>
      <c r="AX2" s="91">
        <v>44970</v>
      </c>
      <c r="AY2" s="91">
        <v>44970</v>
      </c>
      <c r="AZ2" s="91">
        <v>44970</v>
      </c>
      <c r="BA2" s="91">
        <v>44980</v>
      </c>
      <c r="BB2" s="91">
        <v>44980</v>
      </c>
      <c r="BC2" s="91">
        <v>44980</v>
      </c>
      <c r="BD2" s="91">
        <v>44980</v>
      </c>
      <c r="BE2" s="91"/>
      <c r="BF2" s="91">
        <v>44944</v>
      </c>
      <c r="BG2" s="91">
        <v>44950</v>
      </c>
      <c r="BH2" s="91">
        <v>44959</v>
      </c>
      <c r="BI2" s="91">
        <v>44965</v>
      </c>
      <c r="BJ2" s="91">
        <v>44979</v>
      </c>
      <c r="BK2" s="91">
        <v>44972</v>
      </c>
      <c r="BL2" s="91">
        <v>44978</v>
      </c>
      <c r="BM2" s="91">
        <v>44985</v>
      </c>
      <c r="BN2" s="91"/>
      <c r="BO2" s="91">
        <v>44960</v>
      </c>
      <c r="BP2" s="91">
        <v>44964</v>
      </c>
      <c r="BQ2" s="91">
        <v>44964</v>
      </c>
      <c r="BR2" s="91">
        <v>44965</v>
      </c>
      <c r="BS2" s="91"/>
      <c r="BT2" s="91">
        <v>44946</v>
      </c>
      <c r="BU2" s="91">
        <v>44956</v>
      </c>
      <c r="BV2" s="91">
        <v>44980</v>
      </c>
      <c r="BW2" s="91"/>
      <c r="BX2" s="91">
        <v>44957</v>
      </c>
      <c r="BY2" s="91">
        <v>44973</v>
      </c>
      <c r="BZ2" s="91">
        <v>44570</v>
      </c>
      <c r="CA2" s="91">
        <v>44957</v>
      </c>
      <c r="CB2" s="91">
        <v>44957</v>
      </c>
      <c r="CC2" s="91">
        <v>44986</v>
      </c>
      <c r="CD2" s="91">
        <v>44972</v>
      </c>
      <c r="CE2" s="91"/>
      <c r="CF2" s="91">
        <v>44959</v>
      </c>
      <c r="CG2" s="91"/>
      <c r="CH2" s="91">
        <v>44949</v>
      </c>
      <c r="CI2" s="91">
        <v>44973</v>
      </c>
      <c r="CJ2" s="91">
        <v>44965</v>
      </c>
      <c r="CK2" s="91"/>
      <c r="CL2" s="91">
        <v>44957</v>
      </c>
      <c r="CM2" s="91">
        <v>44957</v>
      </c>
      <c r="CN2" s="91">
        <v>44939</v>
      </c>
      <c r="CO2" s="91">
        <v>44964</v>
      </c>
      <c r="CP2" s="91">
        <v>44972</v>
      </c>
      <c r="CQ2" s="91"/>
      <c r="CR2" s="91"/>
      <c r="CS2" s="91">
        <v>44956</v>
      </c>
      <c r="CT2" s="91">
        <v>44936</v>
      </c>
      <c r="CU2" s="91">
        <v>44965</v>
      </c>
      <c r="CV2" s="91"/>
      <c r="CW2" s="91"/>
      <c r="CX2" s="91">
        <v>44570</v>
      </c>
      <c r="CY2" s="91">
        <v>44570</v>
      </c>
      <c r="CZ2" s="91">
        <v>44936</v>
      </c>
      <c r="DA2" s="91">
        <v>44937</v>
      </c>
      <c r="DB2" s="91">
        <v>44937</v>
      </c>
      <c r="DC2" s="91">
        <v>44573</v>
      </c>
      <c r="DD2" s="91">
        <v>44945</v>
      </c>
      <c r="DE2" s="91">
        <v>44945</v>
      </c>
      <c r="DF2" s="91">
        <v>44950</v>
      </c>
      <c r="DG2" s="91">
        <v>44945</v>
      </c>
      <c r="DH2" s="91">
        <v>44949</v>
      </c>
      <c r="DI2" s="91">
        <v>44949</v>
      </c>
      <c r="DJ2" s="91">
        <v>44950</v>
      </c>
      <c r="DK2" s="91">
        <v>44950</v>
      </c>
      <c r="DL2" s="91">
        <v>44950</v>
      </c>
      <c r="DM2" s="91">
        <v>44950</v>
      </c>
      <c r="DN2" s="91">
        <v>44950</v>
      </c>
      <c r="DO2" s="91">
        <v>44951</v>
      </c>
      <c r="DP2" s="91">
        <v>44958</v>
      </c>
      <c r="DQ2" s="91">
        <v>44956</v>
      </c>
      <c r="DR2" s="91">
        <v>44957</v>
      </c>
      <c r="DS2" s="91">
        <v>44957</v>
      </c>
      <c r="DT2" s="91">
        <v>44957</v>
      </c>
      <c r="DU2" s="91">
        <v>44957</v>
      </c>
      <c r="DV2" s="91">
        <v>44958</v>
      </c>
      <c r="DW2" s="91">
        <v>44959</v>
      </c>
      <c r="DX2" s="91">
        <v>44960</v>
      </c>
      <c r="DY2" s="91">
        <v>44963</v>
      </c>
      <c r="DZ2" s="91">
        <v>44964</v>
      </c>
      <c r="EA2" s="91">
        <v>44974</v>
      </c>
      <c r="EB2" s="91">
        <v>44965</v>
      </c>
      <c r="EC2" s="91">
        <v>44965</v>
      </c>
      <c r="ED2" s="91">
        <v>44967</v>
      </c>
      <c r="EE2" s="91">
        <v>44966</v>
      </c>
      <c r="EF2" s="91">
        <v>44970</v>
      </c>
      <c r="EG2" s="91">
        <v>44970</v>
      </c>
      <c r="EH2" s="91">
        <v>44971</v>
      </c>
      <c r="EI2" s="91">
        <v>44971</v>
      </c>
      <c r="EJ2" s="91">
        <v>44971</v>
      </c>
      <c r="EK2" s="91">
        <v>44971</v>
      </c>
      <c r="EL2" s="91">
        <v>44971</v>
      </c>
      <c r="EM2" s="91">
        <v>44972</v>
      </c>
      <c r="EN2" s="91">
        <v>44972</v>
      </c>
      <c r="EO2" s="91">
        <v>44972</v>
      </c>
      <c r="EP2" s="91">
        <v>44972</v>
      </c>
      <c r="EQ2" s="91">
        <v>44973</v>
      </c>
      <c r="ER2" s="91"/>
      <c r="ES2" s="91">
        <v>44973</v>
      </c>
      <c r="ET2" s="91">
        <v>44973</v>
      </c>
      <c r="EU2" s="91">
        <v>44978</v>
      </c>
      <c r="EV2" s="91">
        <v>44979</v>
      </c>
      <c r="EW2" s="91">
        <v>44979</v>
      </c>
      <c r="EX2" s="91">
        <v>44979</v>
      </c>
      <c r="EY2" s="91">
        <v>44980</v>
      </c>
      <c r="EZ2" s="91">
        <v>44980</v>
      </c>
      <c r="FA2" s="91">
        <v>44980</v>
      </c>
      <c r="FB2" s="91">
        <v>44980</v>
      </c>
      <c r="FC2" s="91">
        <v>44981</v>
      </c>
      <c r="FD2" s="91">
        <v>44981</v>
      </c>
      <c r="FE2" s="91">
        <v>44985</v>
      </c>
      <c r="FF2" s="91">
        <v>44984</v>
      </c>
      <c r="FG2" s="91">
        <v>44986</v>
      </c>
      <c r="FH2" s="91">
        <v>44986</v>
      </c>
      <c r="FI2" s="91">
        <v>44986</v>
      </c>
      <c r="FJ2" s="91">
        <v>44986</v>
      </c>
      <c r="FK2" s="91">
        <v>44987</v>
      </c>
      <c r="FL2" s="91">
        <v>44988</v>
      </c>
      <c r="FM2" s="91"/>
      <c r="FN2" s="88"/>
      <c r="FO2" s="5"/>
    </row>
    <row r="3" spans="1:194" x14ac:dyDescent="0.25">
      <c r="A3" s="114" t="s">
        <v>31</v>
      </c>
      <c r="B3" s="11"/>
      <c r="C3" s="3"/>
      <c r="D3" s="116" t="s">
        <v>31</v>
      </c>
      <c r="E3" s="115" t="s">
        <v>31</v>
      </c>
      <c r="F3" s="3" t="s">
        <v>39</v>
      </c>
      <c r="G3" s="56" t="s">
        <v>11</v>
      </c>
      <c r="H3" s="63"/>
      <c r="I3" s="63" t="s">
        <v>31</v>
      </c>
      <c r="J3" s="63" t="s">
        <v>31</v>
      </c>
      <c r="K3" s="63" t="s">
        <v>31</v>
      </c>
      <c r="L3" s="63" t="s">
        <v>31</v>
      </c>
      <c r="M3" s="63" t="s">
        <v>31</v>
      </c>
      <c r="N3" s="63" t="s">
        <v>31</v>
      </c>
      <c r="O3" s="63" t="s">
        <v>31</v>
      </c>
      <c r="P3" s="63" t="s">
        <v>31</v>
      </c>
      <c r="Q3" s="63" t="s">
        <v>31</v>
      </c>
      <c r="R3" s="63" t="s">
        <v>31</v>
      </c>
      <c r="S3" s="63" t="s">
        <v>31</v>
      </c>
      <c r="T3" s="63" t="s">
        <v>31</v>
      </c>
      <c r="U3" s="63"/>
      <c r="V3" s="63"/>
      <c r="W3" s="56"/>
      <c r="X3" s="63" t="s">
        <v>31</v>
      </c>
      <c r="Y3" s="63" t="s">
        <v>31</v>
      </c>
      <c r="Z3" s="63" t="s">
        <v>31</v>
      </c>
      <c r="AA3" s="63"/>
      <c r="AB3" s="63" t="s">
        <v>31</v>
      </c>
      <c r="AC3" s="63" t="s">
        <v>31</v>
      </c>
      <c r="AD3" s="63" t="s">
        <v>31</v>
      </c>
      <c r="AE3" s="63" t="s">
        <v>31</v>
      </c>
      <c r="AF3" s="63" t="s">
        <v>31</v>
      </c>
      <c r="AG3" s="63" t="s">
        <v>31</v>
      </c>
      <c r="AH3" s="63"/>
      <c r="AI3" s="63"/>
      <c r="AJ3" s="63" t="s">
        <v>31</v>
      </c>
      <c r="AK3" s="63" t="s">
        <v>31</v>
      </c>
      <c r="AL3" s="63"/>
      <c r="AM3" s="63"/>
      <c r="AN3" s="63" t="s">
        <v>31</v>
      </c>
      <c r="AO3" s="63" t="s">
        <v>31</v>
      </c>
      <c r="AP3" s="63" t="s">
        <v>31</v>
      </c>
      <c r="AQ3" s="63"/>
      <c r="AR3" s="63" t="s">
        <v>31</v>
      </c>
      <c r="AS3" s="63" t="s">
        <v>31</v>
      </c>
      <c r="AT3" s="63" t="s">
        <v>31</v>
      </c>
      <c r="AU3" s="63" t="s">
        <v>31</v>
      </c>
      <c r="AV3" s="63" t="s">
        <v>31</v>
      </c>
      <c r="AW3" s="63" t="s">
        <v>31</v>
      </c>
      <c r="AX3" s="63" t="s">
        <v>31</v>
      </c>
      <c r="AY3" s="63" t="s">
        <v>31</v>
      </c>
      <c r="AZ3" s="63" t="s">
        <v>31</v>
      </c>
      <c r="BA3" s="63" t="s">
        <v>31</v>
      </c>
      <c r="BB3" s="63" t="s">
        <v>31</v>
      </c>
      <c r="BC3" s="63" t="s">
        <v>31</v>
      </c>
      <c r="BD3" s="63" t="s">
        <v>31</v>
      </c>
      <c r="BE3" s="63"/>
      <c r="BF3" s="63" t="s">
        <v>31</v>
      </c>
      <c r="BG3" s="63" t="s">
        <v>31</v>
      </c>
      <c r="BH3" s="63" t="s">
        <v>31</v>
      </c>
      <c r="BI3" s="63" t="s">
        <v>31</v>
      </c>
      <c r="BJ3" s="63" t="s">
        <v>31</v>
      </c>
      <c r="BK3" s="63" t="s">
        <v>31</v>
      </c>
      <c r="BL3" s="63" t="s">
        <v>31</v>
      </c>
      <c r="BM3" s="63" t="s">
        <v>31</v>
      </c>
      <c r="BN3" s="63"/>
      <c r="BO3" s="63" t="s">
        <v>31</v>
      </c>
      <c r="BP3" s="63" t="s">
        <v>31</v>
      </c>
      <c r="BQ3" s="63" t="s">
        <v>31</v>
      </c>
      <c r="BR3" s="63" t="s">
        <v>31</v>
      </c>
      <c r="BS3" s="63"/>
      <c r="BT3" s="63" t="s">
        <v>31</v>
      </c>
      <c r="BU3" s="63" t="s">
        <v>31</v>
      </c>
      <c r="BV3" s="63" t="s">
        <v>31</v>
      </c>
      <c r="BW3" s="63"/>
      <c r="BX3" s="63" t="s">
        <v>31</v>
      </c>
      <c r="BY3" s="63" t="s">
        <v>31</v>
      </c>
      <c r="BZ3" s="63" t="s">
        <v>31</v>
      </c>
      <c r="CA3" s="63" t="s">
        <v>31</v>
      </c>
      <c r="CB3" s="63" t="s">
        <v>31</v>
      </c>
      <c r="CC3" s="63" t="s">
        <v>31</v>
      </c>
      <c r="CD3" s="63" t="s">
        <v>31</v>
      </c>
      <c r="CE3" s="63"/>
      <c r="CF3" s="63" t="s">
        <v>31</v>
      </c>
      <c r="CG3" s="63"/>
      <c r="CH3" s="63" t="s">
        <v>31</v>
      </c>
      <c r="CI3" s="63" t="s">
        <v>31</v>
      </c>
      <c r="CJ3" s="63" t="s">
        <v>31</v>
      </c>
      <c r="CK3" s="63"/>
      <c r="CL3" s="63" t="s">
        <v>31</v>
      </c>
      <c r="CM3" s="63" t="s">
        <v>31</v>
      </c>
      <c r="CN3" s="63" t="s">
        <v>31</v>
      </c>
      <c r="CO3" s="63" t="s">
        <v>31</v>
      </c>
      <c r="CP3" s="63" t="s">
        <v>31</v>
      </c>
      <c r="CQ3" s="63"/>
      <c r="CR3" s="63"/>
      <c r="CS3" s="63" t="s">
        <v>31</v>
      </c>
      <c r="CT3" s="63" t="s">
        <v>31</v>
      </c>
      <c r="CU3" s="63" t="s">
        <v>31</v>
      </c>
      <c r="CV3" s="63"/>
      <c r="CW3" s="39"/>
      <c r="CX3" s="63" t="s">
        <v>31</v>
      </c>
      <c r="CY3" s="63" t="s">
        <v>31</v>
      </c>
      <c r="CZ3" s="63" t="s">
        <v>31</v>
      </c>
      <c r="DA3" s="63" t="s">
        <v>31</v>
      </c>
      <c r="DB3" s="63" t="s">
        <v>31</v>
      </c>
      <c r="DC3" s="63" t="s">
        <v>31</v>
      </c>
      <c r="DD3" s="63" t="s">
        <v>31</v>
      </c>
      <c r="DE3" s="63" t="s">
        <v>31</v>
      </c>
      <c r="DF3" s="63" t="s">
        <v>31</v>
      </c>
      <c r="DG3" s="63" t="s">
        <v>31</v>
      </c>
      <c r="DH3" s="63" t="s">
        <v>11</v>
      </c>
      <c r="DI3" s="63" t="s">
        <v>11</v>
      </c>
      <c r="DJ3" s="63" t="s">
        <v>31</v>
      </c>
      <c r="DK3" s="63" t="s">
        <v>31</v>
      </c>
      <c r="DL3" s="63" t="s">
        <v>31</v>
      </c>
      <c r="DM3" s="63" t="s">
        <v>31</v>
      </c>
      <c r="DN3" s="63" t="s">
        <v>31</v>
      </c>
      <c r="DO3" s="63" t="s">
        <v>31</v>
      </c>
      <c r="DP3" s="63" t="s">
        <v>31</v>
      </c>
      <c r="DQ3" s="63" t="s">
        <v>11</v>
      </c>
      <c r="DR3" s="63" t="s">
        <v>31</v>
      </c>
      <c r="DS3" s="63" t="s">
        <v>31</v>
      </c>
      <c r="DT3" s="63" t="s">
        <v>31</v>
      </c>
      <c r="DU3" s="63" t="s">
        <v>31</v>
      </c>
      <c r="DV3" s="63" t="s">
        <v>31</v>
      </c>
      <c r="DW3" s="63" t="s">
        <v>31</v>
      </c>
      <c r="DX3" s="63" t="s">
        <v>31</v>
      </c>
      <c r="DY3" s="63" t="s">
        <v>11</v>
      </c>
      <c r="DZ3" s="63" t="s">
        <v>31</v>
      </c>
      <c r="EA3" s="63" t="s">
        <v>31</v>
      </c>
      <c r="EB3" s="63" t="s">
        <v>31</v>
      </c>
      <c r="EC3" s="63" t="s">
        <v>31</v>
      </c>
      <c r="ED3" s="63" t="s">
        <v>31</v>
      </c>
      <c r="EE3" s="63" t="s">
        <v>31</v>
      </c>
      <c r="EF3" s="63" t="s">
        <v>11</v>
      </c>
      <c r="EG3" s="63" t="s">
        <v>31</v>
      </c>
      <c r="EH3" s="63" t="s">
        <v>31</v>
      </c>
      <c r="EI3" s="63" t="s">
        <v>31</v>
      </c>
      <c r="EJ3" s="63" t="s">
        <v>31</v>
      </c>
      <c r="EK3" s="63" t="s">
        <v>31</v>
      </c>
      <c r="EL3" s="63" t="s">
        <v>31</v>
      </c>
      <c r="EM3" s="63" t="s">
        <v>31</v>
      </c>
      <c r="EN3" s="63" t="s">
        <v>31</v>
      </c>
      <c r="EO3" s="63" t="s">
        <v>31</v>
      </c>
      <c r="EP3" s="63" t="s">
        <v>31</v>
      </c>
      <c r="EQ3" s="63" t="s">
        <v>31</v>
      </c>
      <c r="ER3" s="63"/>
      <c r="ES3" s="63" t="s">
        <v>31</v>
      </c>
      <c r="ET3" s="63" t="s">
        <v>31</v>
      </c>
      <c r="EU3" s="63" t="s">
        <v>31</v>
      </c>
      <c r="EV3" s="63" t="s">
        <v>31</v>
      </c>
      <c r="EW3" s="63" t="s">
        <v>11</v>
      </c>
      <c r="EX3" s="63" t="s">
        <v>11</v>
      </c>
      <c r="EY3" s="63" t="s">
        <v>31</v>
      </c>
      <c r="EZ3" s="63" t="s">
        <v>11</v>
      </c>
      <c r="FA3" s="63" t="s">
        <v>31</v>
      </c>
      <c r="FB3" s="63" t="s">
        <v>31</v>
      </c>
      <c r="FC3" s="63" t="s">
        <v>31</v>
      </c>
      <c r="FD3" s="63" t="s">
        <v>31</v>
      </c>
      <c r="FE3" s="63" t="s">
        <v>31</v>
      </c>
      <c r="FF3" s="63" t="s">
        <v>31</v>
      </c>
      <c r="FG3" s="63" t="s">
        <v>31</v>
      </c>
      <c r="FH3" s="63" t="s">
        <v>31</v>
      </c>
      <c r="FI3" s="63" t="s">
        <v>31</v>
      </c>
      <c r="FJ3" s="63" t="s">
        <v>31</v>
      </c>
      <c r="FK3" s="63" t="s">
        <v>11</v>
      </c>
      <c r="FL3" s="63" t="s">
        <v>31</v>
      </c>
      <c r="FM3" s="63"/>
      <c r="FN3" s="88" t="s">
        <v>31</v>
      </c>
      <c r="FO3" s="5"/>
    </row>
    <row r="4" spans="1:194" x14ac:dyDescent="0.25">
      <c r="A4" s="44" t="s">
        <v>74</v>
      </c>
      <c r="B4" s="74">
        <f t="shared" ref="B4:B69" si="0">SUMIF(G$3:FM$3,"прих",G4:FM4)-SUMIF(G$3:FM$3,"отгр",G4:FM4)</f>
        <v>90</v>
      </c>
      <c r="C4" s="66">
        <v>10</v>
      </c>
      <c r="D4" s="67">
        <v>44879</v>
      </c>
      <c r="E4" s="76">
        <v>37.659999999999997</v>
      </c>
      <c r="F4" s="76">
        <f>E4*B4</f>
        <v>3389.3999999999996</v>
      </c>
      <c r="G4" s="74">
        <v>190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16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>
        <v>100</v>
      </c>
      <c r="AP4" s="39"/>
      <c r="AQ4" s="39">
        <v>90</v>
      </c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29">
        <f t="shared" ref="FN4:FN69" si="1">$B4-SUMIF($G$3:$KB$3,"",$G4:$KB4)</f>
        <v>0</v>
      </c>
      <c r="FO4" s="5"/>
    </row>
    <row r="5" spans="1:194" x14ac:dyDescent="0.25">
      <c r="A5" s="44" t="s">
        <v>74</v>
      </c>
      <c r="B5" s="74">
        <f t="shared" si="0"/>
        <v>110</v>
      </c>
      <c r="C5" s="66">
        <v>10</v>
      </c>
      <c r="D5" s="67">
        <v>44924</v>
      </c>
      <c r="E5" s="76">
        <v>35.700000000000003</v>
      </c>
      <c r="F5" s="76">
        <f>E5*B5</f>
        <v>3927.0000000000005</v>
      </c>
      <c r="G5" s="74">
        <v>110</v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16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>
        <v>110</v>
      </c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29">
        <f t="shared" si="1"/>
        <v>0</v>
      </c>
      <c r="FO5" s="5"/>
    </row>
    <row r="6" spans="1:194" x14ac:dyDescent="0.25">
      <c r="A6" s="44" t="s">
        <v>84</v>
      </c>
      <c r="B6" s="74">
        <f t="shared" si="0"/>
        <v>90</v>
      </c>
      <c r="C6" s="66">
        <v>10</v>
      </c>
      <c r="D6" s="69">
        <v>44879</v>
      </c>
      <c r="E6" s="76">
        <v>31.01</v>
      </c>
      <c r="F6" s="76">
        <f t="shared" ref="F6:F84" si="2">E6*B6</f>
        <v>2790.9</v>
      </c>
      <c r="G6" s="74">
        <v>140</v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16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>
        <v>50</v>
      </c>
      <c r="AP6" s="39"/>
      <c r="AQ6" s="39">
        <v>90</v>
      </c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29">
        <f t="shared" si="1"/>
        <v>0</v>
      </c>
      <c r="FO6" s="5"/>
    </row>
    <row r="7" spans="1:194" x14ac:dyDescent="0.25">
      <c r="A7" s="44" t="s">
        <v>84</v>
      </c>
      <c r="B7" s="74">
        <f t="shared" si="0"/>
        <v>0</v>
      </c>
      <c r="C7" s="66">
        <v>10</v>
      </c>
      <c r="D7" s="68">
        <v>44897</v>
      </c>
      <c r="E7" s="76">
        <v>30.73</v>
      </c>
      <c r="F7" s="76">
        <f t="shared" si="2"/>
        <v>0</v>
      </c>
      <c r="G7" s="74">
        <v>50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16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>
        <v>50</v>
      </c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29">
        <f t="shared" si="1"/>
        <v>0</v>
      </c>
      <c r="FO7" s="5"/>
    </row>
    <row r="8" spans="1:194" x14ac:dyDescent="0.25">
      <c r="A8" s="44" t="s">
        <v>84</v>
      </c>
      <c r="B8" s="74">
        <f t="shared" si="0"/>
        <v>110</v>
      </c>
      <c r="C8" s="66">
        <v>10</v>
      </c>
      <c r="D8" s="68">
        <v>44949</v>
      </c>
      <c r="E8" s="76">
        <v>29.55</v>
      </c>
      <c r="F8" s="76">
        <f t="shared" si="2"/>
        <v>3250.5</v>
      </c>
      <c r="G8" s="74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16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>
        <v>110</v>
      </c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>
        <v>20</v>
      </c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>
        <v>130</v>
      </c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29">
        <f t="shared" si="1"/>
        <v>0</v>
      </c>
      <c r="FO8" s="5"/>
    </row>
    <row r="9" spans="1:194" x14ac:dyDescent="0.25">
      <c r="A9" s="44" t="s">
        <v>179</v>
      </c>
      <c r="B9" s="74">
        <f t="shared" si="0"/>
        <v>0</v>
      </c>
      <c r="C9" s="66">
        <v>10</v>
      </c>
      <c r="D9" s="68">
        <v>44725</v>
      </c>
      <c r="E9" s="76">
        <v>41.81</v>
      </c>
      <c r="F9" s="76">
        <f t="shared" si="2"/>
        <v>0</v>
      </c>
      <c r="G9" s="74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16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29">
        <f t="shared" si="1"/>
        <v>0</v>
      </c>
      <c r="FO9" s="5"/>
    </row>
    <row r="10" spans="1:194" x14ac:dyDescent="0.25">
      <c r="A10" s="44" t="s">
        <v>179</v>
      </c>
      <c r="B10" s="74">
        <f t="shared" si="0"/>
        <v>0</v>
      </c>
      <c r="C10" s="66">
        <v>1</v>
      </c>
      <c r="D10" s="68">
        <v>44858</v>
      </c>
      <c r="E10" s="76">
        <v>53.66</v>
      </c>
      <c r="F10" s="76">
        <f t="shared" si="2"/>
        <v>0</v>
      </c>
      <c r="G10" s="74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16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29">
        <f t="shared" si="1"/>
        <v>0</v>
      </c>
      <c r="FO10" s="5"/>
    </row>
    <row r="11" spans="1:194" x14ac:dyDescent="0.25">
      <c r="A11" s="44" t="s">
        <v>168</v>
      </c>
      <c r="B11" s="74">
        <f t="shared" si="0"/>
        <v>0</v>
      </c>
      <c r="C11" s="66">
        <v>10</v>
      </c>
      <c r="D11" s="69">
        <v>44788</v>
      </c>
      <c r="E11" s="76">
        <v>35.11</v>
      </c>
      <c r="F11" s="76">
        <f t="shared" si="2"/>
        <v>0</v>
      </c>
      <c r="G11" s="74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16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29">
        <f t="shared" si="1"/>
        <v>0</v>
      </c>
      <c r="FO11" s="5"/>
    </row>
    <row r="12" spans="1:194" x14ac:dyDescent="0.25">
      <c r="A12" s="44" t="s">
        <v>168</v>
      </c>
      <c r="B12" s="74">
        <f t="shared" si="0"/>
        <v>0</v>
      </c>
      <c r="C12" s="66">
        <v>10</v>
      </c>
      <c r="D12" s="69">
        <v>44802</v>
      </c>
      <c r="E12" s="76">
        <v>34.729999999999997</v>
      </c>
      <c r="F12" s="76">
        <f t="shared" si="2"/>
        <v>0</v>
      </c>
      <c r="G12" s="74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16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29">
        <f t="shared" si="1"/>
        <v>0</v>
      </c>
      <c r="FO12" s="5"/>
    </row>
    <row r="13" spans="1:194" x14ac:dyDescent="0.25">
      <c r="A13" s="44" t="s">
        <v>216</v>
      </c>
      <c r="B13" s="74">
        <f t="shared" si="0"/>
        <v>0</v>
      </c>
      <c r="C13" s="66">
        <v>10</v>
      </c>
      <c r="D13" s="68">
        <v>44886</v>
      </c>
      <c r="E13" s="76">
        <v>30.73</v>
      </c>
      <c r="F13" s="76">
        <f t="shared" si="2"/>
        <v>0</v>
      </c>
      <c r="G13" s="74">
        <v>10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16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>
        <v>10</v>
      </c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29">
        <f t="shared" si="1"/>
        <v>0</v>
      </c>
      <c r="FO13" s="5"/>
    </row>
    <row r="14" spans="1:194" x14ac:dyDescent="0.25">
      <c r="A14" s="44" t="s">
        <v>216</v>
      </c>
      <c r="B14" s="74">
        <f t="shared" si="0"/>
        <v>0</v>
      </c>
      <c r="C14" s="66">
        <v>10</v>
      </c>
      <c r="D14" s="68">
        <v>44924</v>
      </c>
      <c r="E14" s="76">
        <v>29.41</v>
      </c>
      <c r="F14" s="76">
        <f t="shared" si="2"/>
        <v>0</v>
      </c>
      <c r="G14" s="74">
        <v>10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16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>
        <v>10</v>
      </c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29">
        <f t="shared" si="1"/>
        <v>0</v>
      </c>
      <c r="FO14" s="5"/>
    </row>
    <row r="15" spans="1:194" x14ac:dyDescent="0.25">
      <c r="A15" s="44" t="s">
        <v>523</v>
      </c>
      <c r="B15" s="74">
        <f t="shared" si="0"/>
        <v>0</v>
      </c>
      <c r="C15" s="66">
        <v>1</v>
      </c>
      <c r="D15" s="68">
        <v>44781</v>
      </c>
      <c r="E15" s="76">
        <v>60.85</v>
      </c>
      <c r="F15" s="76">
        <f t="shared" si="2"/>
        <v>0</v>
      </c>
      <c r="G15" s="74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16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29">
        <f t="shared" si="1"/>
        <v>0</v>
      </c>
      <c r="FO15" s="5"/>
    </row>
    <row r="16" spans="1:194" x14ac:dyDescent="0.25">
      <c r="A16" s="44" t="s">
        <v>82</v>
      </c>
      <c r="B16" s="74">
        <f t="shared" si="0"/>
        <v>0</v>
      </c>
      <c r="C16" s="66">
        <v>0.8</v>
      </c>
      <c r="D16" s="68">
        <v>44956</v>
      </c>
      <c r="E16" s="76">
        <v>60.94</v>
      </c>
      <c r="F16" s="76">
        <f t="shared" si="2"/>
        <v>0</v>
      </c>
      <c r="G16" s="74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16"/>
      <c r="X16" s="39"/>
      <c r="Y16" s="39">
        <v>2.4</v>
      </c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>
        <v>2.4</v>
      </c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29">
        <f t="shared" si="1"/>
        <v>0</v>
      </c>
      <c r="FO16" s="5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</row>
    <row r="17" spans="1:194" x14ac:dyDescent="0.25">
      <c r="A17" s="44" t="s">
        <v>82</v>
      </c>
      <c r="B17" s="74">
        <f t="shared" si="0"/>
        <v>0</v>
      </c>
      <c r="C17" s="66">
        <v>8</v>
      </c>
      <c r="D17" s="68">
        <v>44651</v>
      </c>
      <c r="E17" s="76">
        <v>68.06</v>
      </c>
      <c r="F17" s="76">
        <f t="shared" si="2"/>
        <v>0</v>
      </c>
      <c r="G17" s="74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16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29">
        <f t="shared" si="1"/>
        <v>0</v>
      </c>
      <c r="FO17" s="5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</row>
    <row r="18" spans="1:194" x14ac:dyDescent="0.25">
      <c r="A18" s="44" t="s">
        <v>111</v>
      </c>
      <c r="B18" s="74">
        <f t="shared" si="0"/>
        <v>0</v>
      </c>
      <c r="C18" s="66">
        <v>0.8</v>
      </c>
      <c r="D18" s="68">
        <v>44879</v>
      </c>
      <c r="E18" s="76">
        <v>64.27</v>
      </c>
      <c r="F18" s="76">
        <f t="shared" si="2"/>
        <v>0</v>
      </c>
      <c r="G18" s="74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16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29">
        <f t="shared" si="1"/>
        <v>0</v>
      </c>
      <c r="FO18" s="5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</row>
    <row r="19" spans="1:194" x14ac:dyDescent="0.25">
      <c r="A19" s="44" t="s">
        <v>50</v>
      </c>
      <c r="B19" s="74">
        <f t="shared" si="0"/>
        <v>0</v>
      </c>
      <c r="C19" s="66">
        <v>0.8</v>
      </c>
      <c r="D19" s="69">
        <v>44781</v>
      </c>
      <c r="E19" s="110">
        <v>65.55</v>
      </c>
      <c r="F19" s="76">
        <f t="shared" si="2"/>
        <v>0</v>
      </c>
      <c r="G19" s="74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16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29">
        <f t="shared" si="1"/>
        <v>0</v>
      </c>
      <c r="FO19" s="5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</row>
    <row r="20" spans="1:194" x14ac:dyDescent="0.25">
      <c r="A20" s="60" t="s">
        <v>50</v>
      </c>
      <c r="B20" s="74">
        <f t="shared" si="0"/>
        <v>0</v>
      </c>
      <c r="C20" s="66">
        <v>8</v>
      </c>
      <c r="D20" s="69">
        <v>44949</v>
      </c>
      <c r="E20" s="76">
        <v>56.99</v>
      </c>
      <c r="F20" s="76">
        <f t="shared" si="2"/>
        <v>0</v>
      </c>
      <c r="G20" s="74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16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>
        <v>24</v>
      </c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>
        <v>24</v>
      </c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29">
        <f t="shared" si="1"/>
        <v>0</v>
      </c>
      <c r="FO20" s="5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</row>
    <row r="21" spans="1:194" x14ac:dyDescent="0.25">
      <c r="A21" s="60" t="s">
        <v>269</v>
      </c>
      <c r="B21" s="74">
        <f t="shared" si="0"/>
        <v>0</v>
      </c>
      <c r="C21" s="66">
        <v>8</v>
      </c>
      <c r="D21" s="68">
        <v>44924</v>
      </c>
      <c r="E21" s="76">
        <v>63.02</v>
      </c>
      <c r="F21" s="76">
        <f t="shared" si="2"/>
        <v>0</v>
      </c>
      <c r="G21" s="74">
        <v>16</v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16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>
        <v>8</v>
      </c>
      <c r="CU21" s="39">
        <v>8</v>
      </c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29">
        <f t="shared" si="1"/>
        <v>0</v>
      </c>
      <c r="FO21" s="5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</row>
    <row r="22" spans="1:194" x14ac:dyDescent="0.25">
      <c r="A22" s="60" t="s">
        <v>206</v>
      </c>
      <c r="B22" s="74">
        <f t="shared" si="0"/>
        <v>0</v>
      </c>
      <c r="C22" s="66">
        <v>1</v>
      </c>
      <c r="D22" s="68">
        <v>44956</v>
      </c>
      <c r="E22" s="76">
        <v>37.83</v>
      </c>
      <c r="F22" s="76">
        <f t="shared" si="2"/>
        <v>0</v>
      </c>
      <c r="G22" s="74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6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>
        <v>1</v>
      </c>
      <c r="DR22" s="39">
        <v>1</v>
      </c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29">
        <f t="shared" si="1"/>
        <v>0</v>
      </c>
      <c r="FO22" s="5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</row>
    <row r="23" spans="1:194" x14ac:dyDescent="0.25">
      <c r="A23" s="60" t="s">
        <v>206</v>
      </c>
      <c r="B23" s="74">
        <f t="shared" si="0"/>
        <v>0</v>
      </c>
      <c r="C23" s="66">
        <v>10</v>
      </c>
      <c r="D23" s="68">
        <v>44956</v>
      </c>
      <c r="E23" s="76">
        <v>33.619999999999997</v>
      </c>
      <c r="F23" s="76">
        <f t="shared" si="2"/>
        <v>0</v>
      </c>
      <c r="G23" s="74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16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>
        <v>10</v>
      </c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>
        <v>10</v>
      </c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29">
        <f t="shared" si="1"/>
        <v>0</v>
      </c>
      <c r="FO23" s="5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</row>
    <row r="24" spans="1:194" x14ac:dyDescent="0.25">
      <c r="A24" s="60" t="s">
        <v>223</v>
      </c>
      <c r="B24" s="74">
        <f t="shared" si="0"/>
        <v>0</v>
      </c>
      <c r="C24" s="66">
        <v>10</v>
      </c>
      <c r="D24" s="68">
        <v>44970</v>
      </c>
      <c r="E24" s="76">
        <v>29.32</v>
      </c>
      <c r="F24" s="76">
        <f t="shared" si="2"/>
        <v>0</v>
      </c>
      <c r="G24" s="74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16"/>
      <c r="X24" s="39"/>
      <c r="Y24" s="39"/>
      <c r="Z24" s="39"/>
      <c r="AA24" s="39"/>
      <c r="AB24" s="39">
        <v>1</v>
      </c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>
        <v>30</v>
      </c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>
        <v>1</v>
      </c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>
        <v>30</v>
      </c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29">
        <f t="shared" si="1"/>
        <v>0</v>
      </c>
      <c r="FO24" s="5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</row>
    <row r="25" spans="1:194" x14ac:dyDescent="0.25">
      <c r="A25" s="60" t="s">
        <v>223</v>
      </c>
      <c r="B25" s="74">
        <f t="shared" si="0"/>
        <v>0</v>
      </c>
      <c r="C25" s="66">
        <v>1</v>
      </c>
      <c r="D25" s="68">
        <v>44970</v>
      </c>
      <c r="E25" s="76">
        <v>31.4</v>
      </c>
      <c r="F25" s="76">
        <f t="shared" si="2"/>
        <v>0</v>
      </c>
      <c r="G25" s="74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16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>
        <v>1</v>
      </c>
      <c r="EG25" s="39"/>
      <c r="EH25" s="39"/>
      <c r="EI25" s="39"/>
      <c r="EJ25" s="39"/>
      <c r="EK25" s="39"/>
      <c r="EL25" s="39"/>
      <c r="EM25" s="39"/>
      <c r="EN25" s="39">
        <v>1</v>
      </c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29">
        <f t="shared" si="1"/>
        <v>0</v>
      </c>
      <c r="FO25" s="5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</row>
    <row r="26" spans="1:194" x14ac:dyDescent="0.25">
      <c r="A26" s="60" t="s">
        <v>255</v>
      </c>
      <c r="B26" s="74">
        <f t="shared" si="0"/>
        <v>0</v>
      </c>
      <c r="C26" s="66">
        <v>1</v>
      </c>
      <c r="D26" s="68">
        <v>44914</v>
      </c>
      <c r="E26" s="76">
        <v>58.85</v>
      </c>
      <c r="F26" s="76">
        <f t="shared" si="2"/>
        <v>0</v>
      </c>
      <c r="G26" s="74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16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29">
        <f t="shared" si="1"/>
        <v>0</v>
      </c>
      <c r="FO26" s="5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</row>
    <row r="27" spans="1:194" x14ac:dyDescent="0.25">
      <c r="A27" s="44" t="s">
        <v>77</v>
      </c>
      <c r="B27" s="74">
        <f t="shared" si="0"/>
        <v>0</v>
      </c>
      <c r="C27" s="66">
        <v>10</v>
      </c>
      <c r="D27" s="68">
        <v>44816</v>
      </c>
      <c r="E27" s="76">
        <v>50.84</v>
      </c>
      <c r="F27" s="76">
        <f t="shared" si="2"/>
        <v>0</v>
      </c>
      <c r="G27" s="74">
        <v>30</v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16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>
        <v>10</v>
      </c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>
        <v>20</v>
      </c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29">
        <f t="shared" si="1"/>
        <v>0</v>
      </c>
      <c r="FO27" s="5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</row>
    <row r="28" spans="1:194" x14ac:dyDescent="0.25">
      <c r="A28" s="44" t="s">
        <v>77</v>
      </c>
      <c r="B28" s="74">
        <f t="shared" si="0"/>
        <v>20</v>
      </c>
      <c r="C28" s="66">
        <v>10</v>
      </c>
      <c r="D28" s="68">
        <v>44956</v>
      </c>
      <c r="E28" s="76">
        <v>46.21</v>
      </c>
      <c r="F28" s="76">
        <f t="shared" si="2"/>
        <v>924.2</v>
      </c>
      <c r="G28" s="74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6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>
        <v>20</v>
      </c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>
        <v>40</v>
      </c>
      <c r="DR28" s="39"/>
      <c r="DS28" s="39"/>
      <c r="DT28" s="39">
        <v>20</v>
      </c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29">
        <f t="shared" si="1"/>
        <v>0</v>
      </c>
      <c r="FO28" s="5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</row>
    <row r="29" spans="1:194" x14ac:dyDescent="0.25">
      <c r="A29" s="44" t="s">
        <v>326</v>
      </c>
      <c r="B29" s="74">
        <f t="shared" si="0"/>
        <v>0</v>
      </c>
      <c r="C29" s="66">
        <v>9</v>
      </c>
      <c r="D29" s="68">
        <v>44816</v>
      </c>
      <c r="E29" s="76">
        <v>46.22</v>
      </c>
      <c r="F29" s="76">
        <f t="shared" si="2"/>
        <v>0</v>
      </c>
      <c r="G29" s="74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16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29">
        <f t="shared" si="1"/>
        <v>0</v>
      </c>
      <c r="FO29" s="5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</row>
    <row r="30" spans="1:194" x14ac:dyDescent="0.25">
      <c r="A30" s="44" t="s">
        <v>512</v>
      </c>
      <c r="B30" s="74">
        <f t="shared" si="0"/>
        <v>0</v>
      </c>
      <c r="C30" s="66">
        <v>0.9</v>
      </c>
      <c r="D30" s="68">
        <v>44753</v>
      </c>
      <c r="E30" s="76">
        <v>45.68</v>
      </c>
      <c r="F30" s="76">
        <f t="shared" si="2"/>
        <v>0</v>
      </c>
      <c r="G30" s="74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16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29">
        <f t="shared" si="1"/>
        <v>0</v>
      </c>
      <c r="FO30" s="5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</row>
    <row r="31" spans="1:194" s="37" customFormat="1" x14ac:dyDescent="0.25">
      <c r="A31" s="44" t="s">
        <v>105</v>
      </c>
      <c r="B31" s="74">
        <f t="shared" si="0"/>
        <v>27</v>
      </c>
      <c r="C31" s="66">
        <v>9</v>
      </c>
      <c r="D31" s="69">
        <v>44781</v>
      </c>
      <c r="E31" s="76">
        <v>35.119999999999997</v>
      </c>
      <c r="F31" s="76">
        <f t="shared" si="2"/>
        <v>948.2399999999999</v>
      </c>
      <c r="G31" s="74">
        <v>36</v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16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>
        <v>9</v>
      </c>
      <c r="CK31" s="39">
        <v>27</v>
      </c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29">
        <f t="shared" si="1"/>
        <v>0</v>
      </c>
      <c r="FO31" s="5"/>
    </row>
    <row r="32" spans="1:194" s="37" customFormat="1" x14ac:dyDescent="0.25">
      <c r="A32" s="44" t="s">
        <v>450</v>
      </c>
      <c r="B32" s="74">
        <f t="shared" si="0"/>
        <v>0</v>
      </c>
      <c r="C32" s="66">
        <v>9</v>
      </c>
      <c r="D32" s="69">
        <v>44970</v>
      </c>
      <c r="E32" s="76">
        <v>33.520000000000003</v>
      </c>
      <c r="F32" s="76">
        <f t="shared" si="2"/>
        <v>0</v>
      </c>
      <c r="G32" s="74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16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>
        <v>18</v>
      </c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>
        <v>18</v>
      </c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29">
        <f t="shared" si="1"/>
        <v>0</v>
      </c>
      <c r="FO32" s="5"/>
    </row>
    <row r="33" spans="1:171" s="37" customFormat="1" x14ac:dyDescent="0.25">
      <c r="A33" s="44" t="s">
        <v>70</v>
      </c>
      <c r="B33" s="74">
        <f t="shared" si="0"/>
        <v>0</v>
      </c>
      <c r="C33" s="66">
        <v>0.9</v>
      </c>
      <c r="D33" s="68">
        <v>44897</v>
      </c>
      <c r="E33" s="76">
        <v>37.31</v>
      </c>
      <c r="F33" s="76">
        <f t="shared" si="2"/>
        <v>0</v>
      </c>
      <c r="G33" s="74">
        <v>3.6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16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>
        <v>3.6</v>
      </c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29">
        <f t="shared" si="1"/>
        <v>0</v>
      </c>
      <c r="FO33" s="5"/>
    </row>
    <row r="34" spans="1:171" s="37" customFormat="1" x14ac:dyDescent="0.25">
      <c r="A34" s="44" t="s">
        <v>70</v>
      </c>
      <c r="B34" s="74">
        <f t="shared" si="0"/>
        <v>0</v>
      </c>
      <c r="C34" s="66">
        <v>0.9</v>
      </c>
      <c r="D34" s="68">
        <v>44956</v>
      </c>
      <c r="E34" s="76">
        <v>35.700000000000003</v>
      </c>
      <c r="F34" s="76">
        <f t="shared" si="2"/>
        <v>0</v>
      </c>
      <c r="G34" s="74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16"/>
      <c r="X34" s="39"/>
      <c r="Y34" s="39"/>
      <c r="Z34" s="39"/>
      <c r="AA34" s="39"/>
      <c r="AB34" s="39"/>
      <c r="AC34" s="39"/>
      <c r="AD34" s="39"/>
      <c r="AE34" s="39"/>
      <c r="AF34" s="39">
        <v>0.9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>
        <v>0.9</v>
      </c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29">
        <f t="shared" si="1"/>
        <v>0</v>
      </c>
      <c r="FO34" s="5"/>
    </row>
    <row r="35" spans="1:171" s="37" customFormat="1" x14ac:dyDescent="0.25">
      <c r="A35" s="44" t="s">
        <v>70</v>
      </c>
      <c r="B35" s="74">
        <f t="shared" si="0"/>
        <v>45</v>
      </c>
      <c r="C35" s="66">
        <v>9</v>
      </c>
      <c r="D35" s="68">
        <v>44897</v>
      </c>
      <c r="E35" s="76">
        <v>32.909999999999997</v>
      </c>
      <c r="F35" s="76">
        <f t="shared" si="2"/>
        <v>1480.9499999999998</v>
      </c>
      <c r="G35" s="74">
        <v>45</v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16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>
        <v>45</v>
      </c>
      <c r="FN35" s="29">
        <f t="shared" si="1"/>
        <v>0</v>
      </c>
      <c r="FO35" s="5"/>
    </row>
    <row r="36" spans="1:171" s="37" customFormat="1" x14ac:dyDescent="0.25">
      <c r="A36" s="44" t="s">
        <v>460</v>
      </c>
      <c r="B36" s="74">
        <f t="shared" si="0"/>
        <v>0</v>
      </c>
      <c r="C36" s="66">
        <v>1</v>
      </c>
      <c r="D36" s="68">
        <v>44753</v>
      </c>
      <c r="E36" s="76">
        <v>21.64</v>
      </c>
      <c r="F36" s="76">
        <f t="shared" si="2"/>
        <v>0</v>
      </c>
      <c r="G36" s="74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6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29">
        <f t="shared" si="1"/>
        <v>0</v>
      </c>
      <c r="FO36" s="5"/>
    </row>
    <row r="37" spans="1:171" s="37" customFormat="1" x14ac:dyDescent="0.25">
      <c r="A37" s="44" t="s">
        <v>160</v>
      </c>
      <c r="B37" s="74">
        <f t="shared" si="0"/>
        <v>10</v>
      </c>
      <c r="C37" s="66">
        <v>10</v>
      </c>
      <c r="D37" s="68">
        <v>44844</v>
      </c>
      <c r="E37" s="76">
        <v>32.03</v>
      </c>
      <c r="F37" s="76">
        <f t="shared" si="2"/>
        <v>320.3</v>
      </c>
      <c r="G37" s="74">
        <v>20</v>
      </c>
      <c r="H37" s="39"/>
      <c r="I37" s="39"/>
      <c r="J37" s="39">
        <v>10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16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>
        <v>10</v>
      </c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29">
        <f t="shared" si="1"/>
        <v>0</v>
      </c>
      <c r="FO37" s="5"/>
    </row>
    <row r="38" spans="1:171" s="37" customFormat="1" x14ac:dyDescent="0.25">
      <c r="A38" s="44" t="s">
        <v>160</v>
      </c>
      <c r="B38" s="74">
        <f t="shared" si="0"/>
        <v>10</v>
      </c>
      <c r="C38" s="66">
        <v>10</v>
      </c>
      <c r="D38" s="68">
        <v>44893</v>
      </c>
      <c r="E38" s="76">
        <v>30.81</v>
      </c>
      <c r="F38" s="76">
        <f t="shared" si="2"/>
        <v>308.09999999999997</v>
      </c>
      <c r="G38" s="74">
        <v>10</v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16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>
        <v>10</v>
      </c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29">
        <f t="shared" si="1"/>
        <v>0</v>
      </c>
      <c r="FO38" s="5"/>
    </row>
    <row r="39" spans="1:171" s="37" customFormat="1" x14ac:dyDescent="0.25">
      <c r="A39" s="44" t="s">
        <v>524</v>
      </c>
      <c r="B39" s="74">
        <f t="shared" si="0"/>
        <v>0</v>
      </c>
      <c r="C39" s="66">
        <v>1</v>
      </c>
      <c r="D39" s="68">
        <v>44781</v>
      </c>
      <c r="E39" s="76">
        <v>53.84</v>
      </c>
      <c r="F39" s="76">
        <f t="shared" si="2"/>
        <v>0</v>
      </c>
      <c r="G39" s="74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16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29">
        <f t="shared" si="1"/>
        <v>0</v>
      </c>
      <c r="FO39" s="5"/>
    </row>
    <row r="40" spans="1:171" s="37" customFormat="1" x14ac:dyDescent="0.25">
      <c r="A40" s="44" t="s">
        <v>245</v>
      </c>
      <c r="B40" s="74">
        <f t="shared" si="0"/>
        <v>9</v>
      </c>
      <c r="C40" s="66">
        <v>9</v>
      </c>
      <c r="D40" s="68">
        <v>44669</v>
      </c>
      <c r="E40" s="76">
        <v>37.74</v>
      </c>
      <c r="F40" s="76">
        <f t="shared" si="2"/>
        <v>339.66</v>
      </c>
      <c r="G40" s="74">
        <v>9</v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>
        <v>9</v>
      </c>
      <c r="V40" s="39"/>
      <c r="W40" s="16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29">
        <f t="shared" si="1"/>
        <v>0</v>
      </c>
      <c r="FO40" s="5"/>
    </row>
    <row r="41" spans="1:171" s="37" customFormat="1" x14ac:dyDescent="0.25">
      <c r="A41" s="44" t="s">
        <v>621</v>
      </c>
      <c r="B41" s="74">
        <f t="shared" si="0"/>
        <v>1</v>
      </c>
      <c r="C41" s="66">
        <v>1</v>
      </c>
      <c r="D41" s="68">
        <v>44987</v>
      </c>
      <c r="E41" s="76">
        <v>19.45</v>
      </c>
      <c r="F41" s="76">
        <f t="shared" si="2"/>
        <v>19.45</v>
      </c>
      <c r="G41" s="74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16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>
        <v>1</v>
      </c>
      <c r="FL41" s="39"/>
      <c r="FM41" s="39"/>
      <c r="FN41" s="29">
        <f t="shared" si="1"/>
        <v>1</v>
      </c>
      <c r="FO41" s="5"/>
    </row>
    <row r="42" spans="1:171" s="37" customFormat="1" x14ac:dyDescent="0.25">
      <c r="A42" s="44" t="s">
        <v>310</v>
      </c>
      <c r="B42" s="74">
        <f t="shared" si="0"/>
        <v>0</v>
      </c>
      <c r="C42" s="66">
        <v>10</v>
      </c>
      <c r="D42" s="68">
        <v>44858</v>
      </c>
      <c r="E42" s="76">
        <v>40.26</v>
      </c>
      <c r="F42" s="76">
        <f t="shared" si="2"/>
        <v>0</v>
      </c>
      <c r="G42" s="74">
        <v>10</v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16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>
        <v>10</v>
      </c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29">
        <f t="shared" si="1"/>
        <v>0</v>
      </c>
      <c r="FO42" s="5"/>
    </row>
    <row r="43" spans="1:171" s="37" customFormat="1" x14ac:dyDescent="0.25">
      <c r="A43" s="44" t="s">
        <v>349</v>
      </c>
      <c r="B43" s="74">
        <f t="shared" si="0"/>
        <v>0</v>
      </c>
      <c r="C43" s="66">
        <v>10</v>
      </c>
      <c r="D43" s="68">
        <v>44970</v>
      </c>
      <c r="E43" s="76">
        <v>37.72</v>
      </c>
      <c r="F43" s="76">
        <f>E43*B43</f>
        <v>0</v>
      </c>
      <c r="G43" s="74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16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>
        <v>30</v>
      </c>
      <c r="DR43" s="39"/>
      <c r="DS43" s="39"/>
      <c r="DT43" s="39"/>
      <c r="DU43" s="39">
        <v>30</v>
      </c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>
        <v>30</v>
      </c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>
        <v>30</v>
      </c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29">
        <f t="shared" si="1"/>
        <v>0</v>
      </c>
      <c r="FO43" s="5"/>
    </row>
    <row r="44" spans="1:171" s="37" customFormat="1" x14ac:dyDescent="0.25">
      <c r="A44" s="44" t="s">
        <v>102</v>
      </c>
      <c r="B44" s="74">
        <f t="shared" si="0"/>
        <v>30</v>
      </c>
      <c r="C44" s="66">
        <v>10</v>
      </c>
      <c r="D44" s="68">
        <v>44979</v>
      </c>
      <c r="E44" s="76">
        <v>37.270000000000003</v>
      </c>
      <c r="F44" s="76">
        <f t="shared" si="2"/>
        <v>1118.1000000000001</v>
      </c>
      <c r="G44" s="74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16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>
        <v>30</v>
      </c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>
        <v>30</v>
      </c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29">
        <f t="shared" si="1"/>
        <v>0</v>
      </c>
      <c r="FO44" s="5"/>
    </row>
    <row r="45" spans="1:171" s="37" customFormat="1" x14ac:dyDescent="0.25">
      <c r="A45" s="44" t="s">
        <v>606</v>
      </c>
      <c r="B45" s="74">
        <f t="shared" si="0"/>
        <v>0</v>
      </c>
      <c r="C45" s="66">
        <v>10</v>
      </c>
      <c r="D45" s="68">
        <v>44979</v>
      </c>
      <c r="E45" s="76">
        <v>39.83</v>
      </c>
      <c r="F45" s="76">
        <f t="shared" si="2"/>
        <v>0</v>
      </c>
      <c r="G45" s="74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16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>
        <v>10</v>
      </c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>
        <v>10</v>
      </c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29">
        <f t="shared" si="1"/>
        <v>0</v>
      </c>
      <c r="FO45" s="5"/>
    </row>
    <row r="46" spans="1:171" s="37" customFormat="1" x14ac:dyDescent="0.25">
      <c r="A46" s="44" t="s">
        <v>543</v>
      </c>
      <c r="B46" s="74">
        <f t="shared" si="0"/>
        <v>60</v>
      </c>
      <c r="C46" s="66">
        <v>10</v>
      </c>
      <c r="D46" s="68">
        <v>44987</v>
      </c>
      <c r="E46" s="76">
        <v>22.89</v>
      </c>
      <c r="F46" s="76">
        <f t="shared" si="2"/>
        <v>1373.4</v>
      </c>
      <c r="G46" s="74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16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>
        <v>60</v>
      </c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>
        <v>60</v>
      </c>
      <c r="FL46" s="39"/>
      <c r="FM46" s="39"/>
      <c r="FN46" s="29">
        <f t="shared" si="1"/>
        <v>0</v>
      </c>
      <c r="FO46" s="5"/>
    </row>
    <row r="47" spans="1:171" s="37" customFormat="1" x14ac:dyDescent="0.25">
      <c r="A47" s="44" t="s">
        <v>76</v>
      </c>
      <c r="B47" s="74">
        <f t="shared" si="0"/>
        <v>0</v>
      </c>
      <c r="C47" s="66">
        <v>10</v>
      </c>
      <c r="D47" s="69">
        <v>44914</v>
      </c>
      <c r="E47" s="76">
        <v>52.32</v>
      </c>
      <c r="F47" s="76">
        <f t="shared" si="2"/>
        <v>0</v>
      </c>
      <c r="G47" s="74">
        <v>20</v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16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>
        <v>20</v>
      </c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29">
        <f t="shared" si="1"/>
        <v>0</v>
      </c>
      <c r="FO47" s="5"/>
    </row>
    <row r="48" spans="1:171" s="37" customFormat="1" x14ac:dyDescent="0.25">
      <c r="A48" s="44" t="s">
        <v>464</v>
      </c>
      <c r="B48" s="74">
        <f t="shared" si="0"/>
        <v>0</v>
      </c>
      <c r="C48" s="66">
        <v>10</v>
      </c>
      <c r="D48" s="69">
        <v>44704</v>
      </c>
      <c r="E48" s="76">
        <v>42.3</v>
      </c>
      <c r="F48" s="76">
        <f t="shared" si="2"/>
        <v>0</v>
      </c>
      <c r="G48" s="74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16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29">
        <f t="shared" si="1"/>
        <v>0</v>
      </c>
      <c r="FO48" s="5"/>
    </row>
    <row r="49" spans="1:171" s="37" customFormat="1" x14ac:dyDescent="0.25">
      <c r="A49" s="60" t="s">
        <v>12</v>
      </c>
      <c r="B49" s="74">
        <f t="shared" si="0"/>
        <v>20</v>
      </c>
      <c r="C49" s="66">
        <v>10</v>
      </c>
      <c r="D49" s="67">
        <v>44893</v>
      </c>
      <c r="E49" s="76">
        <v>24.21</v>
      </c>
      <c r="F49" s="76">
        <f t="shared" si="2"/>
        <v>484.20000000000005</v>
      </c>
      <c r="G49" s="74">
        <v>40</v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16"/>
      <c r="X49" s="39"/>
      <c r="Y49" s="39"/>
      <c r="Z49" s="39"/>
      <c r="AA49" s="39"/>
      <c r="AB49" s="39"/>
      <c r="AC49" s="39"/>
      <c r="AD49" s="39"/>
      <c r="AE49" s="39"/>
      <c r="AF49" s="39"/>
      <c r="AG49" s="39">
        <v>10</v>
      </c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>
        <v>10</v>
      </c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>
        <v>20</v>
      </c>
      <c r="FN49" s="29">
        <f t="shared" si="1"/>
        <v>0</v>
      </c>
      <c r="FO49" s="5"/>
    </row>
    <row r="50" spans="1:171" s="37" customFormat="1" x14ac:dyDescent="0.25">
      <c r="A50" s="60" t="s">
        <v>12</v>
      </c>
      <c r="B50" s="74">
        <f t="shared" si="0"/>
        <v>0</v>
      </c>
      <c r="C50" s="66">
        <v>1</v>
      </c>
      <c r="D50" s="67">
        <v>44956</v>
      </c>
      <c r="E50" s="76">
        <v>27.32</v>
      </c>
      <c r="F50" s="76">
        <f t="shared" si="2"/>
        <v>0</v>
      </c>
      <c r="G50" s="74">
        <v>10</v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16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>
        <v>10</v>
      </c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>
        <v>5</v>
      </c>
      <c r="DR50" s="39"/>
      <c r="DS50" s="39"/>
      <c r="DT50" s="39"/>
      <c r="DU50" s="39"/>
      <c r="DV50" s="39">
        <v>5</v>
      </c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29">
        <f t="shared" si="1"/>
        <v>0</v>
      </c>
      <c r="FO50" s="5"/>
    </row>
    <row r="51" spans="1:171" s="37" customFormat="1" x14ac:dyDescent="0.25">
      <c r="A51" s="60" t="s">
        <v>406</v>
      </c>
      <c r="B51" s="74">
        <f t="shared" si="0"/>
        <v>0</v>
      </c>
      <c r="C51" s="66">
        <v>10</v>
      </c>
      <c r="D51" s="67">
        <v>44680</v>
      </c>
      <c r="E51" s="76">
        <v>30.37</v>
      </c>
      <c r="F51" s="76">
        <f t="shared" si="2"/>
        <v>0</v>
      </c>
      <c r="G51" s="74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16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29">
        <f t="shared" si="1"/>
        <v>0</v>
      </c>
      <c r="FO51" s="5"/>
    </row>
    <row r="52" spans="1:171" s="37" customFormat="1" x14ac:dyDescent="0.25">
      <c r="A52" s="60" t="s">
        <v>54</v>
      </c>
      <c r="B52" s="74">
        <f t="shared" si="0"/>
        <v>0</v>
      </c>
      <c r="C52" s="66">
        <v>1</v>
      </c>
      <c r="D52" s="68">
        <v>44956</v>
      </c>
      <c r="E52" s="76">
        <v>52.51</v>
      </c>
      <c r="F52" s="76">
        <f t="shared" si="2"/>
        <v>0</v>
      </c>
      <c r="G52" s="74">
        <v>10</v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16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>
        <v>10</v>
      </c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>
        <v>5</v>
      </c>
      <c r="DR52" s="39"/>
      <c r="DS52" s="39"/>
      <c r="DT52" s="39"/>
      <c r="DU52" s="39"/>
      <c r="DV52" s="39">
        <v>5</v>
      </c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29">
        <f t="shared" si="1"/>
        <v>0</v>
      </c>
      <c r="FO52" s="5"/>
    </row>
    <row r="53" spans="1:171" s="37" customFormat="1" x14ac:dyDescent="0.25">
      <c r="A53" s="60" t="s">
        <v>413</v>
      </c>
      <c r="B53" s="74">
        <f t="shared" si="0"/>
        <v>0</v>
      </c>
      <c r="C53" s="66">
        <v>1</v>
      </c>
      <c r="D53" s="68">
        <v>44753</v>
      </c>
      <c r="E53" s="76">
        <v>43.28</v>
      </c>
      <c r="F53" s="76">
        <f t="shared" si="2"/>
        <v>0</v>
      </c>
      <c r="G53" s="74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16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29">
        <f t="shared" si="1"/>
        <v>0</v>
      </c>
      <c r="FO53" s="5"/>
    </row>
    <row r="54" spans="1:171" s="37" customFormat="1" x14ac:dyDescent="0.25">
      <c r="A54" s="60" t="s">
        <v>141</v>
      </c>
      <c r="B54" s="74">
        <f t="shared" si="0"/>
        <v>0</v>
      </c>
      <c r="C54" s="66">
        <v>10</v>
      </c>
      <c r="D54" s="68">
        <v>44949</v>
      </c>
      <c r="E54" s="76">
        <v>31.64</v>
      </c>
      <c r="F54" s="76">
        <f t="shared" si="2"/>
        <v>0</v>
      </c>
      <c r="G54" s="74">
        <v>110</v>
      </c>
      <c r="H54" s="39"/>
      <c r="I54" s="39"/>
      <c r="J54" s="39"/>
      <c r="K54" s="39"/>
      <c r="L54" s="39"/>
      <c r="M54" s="39"/>
      <c r="N54" s="39"/>
      <c r="O54" s="39">
        <v>100</v>
      </c>
      <c r="P54" s="39"/>
      <c r="Q54" s="39">
        <v>90</v>
      </c>
      <c r="R54" s="39"/>
      <c r="S54" s="39"/>
      <c r="T54" s="39"/>
      <c r="U54" s="39"/>
      <c r="V54" s="39"/>
      <c r="W54" s="16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>
        <v>20</v>
      </c>
      <c r="DG54" s="39"/>
      <c r="DH54" s="39">
        <v>100</v>
      </c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29">
        <f t="shared" si="1"/>
        <v>0</v>
      </c>
      <c r="FO54" s="5"/>
    </row>
    <row r="55" spans="1:171" s="37" customFormat="1" x14ac:dyDescent="0.25">
      <c r="A55" s="60" t="s">
        <v>141</v>
      </c>
      <c r="B55" s="74">
        <f t="shared" si="0"/>
        <v>100</v>
      </c>
      <c r="C55" s="66">
        <v>10</v>
      </c>
      <c r="D55" s="68">
        <v>44979</v>
      </c>
      <c r="E55" s="76">
        <v>31.03</v>
      </c>
      <c r="F55" s="76">
        <f t="shared" si="2"/>
        <v>3103</v>
      </c>
      <c r="G55" s="74"/>
      <c r="H55" s="39"/>
      <c r="I55" s="39"/>
      <c r="J55" s="39"/>
      <c r="K55" s="39"/>
      <c r="L55" s="39"/>
      <c r="M55" s="39"/>
      <c r="N55" s="39"/>
      <c r="O55" s="39"/>
      <c r="P55" s="39">
        <v>10</v>
      </c>
      <c r="Q55" s="39">
        <v>10</v>
      </c>
      <c r="R55" s="39"/>
      <c r="S55" s="39"/>
      <c r="T55" s="39"/>
      <c r="U55" s="39"/>
      <c r="V55" s="39"/>
      <c r="W55" s="16"/>
      <c r="X55" s="39"/>
      <c r="Y55" s="39"/>
      <c r="Z55" s="39"/>
      <c r="AA55" s="39"/>
      <c r="AB55" s="39"/>
      <c r="AC55" s="39"/>
      <c r="AD55" s="39"/>
      <c r="AE55" s="39"/>
      <c r="AF55" s="39">
        <v>30</v>
      </c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>
        <v>60</v>
      </c>
      <c r="DR55" s="39"/>
      <c r="DS55" s="39"/>
      <c r="DT55" s="39"/>
      <c r="DU55" s="39"/>
      <c r="DV55" s="39"/>
      <c r="DW55" s="39"/>
      <c r="DX55" s="39"/>
      <c r="DY55" s="39"/>
      <c r="DZ55" s="39"/>
      <c r="EA55" s="39">
        <v>10</v>
      </c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>
        <v>100</v>
      </c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>
        <v>100</v>
      </c>
      <c r="FN55" s="29">
        <f t="shared" si="1"/>
        <v>0</v>
      </c>
      <c r="FO55" s="5"/>
    </row>
    <row r="56" spans="1:171" s="37" customFormat="1" x14ac:dyDescent="0.25">
      <c r="A56" s="60" t="s">
        <v>169</v>
      </c>
      <c r="B56" s="74">
        <f t="shared" si="0"/>
        <v>0</v>
      </c>
      <c r="C56" s="66">
        <v>10</v>
      </c>
      <c r="D56" s="68">
        <v>44970</v>
      </c>
      <c r="E56" s="76">
        <v>31.4</v>
      </c>
      <c r="F56" s="76">
        <f t="shared" si="2"/>
        <v>0</v>
      </c>
      <c r="G56" s="74">
        <v>10</v>
      </c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16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>
        <v>10</v>
      </c>
      <c r="CI56" s="39">
        <v>10</v>
      </c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>
        <v>10</v>
      </c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29">
        <f t="shared" si="1"/>
        <v>0</v>
      </c>
      <c r="FO56" s="5"/>
    </row>
    <row r="57" spans="1:171" s="37" customFormat="1" x14ac:dyDescent="0.25">
      <c r="A57" s="60" t="s">
        <v>120</v>
      </c>
      <c r="B57" s="74">
        <f t="shared" si="0"/>
        <v>2</v>
      </c>
      <c r="C57" s="66">
        <v>1</v>
      </c>
      <c r="D57" s="69">
        <v>44767</v>
      </c>
      <c r="E57" s="76">
        <v>48.66</v>
      </c>
      <c r="F57" s="76">
        <f t="shared" si="2"/>
        <v>97.32</v>
      </c>
      <c r="G57" s="74">
        <v>2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16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>
        <v>2</v>
      </c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29">
        <f t="shared" si="1"/>
        <v>0</v>
      </c>
      <c r="FO57" s="5"/>
    </row>
    <row r="58" spans="1:171" s="37" customFormat="1" x14ac:dyDescent="0.25">
      <c r="A58" s="60" t="s">
        <v>120</v>
      </c>
      <c r="B58" s="74">
        <f t="shared" si="0"/>
        <v>0</v>
      </c>
      <c r="C58" s="66">
        <v>10</v>
      </c>
      <c r="D58" s="69">
        <v>44949</v>
      </c>
      <c r="E58" s="76">
        <v>42.2</v>
      </c>
      <c r="F58" s="76">
        <f t="shared" si="2"/>
        <v>0</v>
      </c>
      <c r="G58" s="74"/>
      <c r="H58" s="39"/>
      <c r="I58" s="39"/>
      <c r="J58" s="39"/>
      <c r="K58" s="39">
        <v>200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16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>
        <v>200</v>
      </c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29">
        <f t="shared" si="1"/>
        <v>0</v>
      </c>
      <c r="FO58" s="5"/>
    </row>
    <row r="59" spans="1:171" s="37" customFormat="1" x14ac:dyDescent="0.25">
      <c r="A59" s="60" t="s">
        <v>254</v>
      </c>
      <c r="B59" s="74">
        <f t="shared" si="0"/>
        <v>0</v>
      </c>
      <c r="C59" s="66">
        <v>1</v>
      </c>
      <c r="D59" s="68">
        <v>44685</v>
      </c>
      <c r="E59" s="76">
        <v>44.97</v>
      </c>
      <c r="F59" s="76">
        <f t="shared" si="2"/>
        <v>0</v>
      </c>
      <c r="G59" s="74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16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29">
        <f t="shared" si="1"/>
        <v>0</v>
      </c>
      <c r="FO59" s="5"/>
    </row>
    <row r="60" spans="1:171" s="37" customFormat="1" x14ac:dyDescent="0.25">
      <c r="A60" s="60" t="s">
        <v>432</v>
      </c>
      <c r="B60" s="74">
        <f t="shared" si="0"/>
        <v>0</v>
      </c>
      <c r="C60" s="66">
        <v>5</v>
      </c>
      <c r="D60" s="68">
        <v>44924</v>
      </c>
      <c r="E60" s="76">
        <v>37.83</v>
      </c>
      <c r="F60" s="76">
        <f t="shared" si="2"/>
        <v>0</v>
      </c>
      <c r="G60" s="74">
        <v>10</v>
      </c>
      <c r="H60" s="39"/>
      <c r="I60" s="39"/>
      <c r="J60" s="39"/>
      <c r="K60" s="39"/>
      <c r="L60" s="39"/>
      <c r="M60" s="39">
        <v>10</v>
      </c>
      <c r="N60" s="39"/>
      <c r="O60" s="39"/>
      <c r="P60" s="39"/>
      <c r="Q60" s="39"/>
      <c r="R60" s="39"/>
      <c r="S60" s="39"/>
      <c r="T60" s="39"/>
      <c r="U60" s="39"/>
      <c r="V60" s="39"/>
      <c r="W60" s="16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29">
        <f t="shared" si="1"/>
        <v>0</v>
      </c>
      <c r="FO60" s="5"/>
    </row>
    <row r="61" spans="1:171" s="37" customFormat="1" x14ac:dyDescent="0.25">
      <c r="A61" s="44" t="s">
        <v>214</v>
      </c>
      <c r="B61" s="74">
        <f t="shared" si="0"/>
        <v>0</v>
      </c>
      <c r="C61" s="66">
        <v>10</v>
      </c>
      <c r="D61" s="69">
        <v>44732</v>
      </c>
      <c r="E61" s="76">
        <v>41.31</v>
      </c>
      <c r="F61" s="76">
        <f t="shared" si="2"/>
        <v>0</v>
      </c>
      <c r="G61" s="74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16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29">
        <f t="shared" si="1"/>
        <v>0</v>
      </c>
      <c r="FO61" s="5"/>
    </row>
    <row r="62" spans="1:171" s="37" customFormat="1" x14ac:dyDescent="0.25">
      <c r="A62" s="60" t="s">
        <v>236</v>
      </c>
      <c r="B62" s="74">
        <f t="shared" si="0"/>
        <v>0</v>
      </c>
      <c r="C62" s="66">
        <v>10</v>
      </c>
      <c r="D62" s="68">
        <v>44494</v>
      </c>
      <c r="E62" s="76">
        <v>17.93</v>
      </c>
      <c r="F62" s="76">
        <f t="shared" si="2"/>
        <v>0</v>
      </c>
      <c r="G62" s="74">
        <v>10</v>
      </c>
      <c r="H62" s="39"/>
      <c r="I62" s="39"/>
      <c r="J62" s="39">
        <v>10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16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29">
        <f t="shared" si="1"/>
        <v>0</v>
      </c>
      <c r="FO62" s="5"/>
    </row>
    <row r="63" spans="1:171" s="37" customFormat="1" x14ac:dyDescent="0.25">
      <c r="A63" s="60" t="s">
        <v>270</v>
      </c>
      <c r="B63" s="74">
        <f t="shared" si="0"/>
        <v>10</v>
      </c>
      <c r="C63" s="66">
        <v>10</v>
      </c>
      <c r="D63" s="68">
        <v>44865</v>
      </c>
      <c r="E63" s="76">
        <v>31.01</v>
      </c>
      <c r="F63" s="76">
        <f t="shared" si="2"/>
        <v>310.10000000000002</v>
      </c>
      <c r="G63" s="74">
        <v>10</v>
      </c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16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>
        <v>10</v>
      </c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29">
        <f t="shared" si="1"/>
        <v>0</v>
      </c>
      <c r="FO63" s="5"/>
    </row>
    <row r="64" spans="1:171" s="37" customFormat="1" x14ac:dyDescent="0.25">
      <c r="A64" s="60" t="s">
        <v>270</v>
      </c>
      <c r="B64" s="74">
        <f t="shared" si="0"/>
        <v>0</v>
      </c>
      <c r="C64" s="66">
        <v>1</v>
      </c>
      <c r="D64" s="68">
        <v>44979</v>
      </c>
      <c r="E64" s="76">
        <v>33.119999999999997</v>
      </c>
      <c r="F64" s="76">
        <f t="shared" si="2"/>
        <v>0</v>
      </c>
      <c r="G64" s="74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16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>
        <v>4</v>
      </c>
      <c r="DR64" s="39"/>
      <c r="DS64" s="39"/>
      <c r="DT64" s="39"/>
      <c r="DU64" s="39">
        <v>4</v>
      </c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>
        <v>2</v>
      </c>
      <c r="EX64" s="39"/>
      <c r="EY64" s="39"/>
      <c r="EZ64" s="39"/>
      <c r="FA64" s="39"/>
      <c r="FB64" s="39">
        <v>2</v>
      </c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29">
        <f t="shared" si="1"/>
        <v>0</v>
      </c>
      <c r="FO64" s="5"/>
    </row>
    <row r="65" spans="1:171" s="37" customFormat="1" x14ac:dyDescent="0.25">
      <c r="A65" s="60" t="s">
        <v>270</v>
      </c>
      <c r="B65" s="74">
        <f t="shared" si="0"/>
        <v>20</v>
      </c>
      <c r="C65" s="66">
        <v>10</v>
      </c>
      <c r="D65" s="68">
        <v>44956</v>
      </c>
      <c r="E65" s="76">
        <v>29.41</v>
      </c>
      <c r="F65" s="76">
        <f t="shared" si="2"/>
        <v>588.20000000000005</v>
      </c>
      <c r="G65" s="74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16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>
        <v>20</v>
      </c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>
        <v>20</v>
      </c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29">
        <f t="shared" si="1"/>
        <v>0</v>
      </c>
      <c r="FO65" s="5"/>
    </row>
    <row r="66" spans="1:171" s="37" customFormat="1" x14ac:dyDescent="0.25">
      <c r="A66" s="60" t="s">
        <v>500</v>
      </c>
      <c r="B66" s="74">
        <f t="shared" si="0"/>
        <v>12</v>
      </c>
      <c r="C66" s="66">
        <v>12</v>
      </c>
      <c r="D66" s="68">
        <v>44725</v>
      </c>
      <c r="E66" s="76">
        <v>17.52</v>
      </c>
      <c r="F66" s="76">
        <f t="shared" si="2"/>
        <v>210.24</v>
      </c>
      <c r="G66" s="74">
        <v>12</v>
      </c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16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>
        <v>12</v>
      </c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29">
        <f t="shared" si="1"/>
        <v>0</v>
      </c>
      <c r="FO66" s="5"/>
    </row>
    <row r="67" spans="1:171" s="37" customFormat="1" x14ac:dyDescent="0.25">
      <c r="A67" s="60" t="s">
        <v>427</v>
      </c>
      <c r="B67" s="74">
        <f t="shared" si="0"/>
        <v>0</v>
      </c>
      <c r="C67" s="66">
        <v>12</v>
      </c>
      <c r="D67" s="68">
        <v>44865</v>
      </c>
      <c r="E67" s="76">
        <v>19.93</v>
      </c>
      <c r="F67" s="76">
        <f t="shared" si="2"/>
        <v>0</v>
      </c>
      <c r="G67" s="74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16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29">
        <f t="shared" si="1"/>
        <v>0</v>
      </c>
      <c r="FO67" s="5"/>
    </row>
    <row r="68" spans="1:171" s="37" customFormat="1" x14ac:dyDescent="0.25">
      <c r="A68" s="60" t="s">
        <v>473</v>
      </c>
      <c r="B68" s="74">
        <f t="shared" si="0"/>
        <v>0</v>
      </c>
      <c r="C68" s="66">
        <v>1</v>
      </c>
      <c r="D68" s="68">
        <v>44711</v>
      </c>
      <c r="E68" s="76">
        <v>47.01</v>
      </c>
      <c r="F68" s="76">
        <f t="shared" si="2"/>
        <v>0</v>
      </c>
      <c r="G68" s="74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16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29">
        <f t="shared" si="1"/>
        <v>0</v>
      </c>
      <c r="FO68" s="5"/>
    </row>
    <row r="69" spans="1:171" s="37" customFormat="1" ht="13.5" customHeight="1" x14ac:dyDescent="0.25">
      <c r="A69" s="60" t="s">
        <v>66</v>
      </c>
      <c r="B69" s="74">
        <f t="shared" si="0"/>
        <v>180</v>
      </c>
      <c r="C69" s="66">
        <v>10</v>
      </c>
      <c r="D69" s="69">
        <v>44781</v>
      </c>
      <c r="E69" s="76">
        <v>32.86</v>
      </c>
      <c r="F69" s="76">
        <f t="shared" si="2"/>
        <v>5914.8</v>
      </c>
      <c r="G69" s="74">
        <v>200</v>
      </c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16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>
        <v>20</v>
      </c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>
        <v>180</v>
      </c>
      <c r="FN69" s="29">
        <f t="shared" si="1"/>
        <v>0</v>
      </c>
      <c r="FO69" s="5"/>
    </row>
    <row r="70" spans="1:171" s="37" customFormat="1" ht="13.5" customHeight="1" x14ac:dyDescent="0.25">
      <c r="A70" s="60" t="s">
        <v>66</v>
      </c>
      <c r="B70" s="74">
        <f t="shared" ref="B70:B138" si="3">SUMIF(G$3:FM$3,"прих",G70:FM70)-SUMIF(G$3:FM$3,"отгр",G70:FM70)</f>
        <v>0</v>
      </c>
      <c r="C70" s="66">
        <v>10</v>
      </c>
      <c r="D70" s="69">
        <v>44775</v>
      </c>
      <c r="E70" s="76">
        <v>33.47</v>
      </c>
      <c r="F70" s="76">
        <f t="shared" si="2"/>
        <v>0</v>
      </c>
      <c r="G70" s="74">
        <v>50</v>
      </c>
      <c r="H70" s="39"/>
      <c r="I70" s="39"/>
      <c r="J70" s="39">
        <v>10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16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>
        <v>40</v>
      </c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29">
        <f t="shared" ref="FN70:FN138" si="4">$B70-SUMIF($G$3:$KB$3,"",$G70:$KB70)</f>
        <v>0</v>
      </c>
      <c r="FO70" s="5"/>
    </row>
    <row r="71" spans="1:171" s="37" customFormat="1" ht="13.5" customHeight="1" x14ac:dyDescent="0.25">
      <c r="A71" s="60" t="s">
        <v>459</v>
      </c>
      <c r="B71" s="74">
        <f t="shared" si="3"/>
        <v>0</v>
      </c>
      <c r="C71" s="66">
        <v>1</v>
      </c>
      <c r="D71" s="69">
        <v>44753</v>
      </c>
      <c r="E71" s="76">
        <v>21.65</v>
      </c>
      <c r="F71" s="76">
        <f t="shared" si="2"/>
        <v>0</v>
      </c>
      <c r="G71" s="74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16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29">
        <f t="shared" si="4"/>
        <v>0</v>
      </c>
      <c r="FO71" s="5"/>
    </row>
    <row r="72" spans="1:171" s="37" customFormat="1" ht="13.5" customHeight="1" x14ac:dyDescent="0.25">
      <c r="A72" s="60" t="s">
        <v>373</v>
      </c>
      <c r="B72" s="74">
        <f t="shared" si="3"/>
        <v>0</v>
      </c>
      <c r="C72" s="66">
        <v>10</v>
      </c>
      <c r="D72" s="69">
        <v>44851</v>
      </c>
      <c r="E72" s="76">
        <v>43.81</v>
      </c>
      <c r="F72" s="76">
        <f t="shared" si="2"/>
        <v>0</v>
      </c>
      <c r="G72" s="74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16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29">
        <f t="shared" si="4"/>
        <v>0</v>
      </c>
      <c r="FO72" s="5"/>
    </row>
    <row r="73" spans="1:171" s="37" customFormat="1" ht="13.5" customHeight="1" x14ac:dyDescent="0.25">
      <c r="A73" s="60" t="s">
        <v>342</v>
      </c>
      <c r="B73" s="74">
        <f t="shared" si="3"/>
        <v>90</v>
      </c>
      <c r="C73" s="66">
        <v>10</v>
      </c>
      <c r="D73" s="69">
        <v>44879</v>
      </c>
      <c r="E73" s="76">
        <v>46.54</v>
      </c>
      <c r="F73" s="76">
        <f t="shared" si="2"/>
        <v>4188.6000000000004</v>
      </c>
      <c r="G73" s="74">
        <v>200</v>
      </c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16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>
        <v>20</v>
      </c>
      <c r="AO73" s="39">
        <v>60</v>
      </c>
      <c r="AP73" s="39"/>
      <c r="AQ73" s="39">
        <v>90</v>
      </c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>
        <v>30</v>
      </c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29">
        <f t="shared" si="4"/>
        <v>0</v>
      </c>
      <c r="FO73" s="5"/>
    </row>
    <row r="74" spans="1:171" s="37" customFormat="1" ht="13.5" customHeight="1" x14ac:dyDescent="0.25">
      <c r="A74" s="60" t="s">
        <v>342</v>
      </c>
      <c r="B74" s="74">
        <f t="shared" si="3"/>
        <v>50</v>
      </c>
      <c r="C74" s="66">
        <v>10</v>
      </c>
      <c r="D74" s="69">
        <v>44949</v>
      </c>
      <c r="E74" s="76">
        <v>44.13</v>
      </c>
      <c r="F74" s="76">
        <f t="shared" si="2"/>
        <v>2206.5</v>
      </c>
      <c r="G74" s="74">
        <v>40</v>
      </c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16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>
        <v>50</v>
      </c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>
        <v>10</v>
      </c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29">
        <f t="shared" si="4"/>
        <v>0</v>
      </c>
      <c r="FO74" s="5"/>
    </row>
    <row r="75" spans="1:171" s="37" customFormat="1" ht="13.5" customHeight="1" x14ac:dyDescent="0.25">
      <c r="A75" s="60" t="s">
        <v>342</v>
      </c>
      <c r="B75" s="74">
        <f t="shared" si="3"/>
        <v>0</v>
      </c>
      <c r="C75" s="66">
        <v>1</v>
      </c>
      <c r="D75" s="69">
        <v>44970</v>
      </c>
      <c r="E75" s="76">
        <v>46.08</v>
      </c>
      <c r="F75" s="76">
        <f t="shared" si="2"/>
        <v>0</v>
      </c>
      <c r="G75" s="74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16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>
        <v>2</v>
      </c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>
        <v>2</v>
      </c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29">
        <f t="shared" si="4"/>
        <v>0</v>
      </c>
      <c r="FO75" s="5"/>
    </row>
    <row r="76" spans="1:171" s="37" customFormat="1" ht="13.5" customHeight="1" x14ac:dyDescent="0.25">
      <c r="A76" s="60" t="s">
        <v>476</v>
      </c>
      <c r="B76" s="74">
        <f t="shared" si="3"/>
        <v>0</v>
      </c>
      <c r="C76" s="66">
        <v>1</v>
      </c>
      <c r="D76" s="69">
        <v>44753</v>
      </c>
      <c r="E76" s="76">
        <v>55.3</v>
      </c>
      <c r="F76" s="76">
        <f t="shared" si="2"/>
        <v>0</v>
      </c>
      <c r="G76" s="74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16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29">
        <f t="shared" si="4"/>
        <v>0</v>
      </c>
      <c r="FO76" s="5"/>
    </row>
    <row r="77" spans="1:171" s="37" customFormat="1" ht="13.5" customHeight="1" x14ac:dyDescent="0.25">
      <c r="A77" s="60" t="s">
        <v>609</v>
      </c>
      <c r="B77" s="74">
        <f t="shared" si="3"/>
        <v>0</v>
      </c>
      <c r="C77" s="66">
        <v>10</v>
      </c>
      <c r="D77" s="69">
        <v>44980</v>
      </c>
      <c r="E77" s="76">
        <v>24.31</v>
      </c>
      <c r="F77" s="76">
        <f t="shared" si="2"/>
        <v>0</v>
      </c>
      <c r="G77" s="74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16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>
        <v>30</v>
      </c>
      <c r="FA77" s="39">
        <v>30</v>
      </c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29">
        <f t="shared" si="4"/>
        <v>0</v>
      </c>
      <c r="FO77" s="5"/>
    </row>
    <row r="78" spans="1:171" s="37" customFormat="1" ht="13.5" customHeight="1" x14ac:dyDescent="0.25">
      <c r="A78" s="60" t="s">
        <v>341</v>
      </c>
      <c r="B78" s="74">
        <f t="shared" si="3"/>
        <v>30</v>
      </c>
      <c r="C78" s="66">
        <v>10</v>
      </c>
      <c r="D78" s="69">
        <v>44732</v>
      </c>
      <c r="E78" s="76">
        <v>14.6</v>
      </c>
      <c r="F78" s="76">
        <f t="shared" si="2"/>
        <v>438</v>
      </c>
      <c r="G78" s="74">
        <v>30</v>
      </c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16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>
        <v>30</v>
      </c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29">
        <f t="shared" si="4"/>
        <v>0</v>
      </c>
      <c r="FO78" s="5"/>
    </row>
    <row r="79" spans="1:171" s="37" customFormat="1" ht="13.5" customHeight="1" x14ac:dyDescent="0.25">
      <c r="A79" s="60" t="s">
        <v>200</v>
      </c>
      <c r="B79" s="74">
        <f t="shared" si="3"/>
        <v>170</v>
      </c>
      <c r="C79" s="66">
        <v>10</v>
      </c>
      <c r="D79" s="69">
        <v>44897</v>
      </c>
      <c r="E79" s="76">
        <v>39.54</v>
      </c>
      <c r="F79" s="76">
        <f t="shared" si="2"/>
        <v>6721.8</v>
      </c>
      <c r="G79" s="74">
        <v>190</v>
      </c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16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>
        <v>20</v>
      </c>
      <c r="AO79" s="39"/>
      <c r="AP79" s="39"/>
      <c r="AQ79" s="39">
        <v>170</v>
      </c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29">
        <f t="shared" si="4"/>
        <v>0</v>
      </c>
      <c r="FO79" s="5"/>
    </row>
    <row r="80" spans="1:171" s="37" customFormat="1" ht="13.5" customHeight="1" x14ac:dyDescent="0.25">
      <c r="A80" s="60" t="s">
        <v>200</v>
      </c>
      <c r="B80" s="74">
        <f t="shared" si="3"/>
        <v>0</v>
      </c>
      <c r="C80" s="66">
        <v>10</v>
      </c>
      <c r="D80" s="69">
        <v>44924</v>
      </c>
      <c r="E80" s="76">
        <v>37.83</v>
      </c>
      <c r="F80" s="76">
        <f t="shared" si="2"/>
        <v>0</v>
      </c>
      <c r="G80" s="74">
        <v>60</v>
      </c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16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>
        <v>60</v>
      </c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29">
        <f t="shared" si="4"/>
        <v>0</v>
      </c>
      <c r="FO80" s="5"/>
    </row>
    <row r="81" spans="1:171" s="37" customFormat="1" x14ac:dyDescent="0.25">
      <c r="A81" s="60" t="s">
        <v>242</v>
      </c>
      <c r="B81" s="74">
        <f t="shared" si="3"/>
        <v>0</v>
      </c>
      <c r="C81" s="111">
        <v>1.1000000000000001</v>
      </c>
      <c r="D81" s="68">
        <v>44781</v>
      </c>
      <c r="E81" s="76">
        <v>53.83</v>
      </c>
      <c r="F81" s="76">
        <f t="shared" si="2"/>
        <v>0</v>
      </c>
      <c r="G81" s="74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16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29">
        <f t="shared" si="4"/>
        <v>0</v>
      </c>
      <c r="FO81" s="5"/>
    </row>
    <row r="82" spans="1:171" s="37" customFormat="1" x14ac:dyDescent="0.25">
      <c r="A82" s="60" t="s">
        <v>212</v>
      </c>
      <c r="B82" s="74">
        <f t="shared" si="3"/>
        <v>0</v>
      </c>
      <c r="C82" s="111">
        <v>1</v>
      </c>
      <c r="D82" s="68">
        <v>44753</v>
      </c>
      <c r="E82" s="76">
        <v>45.7</v>
      </c>
      <c r="F82" s="76">
        <f t="shared" si="2"/>
        <v>0</v>
      </c>
      <c r="G82" s="74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16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29">
        <f t="shared" si="4"/>
        <v>0</v>
      </c>
      <c r="FO82" s="5"/>
    </row>
    <row r="83" spans="1:171" s="37" customFormat="1" x14ac:dyDescent="0.25">
      <c r="A83" s="60" t="s">
        <v>504</v>
      </c>
      <c r="B83" s="74">
        <f t="shared" si="3"/>
        <v>0</v>
      </c>
      <c r="C83" s="111">
        <v>1.1000000000000001</v>
      </c>
      <c r="D83" s="68">
        <v>44851</v>
      </c>
      <c r="E83" s="76">
        <v>145.25</v>
      </c>
      <c r="F83" s="76">
        <f t="shared" si="2"/>
        <v>0</v>
      </c>
      <c r="G83" s="74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16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29">
        <f t="shared" si="4"/>
        <v>0</v>
      </c>
      <c r="FO83" s="5"/>
    </row>
    <row r="84" spans="1:171" s="37" customFormat="1" x14ac:dyDescent="0.25">
      <c r="A84" s="60" t="s">
        <v>622</v>
      </c>
      <c r="B84" s="74">
        <f t="shared" si="3"/>
        <v>1</v>
      </c>
      <c r="C84" s="111">
        <v>1</v>
      </c>
      <c r="D84" s="68">
        <v>44987</v>
      </c>
      <c r="E84" s="76">
        <v>21.88</v>
      </c>
      <c r="F84" s="76">
        <f t="shared" si="2"/>
        <v>21.88</v>
      </c>
      <c r="G84" s="74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16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>
        <v>1</v>
      </c>
      <c r="FL84" s="39"/>
      <c r="FM84" s="39"/>
      <c r="FN84" s="29">
        <f t="shared" si="4"/>
        <v>1</v>
      </c>
      <c r="FO84" s="5"/>
    </row>
    <row r="85" spans="1:171" s="37" customFormat="1" ht="12" customHeight="1" x14ac:dyDescent="0.25">
      <c r="A85" s="60" t="s">
        <v>117</v>
      </c>
      <c r="B85" s="74">
        <f t="shared" si="3"/>
        <v>0</v>
      </c>
      <c r="C85" s="66">
        <v>10</v>
      </c>
      <c r="D85" s="69">
        <v>44886</v>
      </c>
      <c r="E85" s="76">
        <v>31.85</v>
      </c>
      <c r="F85" s="76">
        <f t="shared" ref="F85:F169" si="5">E85*B85</f>
        <v>0</v>
      </c>
      <c r="G85" s="74">
        <v>440</v>
      </c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16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>
        <v>60</v>
      </c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>
        <v>140</v>
      </c>
      <c r="DA85" s="39"/>
      <c r="DB85" s="39"/>
      <c r="DC85" s="39"/>
      <c r="DD85" s="39"/>
      <c r="DE85" s="39"/>
      <c r="DF85" s="39"/>
      <c r="DG85" s="39">
        <v>100</v>
      </c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>
        <v>80</v>
      </c>
      <c r="DX85" s="39"/>
      <c r="DY85" s="39"/>
      <c r="DZ85" s="39"/>
      <c r="EA85" s="39"/>
      <c r="EB85" s="39">
        <v>60</v>
      </c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29">
        <f t="shared" si="4"/>
        <v>0</v>
      </c>
      <c r="FO85" s="5"/>
    </row>
    <row r="86" spans="1:171" s="37" customFormat="1" ht="12" customHeight="1" x14ac:dyDescent="0.25">
      <c r="A86" s="60" t="s">
        <v>117</v>
      </c>
      <c r="B86" s="74">
        <f t="shared" si="3"/>
        <v>90</v>
      </c>
      <c r="C86" s="66">
        <v>10</v>
      </c>
      <c r="D86" s="69">
        <v>44949</v>
      </c>
      <c r="E86" s="76">
        <v>31.64</v>
      </c>
      <c r="F86" s="76">
        <f t="shared" si="5"/>
        <v>2847.6</v>
      </c>
      <c r="G86" s="74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16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>
        <v>100</v>
      </c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>
        <v>10</v>
      </c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>
        <v>90</v>
      </c>
      <c r="FN86" s="29">
        <f t="shared" si="4"/>
        <v>0</v>
      </c>
      <c r="FO86" s="5"/>
    </row>
    <row r="87" spans="1:171" s="37" customFormat="1" ht="12" customHeight="1" x14ac:dyDescent="0.25">
      <c r="A87" s="60" t="s">
        <v>117</v>
      </c>
      <c r="B87" s="74">
        <f t="shared" si="3"/>
        <v>370</v>
      </c>
      <c r="C87" s="66">
        <v>10</v>
      </c>
      <c r="D87" s="69">
        <v>44970</v>
      </c>
      <c r="E87" s="76">
        <v>30.39</v>
      </c>
      <c r="F87" s="76">
        <f t="shared" si="5"/>
        <v>11244.300000000001</v>
      </c>
      <c r="G87" s="74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16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>
        <v>370</v>
      </c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>
        <v>370</v>
      </c>
      <c r="FN87" s="29">
        <f t="shared" si="4"/>
        <v>0</v>
      </c>
      <c r="FO87" s="5"/>
    </row>
    <row r="88" spans="1:171" s="37" customFormat="1" ht="12" customHeight="1" x14ac:dyDescent="0.25">
      <c r="A88" s="60" t="s">
        <v>240</v>
      </c>
      <c r="B88" s="74">
        <f t="shared" si="3"/>
        <v>0</v>
      </c>
      <c r="C88" s="66">
        <v>1</v>
      </c>
      <c r="D88" s="69">
        <v>44858</v>
      </c>
      <c r="E88" s="76">
        <v>53.66</v>
      </c>
      <c r="F88" s="76">
        <f t="shared" si="5"/>
        <v>0</v>
      </c>
      <c r="G88" s="74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16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29">
        <f t="shared" si="4"/>
        <v>0</v>
      </c>
      <c r="FO88" s="5"/>
    </row>
    <row r="89" spans="1:171" s="37" customFormat="1" ht="12" customHeight="1" x14ac:dyDescent="0.25">
      <c r="A89" s="60" t="s">
        <v>448</v>
      </c>
      <c r="B89" s="74">
        <f t="shared" si="3"/>
        <v>0</v>
      </c>
      <c r="C89" s="66">
        <v>0.8</v>
      </c>
      <c r="D89" s="69">
        <v>44979</v>
      </c>
      <c r="E89" s="76">
        <v>68.290000000000006</v>
      </c>
      <c r="F89" s="76">
        <f t="shared" si="5"/>
        <v>0</v>
      </c>
      <c r="G89" s="74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16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>
        <v>0.8</v>
      </c>
      <c r="AY89" s="39"/>
      <c r="AZ89" s="39"/>
      <c r="BA89" s="39">
        <v>0.8</v>
      </c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>
        <v>0.8</v>
      </c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>
        <v>0.8</v>
      </c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29">
        <f t="shared" si="4"/>
        <v>0</v>
      </c>
      <c r="FO89" s="5"/>
    </row>
    <row r="90" spans="1:171" s="37" customFormat="1" ht="12" customHeight="1" x14ac:dyDescent="0.25">
      <c r="A90" s="60" t="s">
        <v>516</v>
      </c>
      <c r="B90" s="74">
        <f t="shared" si="3"/>
        <v>0</v>
      </c>
      <c r="C90" s="66">
        <v>9</v>
      </c>
      <c r="D90" s="69">
        <v>44775</v>
      </c>
      <c r="E90" s="76">
        <v>62.16</v>
      </c>
      <c r="F90" s="76">
        <f t="shared" si="5"/>
        <v>0</v>
      </c>
      <c r="G90" s="74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16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29">
        <f t="shared" si="4"/>
        <v>0</v>
      </c>
      <c r="FO90" s="5"/>
    </row>
    <row r="91" spans="1:171" s="37" customFormat="1" ht="12" customHeight="1" x14ac:dyDescent="0.25">
      <c r="A91" s="60" t="s">
        <v>481</v>
      </c>
      <c r="B91" s="74">
        <f t="shared" si="3"/>
        <v>0</v>
      </c>
      <c r="C91" s="66">
        <v>0.9</v>
      </c>
      <c r="D91" s="69">
        <v>44949</v>
      </c>
      <c r="E91" s="76">
        <v>101.29</v>
      </c>
      <c r="F91" s="76">
        <f t="shared" si="5"/>
        <v>0</v>
      </c>
      <c r="G91" s="74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16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>
        <v>2.7</v>
      </c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>
        <v>2.7</v>
      </c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29">
        <f t="shared" si="4"/>
        <v>0</v>
      </c>
      <c r="FO91" s="5"/>
    </row>
    <row r="92" spans="1:171" s="37" customFormat="1" x14ac:dyDescent="0.25">
      <c r="A92" s="60" t="s">
        <v>13</v>
      </c>
      <c r="B92" s="74">
        <f t="shared" si="3"/>
        <v>252</v>
      </c>
      <c r="C92" s="66">
        <v>9</v>
      </c>
      <c r="D92" s="68">
        <v>44914</v>
      </c>
      <c r="E92" s="79">
        <v>29.63</v>
      </c>
      <c r="F92" s="76">
        <f t="shared" si="5"/>
        <v>7466.7599999999993</v>
      </c>
      <c r="G92" s="74">
        <v>351</v>
      </c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16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>
        <v>45</v>
      </c>
      <c r="BI92" s="39"/>
      <c r="BJ92" s="39"/>
      <c r="BK92" s="39"/>
      <c r="BL92" s="39">
        <v>54</v>
      </c>
      <c r="BM92" s="39"/>
      <c r="BN92" s="39">
        <v>252</v>
      </c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29">
        <f t="shared" si="4"/>
        <v>0</v>
      </c>
      <c r="FO92" s="5"/>
    </row>
    <row r="93" spans="1:171" s="37" customFormat="1" x14ac:dyDescent="0.25">
      <c r="A93" s="60" t="s">
        <v>249</v>
      </c>
      <c r="B93" s="74">
        <f t="shared" si="3"/>
        <v>0</v>
      </c>
      <c r="C93" s="66">
        <v>1</v>
      </c>
      <c r="D93" s="68">
        <v>44949</v>
      </c>
      <c r="E93" s="79">
        <v>35.869999999999997</v>
      </c>
      <c r="F93" s="76">
        <f t="shared" si="5"/>
        <v>0</v>
      </c>
      <c r="G93" s="74"/>
      <c r="H93" s="39"/>
      <c r="I93" s="39"/>
      <c r="J93" s="39"/>
      <c r="K93" s="39">
        <v>5</v>
      </c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16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>
        <v>5</v>
      </c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29">
        <f t="shared" si="4"/>
        <v>0</v>
      </c>
      <c r="FO93" s="5"/>
    </row>
    <row r="94" spans="1:171" s="37" customFormat="1" x14ac:dyDescent="0.25">
      <c r="A94" s="60" t="s">
        <v>262</v>
      </c>
      <c r="B94" s="74">
        <f t="shared" si="3"/>
        <v>10</v>
      </c>
      <c r="C94" s="66">
        <v>10</v>
      </c>
      <c r="D94" s="69">
        <v>44893</v>
      </c>
      <c r="E94" s="79">
        <v>31.16</v>
      </c>
      <c r="F94" s="76">
        <f t="shared" si="5"/>
        <v>311.60000000000002</v>
      </c>
      <c r="G94" s="74">
        <v>10</v>
      </c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16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>
        <v>10</v>
      </c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29">
        <f t="shared" si="4"/>
        <v>0</v>
      </c>
      <c r="FO94" s="5"/>
    </row>
    <row r="95" spans="1:171" s="37" customFormat="1" x14ac:dyDescent="0.25">
      <c r="A95" s="60" t="s">
        <v>517</v>
      </c>
      <c r="B95" s="74">
        <f t="shared" si="3"/>
        <v>0</v>
      </c>
      <c r="C95" s="66">
        <v>1</v>
      </c>
      <c r="D95" s="68">
        <v>44775</v>
      </c>
      <c r="E95" s="79">
        <v>45.44</v>
      </c>
      <c r="F95" s="76">
        <f t="shared" si="5"/>
        <v>0</v>
      </c>
      <c r="G95" s="74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16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29">
        <f t="shared" si="4"/>
        <v>0</v>
      </c>
      <c r="FO95" s="5"/>
    </row>
    <row r="96" spans="1:171" s="37" customFormat="1" x14ac:dyDescent="0.25">
      <c r="A96" s="60" t="s">
        <v>554</v>
      </c>
      <c r="B96" s="74">
        <f t="shared" si="3"/>
        <v>0</v>
      </c>
      <c r="C96" s="66">
        <v>1</v>
      </c>
      <c r="D96" s="68">
        <v>44949</v>
      </c>
      <c r="E96" s="79">
        <v>38.01</v>
      </c>
      <c r="F96" s="76">
        <f t="shared" si="5"/>
        <v>0</v>
      </c>
      <c r="G96" s="74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16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>
        <v>3</v>
      </c>
      <c r="DI96" s="39"/>
      <c r="DJ96" s="39"/>
      <c r="DK96" s="39"/>
      <c r="DL96" s="39">
        <v>3</v>
      </c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29">
        <f t="shared" si="4"/>
        <v>0</v>
      </c>
      <c r="FO96" s="5"/>
    </row>
    <row r="97" spans="1:171" s="37" customFormat="1" x14ac:dyDescent="0.25">
      <c r="A97" s="44" t="s">
        <v>135</v>
      </c>
      <c r="B97" s="74">
        <f t="shared" si="3"/>
        <v>0</v>
      </c>
      <c r="C97" s="66">
        <v>1</v>
      </c>
      <c r="D97" s="69">
        <v>44897</v>
      </c>
      <c r="E97" s="79">
        <v>39.54</v>
      </c>
      <c r="F97" s="76">
        <f t="shared" si="5"/>
        <v>0</v>
      </c>
      <c r="G97" s="74">
        <v>5</v>
      </c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16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>
        <v>5</v>
      </c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29">
        <f t="shared" si="4"/>
        <v>0</v>
      </c>
      <c r="FO97" s="5"/>
    </row>
    <row r="98" spans="1:171" s="37" customFormat="1" x14ac:dyDescent="0.25">
      <c r="A98" s="44" t="s">
        <v>513</v>
      </c>
      <c r="B98" s="74">
        <f t="shared" si="3"/>
        <v>0</v>
      </c>
      <c r="C98" s="66">
        <v>1.1000000000000001</v>
      </c>
      <c r="D98" s="69">
        <v>44753</v>
      </c>
      <c r="E98" s="79">
        <v>74.540000000000006</v>
      </c>
      <c r="F98" s="76">
        <f t="shared" si="5"/>
        <v>0</v>
      </c>
      <c r="G98" s="74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16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29">
        <f t="shared" si="4"/>
        <v>0</v>
      </c>
      <c r="FO98" s="5"/>
    </row>
    <row r="99" spans="1:171" s="37" customFormat="1" x14ac:dyDescent="0.25">
      <c r="A99" s="44" t="s">
        <v>78</v>
      </c>
      <c r="B99" s="74">
        <f t="shared" si="3"/>
        <v>0</v>
      </c>
      <c r="C99" s="66">
        <v>1</v>
      </c>
      <c r="D99" s="69">
        <v>44956</v>
      </c>
      <c r="E99" s="79">
        <v>37.83</v>
      </c>
      <c r="F99" s="76">
        <f t="shared" si="5"/>
        <v>0</v>
      </c>
      <c r="G99" s="74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16"/>
      <c r="X99" s="39"/>
      <c r="Y99" s="39">
        <v>2</v>
      </c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>
        <v>2</v>
      </c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29">
        <f t="shared" si="4"/>
        <v>0</v>
      </c>
      <c r="FO99" s="5"/>
    </row>
    <row r="100" spans="1:171" s="37" customFormat="1" x14ac:dyDescent="0.25">
      <c r="A100" s="44" t="s">
        <v>106</v>
      </c>
      <c r="B100" s="74">
        <f t="shared" si="3"/>
        <v>0</v>
      </c>
      <c r="C100" s="66">
        <v>0.9</v>
      </c>
      <c r="D100" s="69">
        <v>44732</v>
      </c>
      <c r="E100" s="79">
        <v>33.85</v>
      </c>
      <c r="F100" s="76">
        <f t="shared" si="5"/>
        <v>0</v>
      </c>
      <c r="G100" s="74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16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39"/>
      <c r="DB100" s="39"/>
      <c r="DC100" s="39"/>
      <c r="DD100" s="39"/>
      <c r="DE100" s="39"/>
      <c r="DF100" s="39"/>
      <c r="DG100" s="39"/>
      <c r="DH100" s="39"/>
      <c r="DI100" s="39"/>
      <c r="DJ100" s="39"/>
      <c r="DK100" s="39"/>
      <c r="DL100" s="39"/>
      <c r="DM100" s="39"/>
      <c r="DN100" s="39"/>
      <c r="DO100" s="39"/>
      <c r="DP100" s="39"/>
      <c r="DQ100" s="39"/>
      <c r="DR100" s="39"/>
      <c r="DS100" s="39"/>
      <c r="DT100" s="39"/>
      <c r="DU100" s="39"/>
      <c r="DV100" s="39"/>
      <c r="DW100" s="39"/>
      <c r="DX100" s="39"/>
      <c r="DY100" s="39"/>
      <c r="DZ100" s="39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29">
        <f t="shared" si="4"/>
        <v>0</v>
      </c>
      <c r="FO100" s="5"/>
    </row>
    <row r="101" spans="1:171" s="37" customFormat="1" x14ac:dyDescent="0.25">
      <c r="A101" s="44" t="s">
        <v>329</v>
      </c>
      <c r="B101" s="74">
        <f t="shared" si="3"/>
        <v>0</v>
      </c>
      <c r="C101" s="66">
        <v>1</v>
      </c>
      <c r="D101" s="69">
        <v>44760</v>
      </c>
      <c r="E101" s="79">
        <v>51.23</v>
      </c>
      <c r="F101" s="76">
        <f t="shared" si="5"/>
        <v>0</v>
      </c>
      <c r="G101" s="74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16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/>
      <c r="DX101" s="39"/>
      <c r="DY101" s="39"/>
      <c r="DZ101" s="39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29">
        <f t="shared" si="4"/>
        <v>0</v>
      </c>
      <c r="FO101" s="5"/>
    </row>
    <row r="102" spans="1:171" s="37" customFormat="1" x14ac:dyDescent="0.25">
      <c r="A102" s="44" t="s">
        <v>261</v>
      </c>
      <c r="B102" s="74">
        <f t="shared" si="3"/>
        <v>30</v>
      </c>
      <c r="C102" s="66">
        <v>10</v>
      </c>
      <c r="D102" s="69">
        <v>44949</v>
      </c>
      <c r="E102" s="79">
        <v>35.869999999999997</v>
      </c>
      <c r="F102" s="76">
        <f t="shared" si="5"/>
        <v>1076.0999999999999</v>
      </c>
      <c r="G102" s="74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16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>
        <v>50</v>
      </c>
      <c r="CK102" s="39">
        <v>30</v>
      </c>
      <c r="CL102" s="39"/>
      <c r="CM102" s="39"/>
      <c r="CN102" s="39"/>
      <c r="CO102" s="39"/>
      <c r="CP102" s="39"/>
      <c r="CQ102" s="39"/>
      <c r="CR102" s="39"/>
      <c r="CS102" s="39">
        <v>10</v>
      </c>
      <c r="CT102" s="39"/>
      <c r="CU102" s="39"/>
      <c r="CV102" s="39"/>
      <c r="CW102" s="39"/>
      <c r="CX102" s="39"/>
      <c r="CY102" s="39"/>
      <c r="CZ102" s="39"/>
      <c r="DA102" s="39"/>
      <c r="DB102" s="39"/>
      <c r="DC102" s="39"/>
      <c r="DD102" s="39"/>
      <c r="DE102" s="39"/>
      <c r="DF102" s="39"/>
      <c r="DG102" s="39"/>
      <c r="DH102" s="39">
        <v>90</v>
      </c>
      <c r="DI102" s="39"/>
      <c r="DJ102" s="39"/>
      <c r="DK102" s="39"/>
      <c r="DL102" s="39"/>
      <c r="DM102" s="39"/>
      <c r="DN102" s="39"/>
      <c r="DO102" s="39"/>
      <c r="DP102" s="39"/>
      <c r="DQ102" s="39"/>
      <c r="DR102" s="39"/>
      <c r="DS102" s="39"/>
      <c r="DT102" s="39"/>
      <c r="DU102" s="39"/>
      <c r="DV102" s="39"/>
      <c r="DW102" s="39"/>
      <c r="DX102" s="39"/>
      <c r="DY102" s="39"/>
      <c r="DZ102" s="39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29">
        <f t="shared" si="4"/>
        <v>0</v>
      </c>
      <c r="FO102" s="5"/>
    </row>
    <row r="103" spans="1:171" s="37" customFormat="1" x14ac:dyDescent="0.25">
      <c r="A103" s="44" t="s">
        <v>225</v>
      </c>
      <c r="B103" s="74">
        <f t="shared" si="3"/>
        <v>0</v>
      </c>
      <c r="C103" s="66">
        <v>10</v>
      </c>
      <c r="D103" s="68">
        <v>44760</v>
      </c>
      <c r="E103" s="79">
        <v>27.94</v>
      </c>
      <c r="F103" s="76">
        <f t="shared" si="5"/>
        <v>0</v>
      </c>
      <c r="G103" s="74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16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39"/>
      <c r="DB103" s="39"/>
      <c r="DC103" s="39"/>
      <c r="DD103" s="39"/>
      <c r="DE103" s="39"/>
      <c r="DF103" s="39"/>
      <c r="DG103" s="39"/>
      <c r="DH103" s="39"/>
      <c r="DI103" s="39"/>
      <c r="DJ103" s="39"/>
      <c r="DK103" s="39"/>
      <c r="DL103" s="39"/>
      <c r="DM103" s="39"/>
      <c r="DN103" s="39"/>
      <c r="DO103" s="39"/>
      <c r="DP103" s="39"/>
      <c r="DQ103" s="39"/>
      <c r="DR103" s="39"/>
      <c r="DS103" s="39"/>
      <c r="DT103" s="39"/>
      <c r="DU103" s="39"/>
      <c r="DV103" s="39"/>
      <c r="DW103" s="39"/>
      <c r="DX103" s="39"/>
      <c r="DY103" s="39"/>
      <c r="DZ103" s="39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29">
        <f t="shared" si="4"/>
        <v>0</v>
      </c>
      <c r="FO103" s="5"/>
    </row>
    <row r="104" spans="1:171" s="37" customFormat="1" ht="13.5" customHeight="1" x14ac:dyDescent="0.25">
      <c r="A104" s="44" t="s">
        <v>80</v>
      </c>
      <c r="B104" s="74">
        <f t="shared" si="3"/>
        <v>20</v>
      </c>
      <c r="C104" s="66">
        <v>10</v>
      </c>
      <c r="D104" s="68">
        <v>44651</v>
      </c>
      <c r="E104" s="79">
        <v>30.87</v>
      </c>
      <c r="F104" s="76">
        <f t="shared" si="5"/>
        <v>617.4</v>
      </c>
      <c r="G104" s="74">
        <v>20</v>
      </c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16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>
        <v>20</v>
      </c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39"/>
      <c r="DB104" s="39"/>
      <c r="DC104" s="39"/>
      <c r="DD104" s="39"/>
      <c r="DE104" s="39"/>
      <c r="DF104" s="39"/>
      <c r="DG104" s="39"/>
      <c r="DH104" s="39"/>
      <c r="DI104" s="39"/>
      <c r="DJ104" s="39"/>
      <c r="DK104" s="39"/>
      <c r="DL104" s="39"/>
      <c r="DM104" s="39"/>
      <c r="DN104" s="39"/>
      <c r="DO104" s="39"/>
      <c r="DP104" s="39"/>
      <c r="DQ104" s="39"/>
      <c r="DR104" s="39"/>
      <c r="DS104" s="39"/>
      <c r="DT104" s="39"/>
      <c r="DU104" s="39"/>
      <c r="DV104" s="39"/>
      <c r="DW104" s="39"/>
      <c r="DX104" s="39"/>
      <c r="DY104" s="39"/>
      <c r="DZ104" s="39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29">
        <f t="shared" si="4"/>
        <v>0</v>
      </c>
      <c r="FO104" s="5"/>
    </row>
    <row r="105" spans="1:171" s="37" customFormat="1" x14ac:dyDescent="0.25">
      <c r="A105" s="44" t="s">
        <v>507</v>
      </c>
      <c r="B105" s="74">
        <f t="shared" si="3"/>
        <v>0</v>
      </c>
      <c r="C105" s="66">
        <v>1</v>
      </c>
      <c r="D105" s="68">
        <v>44753</v>
      </c>
      <c r="E105" s="79">
        <v>79.349999999999994</v>
      </c>
      <c r="F105" s="76">
        <f t="shared" si="5"/>
        <v>0</v>
      </c>
      <c r="G105" s="74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16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39"/>
      <c r="DB105" s="39"/>
      <c r="DC105" s="39"/>
      <c r="DD105" s="39"/>
      <c r="DE105" s="39"/>
      <c r="DF105" s="39"/>
      <c r="DG105" s="39"/>
      <c r="DH105" s="39"/>
      <c r="DI105" s="39"/>
      <c r="DJ105" s="39"/>
      <c r="DK105" s="39"/>
      <c r="DL105" s="39"/>
      <c r="DM105" s="39"/>
      <c r="DN105" s="39"/>
      <c r="DO105" s="39"/>
      <c r="DP105" s="39"/>
      <c r="DQ105" s="39"/>
      <c r="DR105" s="39"/>
      <c r="DS105" s="39"/>
      <c r="DT105" s="39"/>
      <c r="DU105" s="39"/>
      <c r="DV105" s="39"/>
      <c r="DW105" s="39"/>
      <c r="DX105" s="39"/>
      <c r="DY105" s="39"/>
      <c r="DZ105" s="39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29">
        <f t="shared" si="4"/>
        <v>0</v>
      </c>
      <c r="FO105" s="5"/>
    </row>
    <row r="106" spans="1:171" s="37" customFormat="1" x14ac:dyDescent="0.25">
      <c r="A106" s="44" t="s">
        <v>162</v>
      </c>
      <c r="B106" s="74">
        <f t="shared" si="3"/>
        <v>0</v>
      </c>
      <c r="C106" s="66">
        <v>1</v>
      </c>
      <c r="D106" s="68">
        <v>44732</v>
      </c>
      <c r="E106" s="79">
        <v>43.48</v>
      </c>
      <c r="F106" s="76">
        <f t="shared" si="5"/>
        <v>0</v>
      </c>
      <c r="G106" s="74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16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39"/>
      <c r="DB106" s="39"/>
      <c r="DC106" s="39"/>
      <c r="DD106" s="39"/>
      <c r="DE106" s="39"/>
      <c r="DF106" s="39"/>
      <c r="DG106" s="39"/>
      <c r="DH106" s="39"/>
      <c r="DI106" s="39"/>
      <c r="DJ106" s="39"/>
      <c r="DK106" s="39"/>
      <c r="DL106" s="39"/>
      <c r="DM106" s="39"/>
      <c r="DN106" s="39"/>
      <c r="DO106" s="39"/>
      <c r="DP106" s="39"/>
      <c r="DQ106" s="39"/>
      <c r="DR106" s="39"/>
      <c r="DS106" s="39"/>
      <c r="DT106" s="39"/>
      <c r="DU106" s="39"/>
      <c r="DV106" s="39"/>
      <c r="DW106" s="39"/>
      <c r="DX106" s="39"/>
      <c r="DY106" s="39"/>
      <c r="DZ106" s="39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29">
        <f t="shared" si="4"/>
        <v>0</v>
      </c>
      <c r="FO106" s="5"/>
    </row>
    <row r="107" spans="1:171" s="37" customFormat="1" x14ac:dyDescent="0.25">
      <c r="A107" s="44" t="s">
        <v>508</v>
      </c>
      <c r="B107" s="74">
        <f t="shared" si="3"/>
        <v>0</v>
      </c>
      <c r="C107" s="66">
        <v>0.9</v>
      </c>
      <c r="D107" s="68">
        <v>44753</v>
      </c>
      <c r="E107" s="79">
        <v>105.8</v>
      </c>
      <c r="F107" s="76">
        <f t="shared" si="5"/>
        <v>0</v>
      </c>
      <c r="G107" s="74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16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/>
      <c r="DX107" s="39"/>
      <c r="DY107" s="39"/>
      <c r="DZ107" s="39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29">
        <f t="shared" si="4"/>
        <v>0</v>
      </c>
      <c r="FO107" s="5"/>
    </row>
    <row r="108" spans="1:171" s="37" customFormat="1" x14ac:dyDescent="0.25">
      <c r="A108" s="60" t="s">
        <v>60</v>
      </c>
      <c r="B108" s="74">
        <f t="shared" si="3"/>
        <v>0</v>
      </c>
      <c r="C108" s="66">
        <v>0.9</v>
      </c>
      <c r="D108" s="69">
        <v>44970</v>
      </c>
      <c r="E108" s="80">
        <v>73.319999999999993</v>
      </c>
      <c r="F108" s="76">
        <f t="shared" si="5"/>
        <v>0</v>
      </c>
      <c r="G108" s="74">
        <v>3.6</v>
      </c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16"/>
      <c r="X108" s="39"/>
      <c r="Y108" s="39"/>
      <c r="Z108" s="39"/>
      <c r="AA108" s="39"/>
      <c r="AB108" s="39"/>
      <c r="AC108" s="39">
        <v>3.6</v>
      </c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39"/>
      <c r="DB108" s="39"/>
      <c r="DC108" s="39"/>
      <c r="DD108" s="39"/>
      <c r="DE108" s="39"/>
      <c r="DF108" s="39"/>
      <c r="DG108" s="39"/>
      <c r="DH108" s="39"/>
      <c r="DI108" s="39"/>
      <c r="DJ108" s="39"/>
      <c r="DK108" s="39"/>
      <c r="DL108" s="39"/>
      <c r="DM108" s="39"/>
      <c r="DN108" s="39"/>
      <c r="DO108" s="39"/>
      <c r="DP108" s="39"/>
      <c r="DQ108" s="39"/>
      <c r="DR108" s="39"/>
      <c r="DS108" s="39"/>
      <c r="DT108" s="39"/>
      <c r="DU108" s="39"/>
      <c r="DV108" s="39"/>
      <c r="DW108" s="39"/>
      <c r="DX108" s="39"/>
      <c r="DY108" s="39"/>
      <c r="DZ108" s="39"/>
      <c r="EA108" s="39"/>
      <c r="EB108" s="39"/>
      <c r="EC108" s="39"/>
      <c r="ED108" s="39"/>
      <c r="EE108" s="39"/>
      <c r="EF108" s="39">
        <v>2.7</v>
      </c>
      <c r="EG108" s="39"/>
      <c r="EH108" s="39"/>
      <c r="EI108" s="39"/>
      <c r="EJ108" s="39"/>
      <c r="EK108" s="39"/>
      <c r="EL108" s="39"/>
      <c r="EM108" s="39"/>
      <c r="EN108" s="39"/>
      <c r="EO108" s="39"/>
      <c r="EP108" s="39">
        <v>2.7</v>
      </c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29">
        <f t="shared" si="4"/>
        <v>0</v>
      </c>
      <c r="FO108" s="5"/>
    </row>
    <row r="109" spans="1:171" s="37" customFormat="1" x14ac:dyDescent="0.25">
      <c r="A109" s="60" t="s">
        <v>60</v>
      </c>
      <c r="B109" s="74">
        <f t="shared" si="3"/>
        <v>0</v>
      </c>
      <c r="C109" s="66">
        <v>9</v>
      </c>
      <c r="D109" s="69">
        <v>44956</v>
      </c>
      <c r="E109" s="80">
        <v>69.319999999999993</v>
      </c>
      <c r="F109" s="76">
        <f t="shared" si="5"/>
        <v>0</v>
      </c>
      <c r="G109" s="74">
        <v>18</v>
      </c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16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>
        <v>18</v>
      </c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>
        <v>27</v>
      </c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39"/>
      <c r="DB109" s="39"/>
      <c r="DC109" s="39"/>
      <c r="DD109" s="39"/>
      <c r="DE109" s="39"/>
      <c r="DF109" s="39"/>
      <c r="DG109" s="39"/>
      <c r="DH109" s="39"/>
      <c r="DI109" s="39"/>
      <c r="DJ109" s="39"/>
      <c r="DK109" s="39"/>
      <c r="DL109" s="39"/>
      <c r="DM109" s="39"/>
      <c r="DN109" s="39"/>
      <c r="DO109" s="39"/>
      <c r="DP109" s="39"/>
      <c r="DQ109" s="39">
        <v>27</v>
      </c>
      <c r="DR109" s="39"/>
      <c r="DS109" s="39"/>
      <c r="DT109" s="39"/>
      <c r="DU109" s="39"/>
      <c r="DV109" s="39"/>
      <c r="DW109" s="39"/>
      <c r="DX109" s="39"/>
      <c r="DY109" s="39"/>
      <c r="DZ109" s="39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29">
        <f t="shared" si="4"/>
        <v>0</v>
      </c>
      <c r="FO109" s="5"/>
    </row>
    <row r="110" spans="1:171" s="37" customFormat="1" x14ac:dyDescent="0.25">
      <c r="A110" s="60" t="s">
        <v>27</v>
      </c>
      <c r="B110" s="74">
        <f t="shared" si="3"/>
        <v>0</v>
      </c>
      <c r="C110" s="66">
        <v>1</v>
      </c>
      <c r="D110" s="68">
        <v>44956</v>
      </c>
      <c r="E110" s="76">
        <v>33.619999999999997</v>
      </c>
      <c r="F110" s="76">
        <f t="shared" si="5"/>
        <v>0</v>
      </c>
      <c r="G110" s="74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16"/>
      <c r="X110" s="39"/>
      <c r="Y110" s="39">
        <v>2</v>
      </c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39"/>
      <c r="DB110" s="39"/>
      <c r="DC110" s="39"/>
      <c r="DD110" s="39"/>
      <c r="DE110" s="39"/>
      <c r="DF110" s="39"/>
      <c r="DG110" s="39"/>
      <c r="DH110" s="39"/>
      <c r="DI110" s="39"/>
      <c r="DJ110" s="39"/>
      <c r="DK110" s="39"/>
      <c r="DL110" s="39"/>
      <c r="DM110" s="39"/>
      <c r="DN110" s="39"/>
      <c r="DO110" s="39"/>
      <c r="DP110" s="39"/>
      <c r="DQ110" s="39">
        <v>2</v>
      </c>
      <c r="DR110" s="39"/>
      <c r="DS110" s="39"/>
      <c r="DT110" s="39"/>
      <c r="DU110" s="39"/>
      <c r="DV110" s="39"/>
      <c r="DW110" s="39"/>
      <c r="DX110" s="39"/>
      <c r="DY110" s="39"/>
      <c r="DZ110" s="39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29">
        <f t="shared" si="4"/>
        <v>0</v>
      </c>
      <c r="FO110" s="5"/>
    </row>
    <row r="111" spans="1:171" s="37" customFormat="1" x14ac:dyDescent="0.25">
      <c r="A111" s="60" t="s">
        <v>207</v>
      </c>
      <c r="B111" s="74">
        <f t="shared" si="3"/>
        <v>20</v>
      </c>
      <c r="C111" s="66">
        <v>10</v>
      </c>
      <c r="D111" s="68">
        <v>44893</v>
      </c>
      <c r="E111" s="76">
        <v>39.630000000000003</v>
      </c>
      <c r="F111" s="76">
        <f t="shared" si="5"/>
        <v>792.6</v>
      </c>
      <c r="G111" s="74">
        <v>20</v>
      </c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16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>
        <v>20</v>
      </c>
      <c r="CX111" s="39"/>
      <c r="CY111" s="39"/>
      <c r="CZ111" s="39"/>
      <c r="DA111" s="39"/>
      <c r="DB111" s="39"/>
      <c r="DC111" s="39"/>
      <c r="DD111" s="39"/>
      <c r="DE111" s="39"/>
      <c r="DF111" s="39"/>
      <c r="DG111" s="39"/>
      <c r="DH111" s="39"/>
      <c r="DI111" s="39"/>
      <c r="DJ111" s="39"/>
      <c r="DK111" s="39"/>
      <c r="DL111" s="39"/>
      <c r="DM111" s="39"/>
      <c r="DN111" s="39"/>
      <c r="DO111" s="39"/>
      <c r="DP111" s="39"/>
      <c r="DQ111" s="39"/>
      <c r="DR111" s="39"/>
      <c r="DS111" s="39"/>
      <c r="DT111" s="39"/>
      <c r="DU111" s="39"/>
      <c r="DV111" s="39"/>
      <c r="DW111" s="39"/>
      <c r="DX111" s="39"/>
      <c r="DY111" s="39"/>
      <c r="DZ111" s="39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29">
        <f t="shared" si="4"/>
        <v>0</v>
      </c>
    </row>
    <row r="112" spans="1:171" s="37" customFormat="1" x14ac:dyDescent="0.25">
      <c r="A112" s="60" t="s">
        <v>207</v>
      </c>
      <c r="B112" s="74">
        <f t="shared" si="3"/>
        <v>0</v>
      </c>
      <c r="C112" s="66">
        <v>1</v>
      </c>
      <c r="D112" s="68">
        <v>44956</v>
      </c>
      <c r="E112" s="76">
        <v>39.92</v>
      </c>
      <c r="F112" s="76">
        <f t="shared" si="5"/>
        <v>0</v>
      </c>
      <c r="G112" s="74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16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>
        <v>1</v>
      </c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39"/>
      <c r="DB112" s="39"/>
      <c r="DC112" s="39"/>
      <c r="DD112" s="39"/>
      <c r="DE112" s="39"/>
      <c r="DF112" s="39"/>
      <c r="DG112" s="39"/>
      <c r="DH112" s="39"/>
      <c r="DI112" s="39"/>
      <c r="DJ112" s="39"/>
      <c r="DK112" s="39"/>
      <c r="DL112" s="39"/>
      <c r="DM112" s="39"/>
      <c r="DN112" s="39"/>
      <c r="DO112" s="39"/>
      <c r="DP112" s="39"/>
      <c r="DQ112" s="39">
        <v>1</v>
      </c>
      <c r="DR112" s="39"/>
      <c r="DS112" s="39"/>
      <c r="DT112" s="39"/>
      <c r="DU112" s="39"/>
      <c r="DV112" s="39"/>
      <c r="DW112" s="39"/>
      <c r="DX112" s="39"/>
      <c r="DY112" s="39"/>
      <c r="DZ112" s="39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29">
        <f t="shared" si="4"/>
        <v>0</v>
      </c>
    </row>
    <row r="113" spans="1:171" s="37" customFormat="1" x14ac:dyDescent="0.25">
      <c r="A113" s="44" t="s">
        <v>71</v>
      </c>
      <c r="B113" s="74">
        <f t="shared" si="3"/>
        <v>70</v>
      </c>
      <c r="C113" s="66">
        <v>10</v>
      </c>
      <c r="D113" s="68">
        <v>44669</v>
      </c>
      <c r="E113" s="76">
        <v>37.74</v>
      </c>
      <c r="F113" s="76">
        <f t="shared" si="5"/>
        <v>2641.8</v>
      </c>
      <c r="G113" s="74">
        <v>70</v>
      </c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16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>
        <v>70</v>
      </c>
      <c r="FN113" s="29">
        <f t="shared" si="4"/>
        <v>0</v>
      </c>
      <c r="FO113" s="5"/>
    </row>
    <row r="114" spans="1:171" s="37" customFormat="1" x14ac:dyDescent="0.25">
      <c r="A114" s="44" t="s">
        <v>71</v>
      </c>
      <c r="B114" s="74">
        <f t="shared" si="3"/>
        <v>0</v>
      </c>
      <c r="C114" s="66">
        <v>1</v>
      </c>
      <c r="D114" s="68">
        <v>44924</v>
      </c>
      <c r="E114" s="76">
        <v>42</v>
      </c>
      <c r="F114" s="76">
        <f t="shared" si="5"/>
        <v>0</v>
      </c>
      <c r="G114" s="74">
        <v>1</v>
      </c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16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>
        <v>1</v>
      </c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29">
        <f t="shared" si="4"/>
        <v>0</v>
      </c>
      <c r="FO114" s="5"/>
    </row>
    <row r="115" spans="1:171" s="37" customFormat="1" x14ac:dyDescent="0.25">
      <c r="A115" s="44" t="s">
        <v>118</v>
      </c>
      <c r="B115" s="74">
        <f t="shared" si="3"/>
        <v>0</v>
      </c>
      <c r="C115" s="66">
        <v>1</v>
      </c>
      <c r="D115" s="68">
        <v>44760</v>
      </c>
      <c r="E115" s="76">
        <v>51.23</v>
      </c>
      <c r="F115" s="76">
        <f t="shared" si="5"/>
        <v>0</v>
      </c>
      <c r="G115" s="74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16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/>
      <c r="DX115" s="39"/>
      <c r="DY115" s="39"/>
      <c r="DZ115" s="39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29">
        <f t="shared" si="4"/>
        <v>0</v>
      </c>
      <c r="FO115" s="5"/>
    </row>
    <row r="116" spans="1:171" s="37" customFormat="1" x14ac:dyDescent="0.25">
      <c r="A116" s="44" t="s">
        <v>362</v>
      </c>
      <c r="B116" s="74">
        <f t="shared" si="3"/>
        <v>0</v>
      </c>
      <c r="C116" s="66">
        <v>1</v>
      </c>
      <c r="D116" s="68">
        <v>44886</v>
      </c>
      <c r="E116" s="76">
        <v>50.48</v>
      </c>
      <c r="F116" s="76">
        <f t="shared" si="5"/>
        <v>0</v>
      </c>
      <c r="G116" s="74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16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29">
        <f t="shared" si="4"/>
        <v>0</v>
      </c>
      <c r="FO116" s="5"/>
    </row>
    <row r="117" spans="1:171" s="37" customFormat="1" x14ac:dyDescent="0.25">
      <c r="A117" s="44" t="s">
        <v>238</v>
      </c>
      <c r="B117" s="74">
        <f t="shared" si="3"/>
        <v>10</v>
      </c>
      <c r="C117" s="66">
        <v>10</v>
      </c>
      <c r="D117" s="69">
        <v>44651</v>
      </c>
      <c r="E117" s="76">
        <v>55.39</v>
      </c>
      <c r="F117" s="76">
        <f t="shared" si="5"/>
        <v>553.9</v>
      </c>
      <c r="G117" s="74">
        <v>10</v>
      </c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16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39"/>
      <c r="DB117" s="39"/>
      <c r="DC117" s="39"/>
      <c r="DD117" s="39"/>
      <c r="DE117" s="39"/>
      <c r="DF117" s="39"/>
      <c r="DG117" s="39"/>
      <c r="DH117" s="39"/>
      <c r="DI117" s="39"/>
      <c r="DJ117" s="39"/>
      <c r="DK117" s="39"/>
      <c r="DL117" s="39"/>
      <c r="DM117" s="39"/>
      <c r="DN117" s="39"/>
      <c r="DO117" s="39"/>
      <c r="DP117" s="39"/>
      <c r="DQ117" s="39"/>
      <c r="DR117" s="39"/>
      <c r="DS117" s="39"/>
      <c r="DT117" s="39"/>
      <c r="DU117" s="39"/>
      <c r="DV117" s="39"/>
      <c r="DW117" s="39"/>
      <c r="DX117" s="39"/>
      <c r="DY117" s="39"/>
      <c r="DZ117" s="39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>
        <v>10</v>
      </c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29">
        <f t="shared" si="4"/>
        <v>0</v>
      </c>
      <c r="FO117" s="5"/>
    </row>
    <row r="118" spans="1:171" s="37" customFormat="1" x14ac:dyDescent="0.25">
      <c r="A118" s="44" t="s">
        <v>238</v>
      </c>
      <c r="B118" s="74">
        <f t="shared" si="3"/>
        <v>10</v>
      </c>
      <c r="C118" s="66">
        <v>10</v>
      </c>
      <c r="D118" s="69">
        <v>44979</v>
      </c>
      <c r="E118" s="76">
        <v>47.59</v>
      </c>
      <c r="F118" s="76">
        <f t="shared" si="5"/>
        <v>475.90000000000003</v>
      </c>
      <c r="G118" s="74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16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39"/>
      <c r="DW118" s="39"/>
      <c r="DX118" s="39"/>
      <c r="DY118" s="39"/>
      <c r="DZ118" s="39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>
        <v>10</v>
      </c>
      <c r="ES118" s="39"/>
      <c r="ET118" s="39"/>
      <c r="EU118" s="39"/>
      <c r="EV118" s="39"/>
      <c r="EW118" s="39">
        <v>10</v>
      </c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29">
        <f t="shared" si="4"/>
        <v>0</v>
      </c>
      <c r="FO118" s="5"/>
    </row>
    <row r="119" spans="1:171" s="37" customFormat="1" x14ac:dyDescent="0.25">
      <c r="A119" s="44" t="s">
        <v>461</v>
      </c>
      <c r="B119" s="74">
        <f t="shared" si="3"/>
        <v>0</v>
      </c>
      <c r="C119" s="66">
        <v>5</v>
      </c>
      <c r="D119" s="69">
        <v>44956</v>
      </c>
      <c r="E119" s="76">
        <v>16.809999999999999</v>
      </c>
      <c r="F119" s="76">
        <f t="shared" si="5"/>
        <v>0</v>
      </c>
      <c r="G119" s="74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16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>
        <v>5</v>
      </c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39"/>
      <c r="DB119" s="39"/>
      <c r="DC119" s="39"/>
      <c r="DD119" s="39"/>
      <c r="DE119" s="39"/>
      <c r="DF119" s="39"/>
      <c r="DG119" s="39"/>
      <c r="DH119" s="39"/>
      <c r="DI119" s="39"/>
      <c r="DJ119" s="39"/>
      <c r="DK119" s="39"/>
      <c r="DL119" s="39"/>
      <c r="DM119" s="39"/>
      <c r="DN119" s="39"/>
      <c r="DO119" s="39"/>
      <c r="DP119" s="39"/>
      <c r="DQ119" s="39">
        <v>5</v>
      </c>
      <c r="DR119" s="39"/>
      <c r="DS119" s="39"/>
      <c r="DT119" s="39"/>
      <c r="DU119" s="39"/>
      <c r="DV119" s="39"/>
      <c r="DW119" s="39"/>
      <c r="DX119" s="39"/>
      <c r="DY119" s="39"/>
      <c r="DZ119" s="39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29">
        <f t="shared" si="4"/>
        <v>0</v>
      </c>
      <c r="FO119" s="5"/>
    </row>
    <row r="120" spans="1:171" s="37" customFormat="1" x14ac:dyDescent="0.25">
      <c r="A120" s="44" t="s">
        <v>164</v>
      </c>
      <c r="B120" s="74">
        <f t="shared" si="3"/>
        <v>0</v>
      </c>
      <c r="C120" s="66">
        <v>10</v>
      </c>
      <c r="D120" s="69">
        <v>44851</v>
      </c>
      <c r="E120" s="76">
        <v>50.73</v>
      </c>
      <c r="F120" s="76">
        <f t="shared" si="5"/>
        <v>0</v>
      </c>
      <c r="G120" s="74">
        <v>10</v>
      </c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16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>
        <v>10</v>
      </c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9"/>
      <c r="DU120" s="39"/>
      <c r="DV120" s="39"/>
      <c r="DW120" s="39"/>
      <c r="DX120" s="39"/>
      <c r="DY120" s="39"/>
      <c r="DZ120" s="39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29">
        <f t="shared" si="4"/>
        <v>0</v>
      </c>
      <c r="FO120" s="5"/>
    </row>
    <row r="121" spans="1:171" s="37" customFormat="1" x14ac:dyDescent="0.25">
      <c r="A121" s="60" t="s">
        <v>53</v>
      </c>
      <c r="B121" s="74">
        <f t="shared" si="3"/>
        <v>0</v>
      </c>
      <c r="C121" s="66">
        <v>10</v>
      </c>
      <c r="D121" s="68">
        <v>44858</v>
      </c>
      <c r="E121" s="76">
        <v>64.84</v>
      </c>
      <c r="F121" s="76">
        <f t="shared" si="5"/>
        <v>0</v>
      </c>
      <c r="G121" s="74">
        <v>20</v>
      </c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16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>
        <v>10</v>
      </c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39"/>
      <c r="DB121" s="39"/>
      <c r="DC121" s="39"/>
      <c r="DD121" s="39"/>
      <c r="DE121" s="39"/>
      <c r="DF121" s="39"/>
      <c r="DG121" s="39"/>
      <c r="DH121" s="39"/>
      <c r="DI121" s="39"/>
      <c r="DJ121" s="39"/>
      <c r="DK121" s="39"/>
      <c r="DL121" s="39"/>
      <c r="DM121" s="39"/>
      <c r="DN121" s="39"/>
      <c r="DO121" s="39"/>
      <c r="DP121" s="39"/>
      <c r="DQ121" s="39"/>
      <c r="DR121" s="39"/>
      <c r="DS121" s="39"/>
      <c r="DT121" s="39">
        <v>10</v>
      </c>
      <c r="DU121" s="39"/>
      <c r="DV121" s="39"/>
      <c r="DW121" s="39"/>
      <c r="DX121" s="39"/>
      <c r="DY121" s="39"/>
      <c r="DZ121" s="39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29">
        <f t="shared" si="4"/>
        <v>0</v>
      </c>
      <c r="FO121" s="5"/>
    </row>
    <row r="122" spans="1:171" s="37" customFormat="1" x14ac:dyDescent="0.25">
      <c r="A122" s="60" t="s">
        <v>53</v>
      </c>
      <c r="B122" s="74">
        <f t="shared" si="3"/>
        <v>40</v>
      </c>
      <c r="C122" s="66">
        <v>10</v>
      </c>
      <c r="D122" s="69" t="s">
        <v>589</v>
      </c>
      <c r="E122" s="76">
        <v>60.94</v>
      </c>
      <c r="F122" s="76">
        <f t="shared" si="5"/>
        <v>2437.6</v>
      </c>
      <c r="G122" s="74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16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>
        <v>40</v>
      </c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39"/>
      <c r="DB122" s="39"/>
      <c r="DC122" s="39"/>
      <c r="DD122" s="39"/>
      <c r="DE122" s="39"/>
      <c r="DF122" s="39"/>
      <c r="DG122" s="39"/>
      <c r="DH122" s="39"/>
      <c r="DI122" s="39"/>
      <c r="DJ122" s="39"/>
      <c r="DK122" s="39"/>
      <c r="DL122" s="39"/>
      <c r="DM122" s="39"/>
      <c r="DN122" s="39"/>
      <c r="DO122" s="39"/>
      <c r="DP122" s="39"/>
      <c r="DQ122" s="39">
        <v>30</v>
      </c>
      <c r="DR122" s="39"/>
      <c r="DS122" s="39"/>
      <c r="DT122" s="39"/>
      <c r="DU122" s="39"/>
      <c r="DV122" s="39"/>
      <c r="DW122" s="39"/>
      <c r="DX122" s="39"/>
      <c r="DY122" s="39"/>
      <c r="DZ122" s="39"/>
      <c r="EA122" s="39"/>
      <c r="EB122" s="39"/>
      <c r="EC122" s="39"/>
      <c r="ED122" s="39"/>
      <c r="EE122" s="39"/>
      <c r="EF122" s="39">
        <v>10</v>
      </c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29">
        <f t="shared" si="4"/>
        <v>0</v>
      </c>
      <c r="FO122" s="5"/>
    </row>
    <row r="123" spans="1:171" s="37" customFormat="1" x14ac:dyDescent="0.25">
      <c r="A123" s="60" t="s">
        <v>370</v>
      </c>
      <c r="B123" s="74">
        <f t="shared" si="3"/>
        <v>0</v>
      </c>
      <c r="C123" s="66">
        <v>10</v>
      </c>
      <c r="D123" s="68">
        <v>44680</v>
      </c>
      <c r="E123" s="76">
        <v>63</v>
      </c>
      <c r="F123" s="76">
        <f t="shared" si="5"/>
        <v>0</v>
      </c>
      <c r="G123" s="74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16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39"/>
      <c r="DB123" s="39"/>
      <c r="DC123" s="39"/>
      <c r="DD123" s="39"/>
      <c r="DE123" s="39"/>
      <c r="DF123" s="39"/>
      <c r="DG123" s="39"/>
      <c r="DH123" s="39"/>
      <c r="DI123" s="39"/>
      <c r="DJ123" s="39"/>
      <c r="DK123" s="39"/>
      <c r="DL123" s="39"/>
      <c r="DM123" s="39"/>
      <c r="DN123" s="39"/>
      <c r="DO123" s="39"/>
      <c r="DP123" s="39"/>
      <c r="DQ123" s="39"/>
      <c r="DR123" s="39"/>
      <c r="DS123" s="39"/>
      <c r="DT123" s="39"/>
      <c r="DU123" s="39"/>
      <c r="DV123" s="39"/>
      <c r="DW123" s="39"/>
      <c r="DX123" s="39"/>
      <c r="DY123" s="39"/>
      <c r="DZ123" s="39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29">
        <f t="shared" si="4"/>
        <v>0</v>
      </c>
      <c r="FO123" s="5"/>
    </row>
    <row r="124" spans="1:171" s="37" customFormat="1" x14ac:dyDescent="0.25">
      <c r="A124" s="60" t="s">
        <v>14</v>
      </c>
      <c r="B124" s="74">
        <f t="shared" si="3"/>
        <v>100</v>
      </c>
      <c r="C124" s="66">
        <v>10</v>
      </c>
      <c r="D124" s="69">
        <v>44924</v>
      </c>
      <c r="E124" s="76">
        <v>37.83</v>
      </c>
      <c r="F124" s="76">
        <f t="shared" si="5"/>
        <v>3783</v>
      </c>
      <c r="G124" s="74">
        <v>100</v>
      </c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16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>
        <v>100</v>
      </c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39"/>
      <c r="DB124" s="39"/>
      <c r="DC124" s="39"/>
      <c r="DD124" s="39"/>
      <c r="DE124" s="39"/>
      <c r="DF124" s="39"/>
      <c r="DG124" s="39"/>
      <c r="DH124" s="39"/>
      <c r="DI124" s="39"/>
      <c r="DJ124" s="39"/>
      <c r="DK124" s="39"/>
      <c r="DL124" s="39"/>
      <c r="DM124" s="39"/>
      <c r="DN124" s="39"/>
      <c r="DO124" s="39"/>
      <c r="DP124" s="39"/>
      <c r="DQ124" s="39"/>
      <c r="DR124" s="39"/>
      <c r="DS124" s="39"/>
      <c r="DT124" s="39"/>
      <c r="DU124" s="39"/>
      <c r="DV124" s="39"/>
      <c r="DW124" s="39"/>
      <c r="DX124" s="39"/>
      <c r="DY124" s="39"/>
      <c r="DZ124" s="39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29">
        <f t="shared" si="4"/>
        <v>0</v>
      </c>
      <c r="FO124" s="5"/>
    </row>
    <row r="125" spans="1:171" s="37" customFormat="1" x14ac:dyDescent="0.25">
      <c r="A125" s="60" t="s">
        <v>14</v>
      </c>
      <c r="B125" s="74">
        <f t="shared" si="3"/>
        <v>140</v>
      </c>
      <c r="C125" s="66">
        <v>10</v>
      </c>
      <c r="D125" s="69" t="s">
        <v>533</v>
      </c>
      <c r="E125" s="76">
        <v>39.9</v>
      </c>
      <c r="F125" s="76">
        <f t="shared" si="5"/>
        <v>5586</v>
      </c>
      <c r="G125" s="74">
        <v>200</v>
      </c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16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>
        <v>60</v>
      </c>
      <c r="AP125" s="39"/>
      <c r="AQ125" s="39">
        <v>140</v>
      </c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39"/>
      <c r="DB125" s="39"/>
      <c r="DC125" s="39"/>
      <c r="DD125" s="39"/>
      <c r="DE125" s="39"/>
      <c r="DF125" s="39"/>
      <c r="DG125" s="39"/>
      <c r="DH125" s="39"/>
      <c r="DI125" s="39"/>
      <c r="DJ125" s="39"/>
      <c r="DK125" s="39"/>
      <c r="DL125" s="39"/>
      <c r="DM125" s="39"/>
      <c r="DN125" s="39"/>
      <c r="DO125" s="39"/>
      <c r="DP125" s="39"/>
      <c r="DQ125" s="39"/>
      <c r="DR125" s="39"/>
      <c r="DS125" s="39"/>
      <c r="DT125" s="39"/>
      <c r="DU125" s="39"/>
      <c r="DV125" s="39"/>
      <c r="DW125" s="39"/>
      <c r="DX125" s="39"/>
      <c r="DY125" s="39"/>
      <c r="DZ125" s="39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29">
        <f t="shared" si="4"/>
        <v>0</v>
      </c>
      <c r="FO125" s="5"/>
    </row>
    <row r="126" spans="1:171" s="37" customFormat="1" x14ac:dyDescent="0.25">
      <c r="A126" s="60" t="s">
        <v>92</v>
      </c>
      <c r="B126" s="74">
        <f t="shared" si="3"/>
        <v>0</v>
      </c>
      <c r="C126" s="66">
        <v>10</v>
      </c>
      <c r="D126" s="68">
        <v>44672</v>
      </c>
      <c r="E126" s="76">
        <v>42.15</v>
      </c>
      <c r="F126" s="76">
        <f t="shared" si="5"/>
        <v>0</v>
      </c>
      <c r="G126" s="74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16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39"/>
      <c r="DB126" s="39"/>
      <c r="DC126" s="39"/>
      <c r="DD126" s="39"/>
      <c r="DE126" s="39"/>
      <c r="DF126" s="39"/>
      <c r="DG126" s="39"/>
      <c r="DH126" s="39"/>
      <c r="DI126" s="39"/>
      <c r="DJ126" s="39"/>
      <c r="DK126" s="39"/>
      <c r="DL126" s="39"/>
      <c r="DM126" s="39"/>
      <c r="DN126" s="39"/>
      <c r="DO126" s="39"/>
      <c r="DP126" s="39"/>
      <c r="DQ126" s="39"/>
      <c r="DR126" s="39"/>
      <c r="DS126" s="39"/>
      <c r="DT126" s="39"/>
      <c r="DU126" s="39"/>
      <c r="DV126" s="39"/>
      <c r="DW126" s="39"/>
      <c r="DX126" s="39"/>
      <c r="DY126" s="39"/>
      <c r="DZ126" s="39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29">
        <f t="shared" si="4"/>
        <v>0</v>
      </c>
      <c r="FO126" s="5"/>
    </row>
    <row r="127" spans="1:171" s="37" customFormat="1" x14ac:dyDescent="0.25">
      <c r="A127" s="44" t="s">
        <v>103</v>
      </c>
      <c r="B127" s="74">
        <f t="shared" si="3"/>
        <v>0</v>
      </c>
      <c r="C127" s="66">
        <v>1</v>
      </c>
      <c r="D127" s="68">
        <v>44788</v>
      </c>
      <c r="E127" s="76">
        <v>53.83</v>
      </c>
      <c r="F127" s="76">
        <f t="shared" si="5"/>
        <v>0</v>
      </c>
      <c r="G127" s="74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16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39"/>
      <c r="DB127" s="39"/>
      <c r="DC127" s="39"/>
      <c r="DD127" s="39"/>
      <c r="DE127" s="39"/>
      <c r="DF127" s="39"/>
      <c r="DG127" s="39"/>
      <c r="DH127" s="39"/>
      <c r="DI127" s="39"/>
      <c r="DJ127" s="39"/>
      <c r="DK127" s="39"/>
      <c r="DL127" s="39"/>
      <c r="DM127" s="39"/>
      <c r="DN127" s="39"/>
      <c r="DO127" s="39"/>
      <c r="DP127" s="39"/>
      <c r="DQ127" s="39"/>
      <c r="DR127" s="39"/>
      <c r="DS127" s="39"/>
      <c r="DT127" s="39"/>
      <c r="DU127" s="39"/>
      <c r="DV127" s="39"/>
      <c r="DW127" s="39"/>
      <c r="DX127" s="39"/>
      <c r="DY127" s="39"/>
      <c r="DZ127" s="39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29">
        <f t="shared" si="4"/>
        <v>0</v>
      </c>
      <c r="FO127" s="5"/>
    </row>
    <row r="128" spans="1:171" s="37" customFormat="1" x14ac:dyDescent="0.25">
      <c r="A128" s="44" t="s">
        <v>173</v>
      </c>
      <c r="B128" s="74">
        <f t="shared" si="3"/>
        <v>0</v>
      </c>
      <c r="C128" s="66">
        <v>10</v>
      </c>
      <c r="D128" s="68">
        <v>44949</v>
      </c>
      <c r="E128" s="76">
        <v>33.78</v>
      </c>
      <c r="F128" s="76">
        <f t="shared" si="5"/>
        <v>0</v>
      </c>
      <c r="G128" s="74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16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>
        <v>10</v>
      </c>
      <c r="DI128" s="39"/>
      <c r="DJ128" s="39"/>
      <c r="DK128" s="39">
        <v>10</v>
      </c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29">
        <f t="shared" si="4"/>
        <v>0</v>
      </c>
      <c r="FO128" s="5"/>
    </row>
    <row r="129" spans="1:171" s="37" customFormat="1" x14ac:dyDescent="0.25">
      <c r="A129" s="44" t="s">
        <v>256</v>
      </c>
      <c r="B129" s="74">
        <f t="shared" si="3"/>
        <v>130</v>
      </c>
      <c r="C129" s="66">
        <v>10</v>
      </c>
      <c r="D129" s="69">
        <v>44893</v>
      </c>
      <c r="E129" s="76">
        <v>39.630000000000003</v>
      </c>
      <c r="F129" s="76">
        <f t="shared" si="5"/>
        <v>5151.9000000000005</v>
      </c>
      <c r="G129" s="74">
        <v>170</v>
      </c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16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>
        <v>30</v>
      </c>
      <c r="AP129" s="39"/>
      <c r="AQ129" s="39">
        <v>120</v>
      </c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>
        <v>10</v>
      </c>
      <c r="BL129" s="39"/>
      <c r="BM129" s="39"/>
      <c r="BN129" s="39">
        <v>10</v>
      </c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39"/>
      <c r="DB129" s="39"/>
      <c r="DC129" s="39"/>
      <c r="DD129" s="39"/>
      <c r="DE129" s="39"/>
      <c r="DF129" s="39"/>
      <c r="DG129" s="39"/>
      <c r="DH129" s="39"/>
      <c r="DI129" s="39"/>
      <c r="DJ129" s="39"/>
      <c r="DK129" s="39"/>
      <c r="DL129" s="39"/>
      <c r="DM129" s="39"/>
      <c r="DN129" s="39"/>
      <c r="DO129" s="39"/>
      <c r="DP129" s="39"/>
      <c r="DQ129" s="39"/>
      <c r="DR129" s="39"/>
      <c r="DS129" s="39"/>
      <c r="DT129" s="39"/>
      <c r="DU129" s="39"/>
      <c r="DV129" s="39"/>
      <c r="DW129" s="39"/>
      <c r="DX129" s="39"/>
      <c r="DY129" s="39"/>
      <c r="DZ129" s="39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29">
        <f t="shared" si="4"/>
        <v>0</v>
      </c>
      <c r="FO129" s="5"/>
    </row>
    <row r="130" spans="1:171" s="37" customFormat="1" x14ac:dyDescent="0.25">
      <c r="A130" s="44" t="s">
        <v>256</v>
      </c>
      <c r="B130" s="74">
        <f t="shared" si="3"/>
        <v>0</v>
      </c>
      <c r="C130" s="66">
        <v>10</v>
      </c>
      <c r="D130" s="69">
        <v>44844</v>
      </c>
      <c r="E130" s="76">
        <v>41.18</v>
      </c>
      <c r="F130" s="76">
        <f t="shared" si="5"/>
        <v>0</v>
      </c>
      <c r="G130" s="74">
        <v>30</v>
      </c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16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>
        <v>30</v>
      </c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29">
        <f t="shared" si="4"/>
        <v>0</v>
      </c>
      <c r="FO130" s="5"/>
    </row>
    <row r="131" spans="1:171" s="37" customFormat="1" x14ac:dyDescent="0.25">
      <c r="A131" s="44" t="s">
        <v>256</v>
      </c>
      <c r="B131" s="74">
        <f t="shared" si="3"/>
        <v>150</v>
      </c>
      <c r="C131" s="66">
        <v>10</v>
      </c>
      <c r="D131" s="69">
        <v>44949</v>
      </c>
      <c r="E131" s="76">
        <v>38.01</v>
      </c>
      <c r="F131" s="76">
        <f t="shared" si="5"/>
        <v>5701.5</v>
      </c>
      <c r="G131" s="74">
        <v>20</v>
      </c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16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>
        <v>150</v>
      </c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39"/>
      <c r="DB131" s="39"/>
      <c r="DC131" s="39"/>
      <c r="DD131" s="39"/>
      <c r="DE131" s="39"/>
      <c r="DF131" s="39"/>
      <c r="DG131" s="39"/>
      <c r="DH131" s="39">
        <v>130</v>
      </c>
      <c r="DI131" s="39"/>
      <c r="DJ131" s="39"/>
      <c r="DK131" s="39"/>
      <c r="DL131" s="39"/>
      <c r="DM131" s="39"/>
      <c r="DN131" s="39"/>
      <c r="DO131" s="39"/>
      <c r="DP131" s="39"/>
      <c r="DQ131" s="39"/>
      <c r="DR131" s="39"/>
      <c r="DS131" s="39"/>
      <c r="DT131" s="39"/>
      <c r="DU131" s="39"/>
      <c r="DV131" s="39"/>
      <c r="DW131" s="39"/>
      <c r="DX131" s="39"/>
      <c r="DY131" s="39"/>
      <c r="DZ131" s="3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29">
        <f t="shared" si="4"/>
        <v>0</v>
      </c>
      <c r="FO131" s="5"/>
    </row>
    <row r="132" spans="1:171" s="37" customFormat="1" x14ac:dyDescent="0.25">
      <c r="A132" s="173" t="s">
        <v>542</v>
      </c>
      <c r="B132" s="74">
        <f t="shared" si="3"/>
        <v>0</v>
      </c>
      <c r="C132" s="66">
        <v>10</v>
      </c>
      <c r="D132" s="69">
        <v>44924</v>
      </c>
      <c r="E132" s="76">
        <v>19.809999999999999</v>
      </c>
      <c r="F132" s="76">
        <f t="shared" si="5"/>
        <v>0</v>
      </c>
      <c r="G132" s="74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16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39"/>
      <c r="DB132" s="39"/>
      <c r="DC132" s="39"/>
      <c r="DD132" s="39"/>
      <c r="DE132" s="39"/>
      <c r="DF132" s="39"/>
      <c r="DG132" s="39"/>
      <c r="DH132" s="39"/>
      <c r="DI132" s="39"/>
      <c r="DJ132" s="39"/>
      <c r="DK132" s="39"/>
      <c r="DL132" s="39"/>
      <c r="DM132" s="39"/>
      <c r="DN132" s="39"/>
      <c r="DO132" s="39"/>
      <c r="DP132" s="39"/>
      <c r="DQ132" s="39"/>
      <c r="DR132" s="39"/>
      <c r="DS132" s="39"/>
      <c r="DT132" s="39"/>
      <c r="DU132" s="39"/>
      <c r="DV132" s="39"/>
      <c r="DW132" s="39"/>
      <c r="DX132" s="39"/>
      <c r="DY132" s="39"/>
      <c r="DZ132" s="3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29">
        <f t="shared" si="4"/>
        <v>0</v>
      </c>
      <c r="FO132" s="5"/>
    </row>
    <row r="133" spans="1:171" s="37" customFormat="1" x14ac:dyDescent="0.25">
      <c r="A133" s="173" t="s">
        <v>608</v>
      </c>
      <c r="B133" s="74">
        <f t="shared" si="3"/>
        <v>0</v>
      </c>
      <c r="C133" s="66">
        <v>10</v>
      </c>
      <c r="D133" s="69">
        <v>44980</v>
      </c>
      <c r="E133" s="76">
        <v>31.48</v>
      </c>
      <c r="F133" s="76">
        <f t="shared" si="5"/>
        <v>0</v>
      </c>
      <c r="G133" s="74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16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39"/>
      <c r="DB133" s="39"/>
      <c r="DC133" s="39"/>
      <c r="DD133" s="39"/>
      <c r="DE133" s="39"/>
      <c r="DF133" s="39"/>
      <c r="DG133" s="39"/>
      <c r="DH133" s="39"/>
      <c r="DI133" s="39"/>
      <c r="DJ133" s="39"/>
      <c r="DK133" s="39"/>
      <c r="DL133" s="39"/>
      <c r="DM133" s="39"/>
      <c r="DN133" s="39"/>
      <c r="DO133" s="39"/>
      <c r="DP133" s="39"/>
      <c r="DQ133" s="39"/>
      <c r="DR133" s="39"/>
      <c r="DS133" s="39"/>
      <c r="DT133" s="39"/>
      <c r="DU133" s="39"/>
      <c r="DV133" s="39"/>
      <c r="DW133" s="39"/>
      <c r="DX133" s="39"/>
      <c r="DY133" s="39"/>
      <c r="DZ133" s="3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>
        <v>30</v>
      </c>
      <c r="FA133" s="39">
        <v>30</v>
      </c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29">
        <f t="shared" si="4"/>
        <v>0</v>
      </c>
      <c r="FO133" s="5"/>
    </row>
    <row r="134" spans="1:171" s="37" customFormat="1" x14ac:dyDescent="0.25">
      <c r="A134" s="173" t="s">
        <v>620</v>
      </c>
      <c r="B134" s="74">
        <f t="shared" si="3"/>
        <v>240</v>
      </c>
      <c r="C134" s="66">
        <v>20</v>
      </c>
      <c r="D134" s="69">
        <v>44987</v>
      </c>
      <c r="E134" s="76">
        <v>20.350000000000001</v>
      </c>
      <c r="F134" s="76">
        <f t="shared" si="5"/>
        <v>4884</v>
      </c>
      <c r="G134" s="74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16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>
        <v>240</v>
      </c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39"/>
      <c r="DB134" s="39"/>
      <c r="DC134" s="39"/>
      <c r="DD134" s="39"/>
      <c r="DE134" s="39"/>
      <c r="DF134" s="39"/>
      <c r="DG134" s="39"/>
      <c r="DH134" s="39"/>
      <c r="DI134" s="39"/>
      <c r="DJ134" s="39"/>
      <c r="DK134" s="39"/>
      <c r="DL134" s="39"/>
      <c r="DM134" s="39"/>
      <c r="DN134" s="39"/>
      <c r="DO134" s="39"/>
      <c r="DP134" s="39"/>
      <c r="DQ134" s="39"/>
      <c r="DR134" s="39"/>
      <c r="DS134" s="39"/>
      <c r="DT134" s="39"/>
      <c r="DU134" s="39"/>
      <c r="DV134" s="39"/>
      <c r="DW134" s="39"/>
      <c r="DX134" s="39"/>
      <c r="DY134" s="39"/>
      <c r="DZ134" s="3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>
        <v>240</v>
      </c>
      <c r="FL134" s="39"/>
      <c r="FM134" s="39"/>
      <c r="FN134" s="29">
        <f t="shared" si="4"/>
        <v>0</v>
      </c>
      <c r="FO134" s="5"/>
    </row>
    <row r="135" spans="1:171" s="37" customFormat="1" x14ac:dyDescent="0.25">
      <c r="A135" s="44" t="s">
        <v>363</v>
      </c>
      <c r="B135" s="74">
        <f t="shared" si="3"/>
        <v>50</v>
      </c>
      <c r="C135" s="66">
        <v>10</v>
      </c>
      <c r="D135" s="69">
        <v>44851</v>
      </c>
      <c r="E135" s="76">
        <v>48.42</v>
      </c>
      <c r="F135" s="76">
        <f t="shared" si="5"/>
        <v>2421</v>
      </c>
      <c r="G135" s="74">
        <v>70</v>
      </c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16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>
        <v>20</v>
      </c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39"/>
      <c r="DB135" s="39"/>
      <c r="DC135" s="39"/>
      <c r="DD135" s="39"/>
      <c r="DE135" s="39"/>
      <c r="DF135" s="39"/>
      <c r="DG135" s="39"/>
      <c r="DH135" s="39"/>
      <c r="DI135" s="39"/>
      <c r="DJ135" s="39"/>
      <c r="DK135" s="39"/>
      <c r="DL135" s="39"/>
      <c r="DM135" s="39"/>
      <c r="DN135" s="39"/>
      <c r="DO135" s="39"/>
      <c r="DP135" s="39"/>
      <c r="DQ135" s="39"/>
      <c r="DR135" s="39"/>
      <c r="DS135" s="39"/>
      <c r="DT135" s="39"/>
      <c r="DU135" s="39"/>
      <c r="DV135" s="39"/>
      <c r="DW135" s="39"/>
      <c r="DX135" s="39"/>
      <c r="DY135" s="39"/>
      <c r="DZ135" s="3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>
        <v>50</v>
      </c>
      <c r="FN135" s="29">
        <f t="shared" si="4"/>
        <v>0</v>
      </c>
      <c r="FO135" s="5"/>
    </row>
    <row r="136" spans="1:171" s="37" customFormat="1" x14ac:dyDescent="0.25">
      <c r="A136" s="44" t="s">
        <v>493</v>
      </c>
      <c r="B136" s="74">
        <f t="shared" si="3"/>
        <v>0</v>
      </c>
      <c r="C136" s="66">
        <v>5</v>
      </c>
      <c r="D136" s="69">
        <v>44760</v>
      </c>
      <c r="E136" s="76">
        <v>18.63</v>
      </c>
      <c r="F136" s="76">
        <f t="shared" si="5"/>
        <v>0</v>
      </c>
      <c r="G136" s="74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16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39"/>
      <c r="DB136" s="39"/>
      <c r="DC136" s="39"/>
      <c r="DD136" s="39"/>
      <c r="DE136" s="39"/>
      <c r="DF136" s="39"/>
      <c r="DG136" s="39"/>
      <c r="DH136" s="39"/>
      <c r="DI136" s="39"/>
      <c r="DJ136" s="39"/>
      <c r="DK136" s="39"/>
      <c r="DL136" s="39"/>
      <c r="DM136" s="39"/>
      <c r="DN136" s="39"/>
      <c r="DO136" s="39"/>
      <c r="DP136" s="39"/>
      <c r="DQ136" s="39"/>
      <c r="DR136" s="39"/>
      <c r="DS136" s="39"/>
      <c r="DT136" s="39"/>
      <c r="DU136" s="39"/>
      <c r="DV136" s="39"/>
      <c r="DW136" s="39"/>
      <c r="DX136" s="39"/>
      <c r="DY136" s="39"/>
      <c r="DZ136" s="3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29">
        <f t="shared" si="4"/>
        <v>0</v>
      </c>
      <c r="FO136" s="5"/>
    </row>
    <row r="137" spans="1:171" s="37" customFormat="1" x14ac:dyDescent="0.25">
      <c r="A137" s="44" t="s">
        <v>530</v>
      </c>
      <c r="B137" s="74">
        <f t="shared" si="3"/>
        <v>0</v>
      </c>
      <c r="C137" s="66">
        <v>10</v>
      </c>
      <c r="D137" s="69">
        <v>44844</v>
      </c>
      <c r="E137" s="76">
        <v>52.62</v>
      </c>
      <c r="F137" s="76">
        <f t="shared" si="5"/>
        <v>0</v>
      </c>
      <c r="G137" s="74">
        <v>40</v>
      </c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16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>
        <v>40</v>
      </c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39"/>
      <c r="DB137" s="39"/>
      <c r="DC137" s="39"/>
      <c r="DD137" s="39"/>
      <c r="DE137" s="39"/>
      <c r="DF137" s="39"/>
      <c r="DG137" s="39"/>
      <c r="DH137" s="39"/>
      <c r="DI137" s="39"/>
      <c r="DJ137" s="39"/>
      <c r="DK137" s="39"/>
      <c r="DL137" s="39"/>
      <c r="DM137" s="39"/>
      <c r="DN137" s="39"/>
      <c r="DO137" s="39"/>
      <c r="DP137" s="39"/>
      <c r="DQ137" s="39"/>
      <c r="DR137" s="39"/>
      <c r="DS137" s="39"/>
      <c r="DT137" s="39"/>
      <c r="DU137" s="39"/>
      <c r="DV137" s="39"/>
      <c r="DW137" s="39"/>
      <c r="DX137" s="39"/>
      <c r="DY137" s="39"/>
      <c r="DZ137" s="39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29">
        <f t="shared" si="4"/>
        <v>0</v>
      </c>
      <c r="FO137" s="5"/>
    </row>
    <row r="138" spans="1:171" s="37" customFormat="1" x14ac:dyDescent="0.25">
      <c r="A138" s="44" t="s">
        <v>465</v>
      </c>
      <c r="B138" s="74">
        <f t="shared" si="3"/>
        <v>0</v>
      </c>
      <c r="C138" s="66">
        <v>10</v>
      </c>
      <c r="D138" s="69">
        <v>44816</v>
      </c>
      <c r="E138" s="76">
        <v>80.88</v>
      </c>
      <c r="F138" s="76">
        <f t="shared" si="5"/>
        <v>0</v>
      </c>
      <c r="G138" s="74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16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39"/>
      <c r="DB138" s="39"/>
      <c r="DC138" s="39"/>
      <c r="DD138" s="39"/>
      <c r="DE138" s="39"/>
      <c r="DF138" s="39"/>
      <c r="DG138" s="39"/>
      <c r="DH138" s="39"/>
      <c r="DI138" s="39"/>
      <c r="DJ138" s="39"/>
      <c r="DK138" s="39"/>
      <c r="DL138" s="39"/>
      <c r="DM138" s="39"/>
      <c r="DN138" s="39"/>
      <c r="DO138" s="39"/>
      <c r="DP138" s="39"/>
      <c r="DQ138" s="39"/>
      <c r="DR138" s="39"/>
      <c r="DS138" s="39"/>
      <c r="DT138" s="39"/>
      <c r="DU138" s="39"/>
      <c r="DV138" s="39"/>
      <c r="DW138" s="39"/>
      <c r="DX138" s="39"/>
      <c r="DY138" s="39"/>
      <c r="DZ138" s="39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29">
        <f t="shared" si="4"/>
        <v>0</v>
      </c>
      <c r="FO138" s="5"/>
    </row>
    <row r="139" spans="1:171" s="37" customFormat="1" x14ac:dyDescent="0.25">
      <c r="A139" s="44" t="s">
        <v>143</v>
      </c>
      <c r="B139" s="74">
        <f t="shared" ref="B139:B203" si="6">SUMIF(G$3:FM$3,"прих",G139:FM139)-SUMIF(G$3:FM$3,"отгр",G139:FM139)</f>
        <v>9</v>
      </c>
      <c r="C139" s="66">
        <v>9</v>
      </c>
      <c r="D139" s="69">
        <v>44781</v>
      </c>
      <c r="E139" s="76">
        <v>35.119999999999997</v>
      </c>
      <c r="F139" s="76">
        <f t="shared" si="5"/>
        <v>316.08</v>
      </c>
      <c r="G139" s="74">
        <v>9</v>
      </c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16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>
        <v>9</v>
      </c>
      <c r="CR139" s="39"/>
      <c r="CS139" s="39"/>
      <c r="CT139" s="39"/>
      <c r="CU139" s="39"/>
      <c r="CV139" s="39"/>
      <c r="CW139" s="39"/>
      <c r="CX139" s="39"/>
      <c r="CY139" s="39"/>
      <c r="CZ139" s="39"/>
      <c r="DA139" s="39"/>
      <c r="DB139" s="39"/>
      <c r="DC139" s="39"/>
      <c r="DD139" s="39"/>
      <c r="DE139" s="39"/>
      <c r="DF139" s="39"/>
      <c r="DG139" s="39"/>
      <c r="DH139" s="39"/>
      <c r="DI139" s="39"/>
      <c r="DJ139" s="39"/>
      <c r="DK139" s="39"/>
      <c r="DL139" s="39"/>
      <c r="DM139" s="39"/>
      <c r="DN139" s="39"/>
      <c r="DO139" s="39"/>
      <c r="DP139" s="39"/>
      <c r="DQ139" s="39"/>
      <c r="DR139" s="39"/>
      <c r="DS139" s="39"/>
      <c r="DT139" s="39"/>
      <c r="DU139" s="39"/>
      <c r="DV139" s="39"/>
      <c r="DW139" s="39"/>
      <c r="DX139" s="39"/>
      <c r="DY139" s="39"/>
      <c r="DZ139" s="39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29">
        <f t="shared" ref="FN139:FN203" si="7">$B139-SUMIF($G$3:$KB$3,"",$G139:$KB139)</f>
        <v>0</v>
      </c>
      <c r="FO139" s="5"/>
    </row>
    <row r="140" spans="1:171" s="37" customFormat="1" x14ac:dyDescent="0.25">
      <c r="A140" s="44" t="s">
        <v>142</v>
      </c>
      <c r="B140" s="74">
        <f t="shared" si="6"/>
        <v>0</v>
      </c>
      <c r="C140" s="66">
        <v>10</v>
      </c>
      <c r="D140" s="69">
        <v>44651</v>
      </c>
      <c r="E140" s="76">
        <v>43.13</v>
      </c>
      <c r="F140" s="76">
        <f t="shared" si="5"/>
        <v>0</v>
      </c>
      <c r="G140" s="74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16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  <c r="DC140" s="39"/>
      <c r="DD140" s="39"/>
      <c r="DE140" s="39"/>
      <c r="DF140" s="39"/>
      <c r="DG140" s="39"/>
      <c r="DH140" s="39"/>
      <c r="DI140" s="39"/>
      <c r="DJ140" s="39"/>
      <c r="DK140" s="39"/>
      <c r="DL140" s="39"/>
      <c r="DM140" s="39"/>
      <c r="DN140" s="39"/>
      <c r="DO140" s="39"/>
      <c r="DP140" s="39"/>
      <c r="DQ140" s="39"/>
      <c r="DR140" s="39"/>
      <c r="DS140" s="39"/>
      <c r="DT140" s="39"/>
      <c r="DU140" s="39"/>
      <c r="DV140" s="39"/>
      <c r="DW140" s="39"/>
      <c r="DX140" s="39"/>
      <c r="DY140" s="39"/>
      <c r="DZ140" s="39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29">
        <f t="shared" si="7"/>
        <v>0</v>
      </c>
      <c r="FO140" s="5"/>
    </row>
    <row r="141" spans="1:171" s="37" customFormat="1" x14ac:dyDescent="0.25">
      <c r="A141" s="44" t="s">
        <v>48</v>
      </c>
      <c r="B141" s="74">
        <f t="shared" si="6"/>
        <v>200</v>
      </c>
      <c r="C141" s="66">
        <v>10</v>
      </c>
      <c r="D141" s="69">
        <v>44893</v>
      </c>
      <c r="E141" s="76">
        <v>38.35</v>
      </c>
      <c r="F141" s="76">
        <f t="shared" si="5"/>
        <v>7670</v>
      </c>
      <c r="G141" s="74">
        <v>290</v>
      </c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16"/>
      <c r="X141" s="39"/>
      <c r="Y141" s="39"/>
      <c r="Z141" s="39"/>
      <c r="AA141" s="39"/>
      <c r="AB141" s="39"/>
      <c r="AC141" s="39"/>
      <c r="AD141" s="39"/>
      <c r="AE141" s="39">
        <v>20</v>
      </c>
      <c r="AF141" s="39"/>
      <c r="AG141" s="39"/>
      <c r="AH141" s="39"/>
      <c r="AI141" s="39"/>
      <c r="AJ141" s="39"/>
      <c r="AK141" s="39"/>
      <c r="AL141" s="39"/>
      <c r="AM141" s="39">
        <v>190</v>
      </c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>
        <v>10</v>
      </c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>
        <v>10</v>
      </c>
      <c r="CU141" s="39">
        <v>20</v>
      </c>
      <c r="CV141" s="39"/>
      <c r="CW141" s="39">
        <v>10</v>
      </c>
      <c r="CX141" s="39"/>
      <c r="CY141" s="39"/>
      <c r="CZ141" s="39"/>
      <c r="DA141" s="39"/>
      <c r="DB141" s="39"/>
      <c r="DC141" s="39"/>
      <c r="DD141" s="39"/>
      <c r="DE141" s="39"/>
      <c r="DF141" s="39"/>
      <c r="DG141" s="39"/>
      <c r="DH141" s="39"/>
      <c r="DI141" s="39"/>
      <c r="DJ141" s="39"/>
      <c r="DK141" s="39"/>
      <c r="DL141" s="39"/>
      <c r="DM141" s="39"/>
      <c r="DN141" s="39"/>
      <c r="DO141" s="39"/>
      <c r="DP141" s="39"/>
      <c r="DQ141" s="39"/>
      <c r="DR141" s="39"/>
      <c r="DS141" s="39"/>
      <c r="DT141" s="39"/>
      <c r="DU141" s="39">
        <v>30</v>
      </c>
      <c r="DV141" s="39"/>
      <c r="DW141" s="39"/>
      <c r="DX141" s="39"/>
      <c r="DY141" s="39"/>
      <c r="DZ141" s="39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29">
        <f t="shared" si="7"/>
        <v>0</v>
      </c>
      <c r="FO141" s="5"/>
    </row>
    <row r="142" spans="1:171" s="37" customFormat="1" x14ac:dyDescent="0.25">
      <c r="A142" s="44" t="s">
        <v>501</v>
      </c>
      <c r="B142" s="74">
        <f t="shared" si="6"/>
        <v>0</v>
      </c>
      <c r="C142" s="66">
        <v>1</v>
      </c>
      <c r="D142" s="69">
        <v>44879</v>
      </c>
      <c r="E142" s="76">
        <v>37.659999999999997</v>
      </c>
      <c r="F142" s="76">
        <f t="shared" si="5"/>
        <v>0</v>
      </c>
      <c r="G142" s="74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16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39"/>
      <c r="DB142" s="39"/>
      <c r="DC142" s="39"/>
      <c r="DD142" s="39"/>
      <c r="DE142" s="39"/>
      <c r="DF142" s="39"/>
      <c r="DG142" s="39"/>
      <c r="DH142" s="39"/>
      <c r="DI142" s="39"/>
      <c r="DJ142" s="39"/>
      <c r="DK142" s="39"/>
      <c r="DL142" s="39"/>
      <c r="DM142" s="39"/>
      <c r="DN142" s="39"/>
      <c r="DO142" s="39"/>
      <c r="DP142" s="39"/>
      <c r="DQ142" s="39"/>
      <c r="DR142" s="39"/>
      <c r="DS142" s="39"/>
      <c r="DT142" s="39"/>
      <c r="DU142" s="39"/>
      <c r="DV142" s="39"/>
      <c r="DW142" s="39"/>
      <c r="DX142" s="39"/>
      <c r="DY142" s="39"/>
      <c r="DZ142" s="39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29">
        <f t="shared" si="7"/>
        <v>0</v>
      </c>
      <c r="FO142" s="5"/>
    </row>
    <row r="143" spans="1:171" s="37" customFormat="1" x14ac:dyDescent="0.25">
      <c r="A143" s="44" t="s">
        <v>94</v>
      </c>
      <c r="B143" s="74">
        <f t="shared" si="6"/>
        <v>0</v>
      </c>
      <c r="C143" s="66">
        <v>10</v>
      </c>
      <c r="D143" s="68">
        <v>44924</v>
      </c>
      <c r="E143" s="76">
        <v>77.7</v>
      </c>
      <c r="F143" s="76">
        <f t="shared" si="5"/>
        <v>0</v>
      </c>
      <c r="G143" s="74">
        <v>20</v>
      </c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16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>
        <v>20</v>
      </c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39"/>
      <c r="DB143" s="39"/>
      <c r="DC143" s="39"/>
      <c r="DD143" s="39"/>
      <c r="DE143" s="39"/>
      <c r="DF143" s="39"/>
      <c r="DG143" s="39"/>
      <c r="DH143" s="39"/>
      <c r="DI143" s="39"/>
      <c r="DJ143" s="39"/>
      <c r="DK143" s="39"/>
      <c r="DL143" s="39"/>
      <c r="DM143" s="39"/>
      <c r="DN143" s="39"/>
      <c r="DO143" s="39"/>
      <c r="DP143" s="39"/>
      <c r="DQ143" s="39"/>
      <c r="DR143" s="39"/>
      <c r="DS143" s="39"/>
      <c r="DT143" s="39"/>
      <c r="DU143" s="39"/>
      <c r="DV143" s="39"/>
      <c r="DW143" s="39"/>
      <c r="DX143" s="39"/>
      <c r="DY143" s="39"/>
      <c r="DZ143" s="39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29">
        <f t="shared" si="7"/>
        <v>0</v>
      </c>
      <c r="FO143" s="5"/>
    </row>
    <row r="144" spans="1:171" s="37" customFormat="1" x14ac:dyDescent="0.25">
      <c r="A144" s="60" t="s">
        <v>47</v>
      </c>
      <c r="B144" s="74">
        <f t="shared" si="6"/>
        <v>0</v>
      </c>
      <c r="C144" s="66">
        <v>1</v>
      </c>
      <c r="D144" s="68">
        <v>44697</v>
      </c>
      <c r="E144" s="76">
        <v>48.16</v>
      </c>
      <c r="F144" s="76">
        <f t="shared" si="5"/>
        <v>0</v>
      </c>
      <c r="G144" s="74">
        <v>10</v>
      </c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16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39"/>
      <c r="DA144" s="39"/>
      <c r="DB144" s="39"/>
      <c r="DC144" s="39"/>
      <c r="DD144" s="39"/>
      <c r="DE144" s="39"/>
      <c r="DF144" s="39"/>
      <c r="DG144" s="39"/>
      <c r="DH144" s="39"/>
      <c r="DI144" s="39"/>
      <c r="DJ144" s="39"/>
      <c r="DK144" s="39"/>
      <c r="DL144" s="39"/>
      <c r="DM144" s="39"/>
      <c r="DN144" s="39"/>
      <c r="DO144" s="39"/>
      <c r="DP144" s="39"/>
      <c r="DQ144" s="39"/>
      <c r="DR144" s="39"/>
      <c r="DS144" s="39"/>
      <c r="DT144" s="39"/>
      <c r="DU144" s="39"/>
      <c r="DV144" s="39"/>
      <c r="DW144" s="39"/>
      <c r="DX144" s="39"/>
      <c r="DY144" s="39"/>
      <c r="DZ144" s="39">
        <v>10</v>
      </c>
      <c r="EA144" s="39"/>
      <c r="EB144" s="39"/>
      <c r="EC144" s="39"/>
      <c r="ED144" s="39"/>
      <c r="EE144" s="39"/>
      <c r="EF144" s="39">
        <v>8</v>
      </c>
      <c r="EG144" s="39"/>
      <c r="EH144" s="39"/>
      <c r="EI144" s="39"/>
      <c r="EJ144" s="39"/>
      <c r="EK144" s="39">
        <v>8</v>
      </c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29">
        <f t="shared" si="7"/>
        <v>0</v>
      </c>
      <c r="FO144" s="5"/>
    </row>
    <row r="145" spans="1:171" s="37" customFormat="1" x14ac:dyDescent="0.25">
      <c r="A145" s="60" t="s">
        <v>47</v>
      </c>
      <c r="B145" s="74">
        <f t="shared" si="6"/>
        <v>0</v>
      </c>
      <c r="C145" s="66">
        <v>10</v>
      </c>
      <c r="D145" s="68">
        <v>44979</v>
      </c>
      <c r="E145" s="76">
        <v>47.59</v>
      </c>
      <c r="F145" s="76">
        <f t="shared" si="5"/>
        <v>0</v>
      </c>
      <c r="G145" s="74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16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39"/>
      <c r="DB145" s="39"/>
      <c r="DC145" s="39"/>
      <c r="DD145" s="39"/>
      <c r="DE145" s="39"/>
      <c r="DF145" s="39"/>
      <c r="DG145" s="39"/>
      <c r="DH145" s="39"/>
      <c r="DI145" s="39"/>
      <c r="DJ145" s="39"/>
      <c r="DK145" s="39"/>
      <c r="DL145" s="39"/>
      <c r="DM145" s="39"/>
      <c r="DN145" s="39"/>
      <c r="DO145" s="39"/>
      <c r="DP145" s="39"/>
      <c r="DQ145" s="39">
        <v>1</v>
      </c>
      <c r="DR145" s="39"/>
      <c r="DS145" s="39"/>
      <c r="DT145" s="39"/>
      <c r="DU145" s="39"/>
      <c r="DV145" s="39"/>
      <c r="DW145" s="39"/>
      <c r="DX145" s="39"/>
      <c r="DY145" s="39"/>
      <c r="DZ145" s="39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>
        <v>1</v>
      </c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>
        <v>20</v>
      </c>
      <c r="EX145" s="39"/>
      <c r="EY145" s="39">
        <v>20</v>
      </c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29">
        <f t="shared" si="7"/>
        <v>0</v>
      </c>
      <c r="FO145" s="5"/>
    </row>
    <row r="146" spans="1:171" s="37" customFormat="1" x14ac:dyDescent="0.25">
      <c r="A146" s="60" t="s">
        <v>237</v>
      </c>
      <c r="B146" s="74">
        <f t="shared" si="6"/>
        <v>0</v>
      </c>
      <c r="C146" s="66">
        <v>1.1000000000000001</v>
      </c>
      <c r="D146" s="68">
        <v>44970</v>
      </c>
      <c r="E146" s="76">
        <v>31.4</v>
      </c>
      <c r="F146" s="76">
        <f t="shared" si="5"/>
        <v>0</v>
      </c>
      <c r="G146" s="74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16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39"/>
      <c r="DB146" s="39"/>
      <c r="DC146" s="39"/>
      <c r="DD146" s="39"/>
      <c r="DE146" s="39"/>
      <c r="DF146" s="39"/>
      <c r="DG146" s="39"/>
      <c r="DH146" s="39">
        <v>22</v>
      </c>
      <c r="DI146" s="39"/>
      <c r="DJ146" s="39"/>
      <c r="DK146" s="39">
        <v>22</v>
      </c>
      <c r="DL146" s="39"/>
      <c r="DM146" s="39"/>
      <c r="DN146" s="39"/>
      <c r="DO146" s="39"/>
      <c r="DP146" s="39"/>
      <c r="DQ146" s="39"/>
      <c r="DR146" s="39"/>
      <c r="DS146" s="39"/>
      <c r="DT146" s="39"/>
      <c r="DU146" s="39"/>
      <c r="DV146" s="39"/>
      <c r="DW146" s="39"/>
      <c r="DX146" s="39"/>
      <c r="DY146" s="39"/>
      <c r="DZ146" s="39"/>
      <c r="EA146" s="39"/>
      <c r="EB146" s="39"/>
      <c r="EC146" s="39"/>
      <c r="ED146" s="39"/>
      <c r="EE146" s="39"/>
      <c r="EF146" s="39">
        <v>2.2000000000000002</v>
      </c>
      <c r="EG146" s="39"/>
      <c r="EH146" s="39"/>
      <c r="EI146" s="39"/>
      <c r="EJ146" s="39"/>
      <c r="EK146" s="39">
        <v>2.2000000000000002</v>
      </c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29">
        <f t="shared" si="7"/>
        <v>0</v>
      </c>
      <c r="FO146" s="5"/>
    </row>
    <row r="147" spans="1:171" s="37" customFormat="1" x14ac:dyDescent="0.25">
      <c r="A147" s="44" t="s">
        <v>182</v>
      </c>
      <c r="B147" s="74">
        <f t="shared" si="6"/>
        <v>0</v>
      </c>
      <c r="C147" s="66">
        <v>10</v>
      </c>
      <c r="D147" s="68">
        <v>44979</v>
      </c>
      <c r="E147" s="76">
        <v>33.119999999999997</v>
      </c>
      <c r="F147" s="76">
        <f t="shared" si="5"/>
        <v>0</v>
      </c>
      <c r="G147" s="74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16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39"/>
      <c r="DA147" s="39"/>
      <c r="DB147" s="39"/>
      <c r="DC147" s="39"/>
      <c r="DD147" s="39"/>
      <c r="DE147" s="39"/>
      <c r="DF147" s="39"/>
      <c r="DG147" s="39"/>
      <c r="DH147" s="39"/>
      <c r="DI147" s="39"/>
      <c r="DJ147" s="39"/>
      <c r="DK147" s="39"/>
      <c r="DL147" s="39"/>
      <c r="DM147" s="39"/>
      <c r="DN147" s="39"/>
      <c r="DO147" s="39"/>
      <c r="DP147" s="39"/>
      <c r="DQ147" s="39"/>
      <c r="DR147" s="39"/>
      <c r="DS147" s="39"/>
      <c r="DT147" s="39"/>
      <c r="DU147" s="39"/>
      <c r="DV147" s="39"/>
      <c r="DW147" s="39"/>
      <c r="DX147" s="39"/>
      <c r="DY147" s="39"/>
      <c r="DZ147" s="39"/>
      <c r="EA147" s="39"/>
      <c r="EB147" s="39"/>
      <c r="EC147" s="39"/>
      <c r="ED147" s="39"/>
      <c r="EE147" s="39"/>
      <c r="EF147" s="39">
        <v>2</v>
      </c>
      <c r="EG147" s="39"/>
      <c r="EH147" s="39"/>
      <c r="EI147" s="39"/>
      <c r="EJ147" s="39">
        <v>1</v>
      </c>
      <c r="EK147" s="39">
        <v>1</v>
      </c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>
        <v>10</v>
      </c>
      <c r="EX147" s="39"/>
      <c r="EY147" s="39">
        <v>10</v>
      </c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29">
        <f t="shared" si="7"/>
        <v>0</v>
      </c>
      <c r="FO147" s="5"/>
    </row>
    <row r="148" spans="1:171" s="37" customFormat="1" x14ac:dyDescent="0.25">
      <c r="A148" s="44" t="s">
        <v>334</v>
      </c>
      <c r="B148" s="74">
        <f t="shared" si="6"/>
        <v>0</v>
      </c>
      <c r="C148" s="66">
        <v>0.9</v>
      </c>
      <c r="D148" s="68">
        <v>44970</v>
      </c>
      <c r="E148" s="76">
        <v>46.08</v>
      </c>
      <c r="F148" s="76">
        <f t="shared" si="5"/>
        <v>0</v>
      </c>
      <c r="G148" s="74">
        <v>0.9</v>
      </c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16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>
        <v>0.9</v>
      </c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39"/>
      <c r="DB148" s="39"/>
      <c r="DC148" s="39"/>
      <c r="DD148" s="39"/>
      <c r="DE148" s="39"/>
      <c r="DF148" s="39"/>
      <c r="DG148" s="39"/>
      <c r="DH148" s="39"/>
      <c r="DI148" s="39"/>
      <c r="DJ148" s="39"/>
      <c r="DK148" s="39"/>
      <c r="DL148" s="39"/>
      <c r="DM148" s="39"/>
      <c r="DN148" s="39"/>
      <c r="DO148" s="39"/>
      <c r="DP148" s="39"/>
      <c r="DQ148" s="39"/>
      <c r="DR148" s="39"/>
      <c r="DS148" s="39"/>
      <c r="DT148" s="39"/>
      <c r="DU148" s="39"/>
      <c r="DV148" s="39"/>
      <c r="DW148" s="39"/>
      <c r="DX148" s="39"/>
      <c r="DY148" s="39"/>
      <c r="DZ148" s="39"/>
      <c r="EA148" s="39"/>
      <c r="EB148" s="39"/>
      <c r="EC148" s="39"/>
      <c r="ED148" s="39"/>
      <c r="EE148" s="39"/>
      <c r="EF148" s="39">
        <v>1.8</v>
      </c>
      <c r="EG148" s="39"/>
      <c r="EH148" s="39"/>
      <c r="EI148" s="39">
        <v>1.8</v>
      </c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29">
        <f t="shared" si="7"/>
        <v>0</v>
      </c>
      <c r="FO148" s="5"/>
    </row>
    <row r="149" spans="1:171" s="37" customFormat="1" x14ac:dyDescent="0.25">
      <c r="A149" s="44" t="s">
        <v>491</v>
      </c>
      <c r="B149" s="74">
        <f t="shared" si="6"/>
        <v>0</v>
      </c>
      <c r="C149" s="66">
        <v>1</v>
      </c>
      <c r="D149" s="68">
        <v>44753</v>
      </c>
      <c r="E149" s="76">
        <v>45.7</v>
      </c>
      <c r="F149" s="76">
        <f t="shared" si="5"/>
        <v>0</v>
      </c>
      <c r="G149" s="74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16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39"/>
      <c r="DB149" s="39"/>
      <c r="DC149" s="39"/>
      <c r="DD149" s="39"/>
      <c r="DE149" s="39"/>
      <c r="DF149" s="39"/>
      <c r="DG149" s="39"/>
      <c r="DH149" s="39"/>
      <c r="DI149" s="39"/>
      <c r="DJ149" s="39"/>
      <c r="DK149" s="39"/>
      <c r="DL149" s="39"/>
      <c r="DM149" s="39"/>
      <c r="DN149" s="39"/>
      <c r="DO149" s="39"/>
      <c r="DP149" s="39"/>
      <c r="DQ149" s="39"/>
      <c r="DR149" s="39"/>
      <c r="DS149" s="39"/>
      <c r="DT149" s="39"/>
      <c r="DU149" s="39"/>
      <c r="DV149" s="39"/>
      <c r="DW149" s="39"/>
      <c r="DX149" s="39"/>
      <c r="DY149" s="39"/>
      <c r="DZ149" s="39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29">
        <f t="shared" si="7"/>
        <v>0</v>
      </c>
      <c r="FO149" s="5"/>
    </row>
    <row r="150" spans="1:171" s="37" customFormat="1" x14ac:dyDescent="0.25">
      <c r="A150" s="44" t="s">
        <v>115</v>
      </c>
      <c r="B150" s="74">
        <f t="shared" si="6"/>
        <v>0</v>
      </c>
      <c r="C150" s="66">
        <v>1</v>
      </c>
      <c r="D150" s="68">
        <v>44949</v>
      </c>
      <c r="E150" s="76">
        <v>35.869999999999997</v>
      </c>
      <c r="F150" s="76">
        <f t="shared" si="5"/>
        <v>0</v>
      </c>
      <c r="G150" s="74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16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39"/>
      <c r="DB150" s="39"/>
      <c r="DC150" s="39"/>
      <c r="DD150" s="39"/>
      <c r="DE150" s="39"/>
      <c r="DF150" s="39"/>
      <c r="DG150" s="39"/>
      <c r="DH150" s="39">
        <v>5</v>
      </c>
      <c r="DI150" s="39"/>
      <c r="DJ150" s="39"/>
      <c r="DK150" s="39">
        <v>5</v>
      </c>
      <c r="DL150" s="39"/>
      <c r="DM150" s="39"/>
      <c r="DN150" s="39"/>
      <c r="DO150" s="39"/>
      <c r="DP150" s="39"/>
      <c r="DQ150" s="39"/>
      <c r="DR150" s="39"/>
      <c r="DS150" s="39"/>
      <c r="DT150" s="39"/>
      <c r="DU150" s="39"/>
      <c r="DV150" s="39"/>
      <c r="DW150" s="39"/>
      <c r="DX150" s="39"/>
      <c r="DY150" s="39"/>
      <c r="DZ150" s="39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29">
        <f t="shared" si="7"/>
        <v>0</v>
      </c>
      <c r="FO150" s="5"/>
    </row>
    <row r="151" spans="1:171" s="37" customFormat="1" x14ac:dyDescent="0.25">
      <c r="A151" s="44" t="s">
        <v>115</v>
      </c>
      <c r="B151" s="74">
        <f t="shared" si="6"/>
        <v>0</v>
      </c>
      <c r="C151" s="66">
        <v>10</v>
      </c>
      <c r="D151" s="68">
        <v>44949</v>
      </c>
      <c r="E151" s="76">
        <v>33.78</v>
      </c>
      <c r="F151" s="76">
        <f t="shared" si="5"/>
        <v>0</v>
      </c>
      <c r="G151" s="74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16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>
        <v>10</v>
      </c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  <c r="DG151" s="39"/>
      <c r="DH151" s="39">
        <v>10</v>
      </c>
      <c r="DI151" s="39"/>
      <c r="DJ151" s="39"/>
      <c r="DK151" s="39"/>
      <c r="DL151" s="39"/>
      <c r="DM151" s="39"/>
      <c r="DN151" s="39"/>
      <c r="DO151" s="39"/>
      <c r="DP151" s="39"/>
      <c r="DQ151" s="39"/>
      <c r="DR151" s="39"/>
      <c r="DS151" s="39"/>
      <c r="DT151" s="39"/>
      <c r="DU151" s="39"/>
      <c r="DV151" s="39"/>
      <c r="DW151" s="39"/>
      <c r="DX151" s="39"/>
      <c r="DY151" s="39"/>
      <c r="DZ151" s="39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29">
        <f t="shared" si="7"/>
        <v>0</v>
      </c>
      <c r="FO151" s="5"/>
    </row>
    <row r="152" spans="1:171" s="37" customFormat="1" x14ac:dyDescent="0.25">
      <c r="A152" s="44" t="s">
        <v>293</v>
      </c>
      <c r="B152" s="74">
        <f t="shared" si="6"/>
        <v>0</v>
      </c>
      <c r="C152" s="66">
        <v>1</v>
      </c>
      <c r="D152" s="68">
        <v>44844</v>
      </c>
      <c r="E152" s="76">
        <v>61.78</v>
      </c>
      <c r="F152" s="76">
        <f t="shared" si="5"/>
        <v>0</v>
      </c>
      <c r="G152" s="74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16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39"/>
      <c r="DB152" s="39"/>
      <c r="DC152" s="39"/>
      <c r="DD152" s="39"/>
      <c r="DE152" s="39"/>
      <c r="DF152" s="39"/>
      <c r="DG152" s="39"/>
      <c r="DH152" s="39"/>
      <c r="DI152" s="39"/>
      <c r="DJ152" s="39"/>
      <c r="DK152" s="39"/>
      <c r="DL152" s="39"/>
      <c r="DM152" s="39"/>
      <c r="DN152" s="39"/>
      <c r="DO152" s="39"/>
      <c r="DP152" s="39"/>
      <c r="DQ152" s="39"/>
      <c r="DR152" s="39"/>
      <c r="DS152" s="39"/>
      <c r="DT152" s="39"/>
      <c r="DU152" s="39"/>
      <c r="DV152" s="39"/>
      <c r="DW152" s="39"/>
      <c r="DX152" s="39"/>
      <c r="DY152" s="39"/>
      <c r="DZ152" s="39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29">
        <f t="shared" si="7"/>
        <v>0</v>
      </c>
      <c r="FO152" s="5"/>
    </row>
    <row r="153" spans="1:171" s="37" customFormat="1" x14ac:dyDescent="0.25">
      <c r="A153" s="44" t="s">
        <v>193</v>
      </c>
      <c r="B153" s="74">
        <f t="shared" si="6"/>
        <v>10</v>
      </c>
      <c r="C153" s="66">
        <v>10</v>
      </c>
      <c r="D153" s="68">
        <v>44924</v>
      </c>
      <c r="E153" s="76">
        <v>42</v>
      </c>
      <c r="F153" s="76">
        <f t="shared" si="5"/>
        <v>420</v>
      </c>
      <c r="G153" s="74">
        <v>120</v>
      </c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16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>
        <v>100</v>
      </c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>
        <v>10</v>
      </c>
      <c r="CU153" s="39"/>
      <c r="CV153" s="39"/>
      <c r="CW153" s="39">
        <v>10</v>
      </c>
      <c r="CX153" s="39"/>
      <c r="CY153" s="39"/>
      <c r="CZ153" s="39"/>
      <c r="DA153" s="39"/>
      <c r="DB153" s="39"/>
      <c r="DC153" s="39"/>
      <c r="DD153" s="39"/>
      <c r="DE153" s="39"/>
      <c r="DF153" s="39"/>
      <c r="DG153" s="39"/>
      <c r="DH153" s="39"/>
      <c r="DI153" s="39"/>
      <c r="DJ153" s="39"/>
      <c r="DK153" s="39"/>
      <c r="DL153" s="39"/>
      <c r="DM153" s="39"/>
      <c r="DN153" s="39"/>
      <c r="DO153" s="39"/>
      <c r="DP153" s="39"/>
      <c r="DQ153" s="39"/>
      <c r="DR153" s="39"/>
      <c r="DS153" s="39"/>
      <c r="DT153" s="39"/>
      <c r="DU153" s="39"/>
      <c r="DV153" s="39"/>
      <c r="DW153" s="39"/>
      <c r="DX153" s="39"/>
      <c r="DY153" s="39"/>
      <c r="DZ153" s="39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29">
        <f t="shared" si="7"/>
        <v>0</v>
      </c>
      <c r="FO153" s="5"/>
    </row>
    <row r="154" spans="1:171" s="37" customFormat="1" x14ac:dyDescent="0.25">
      <c r="A154" s="44" t="s">
        <v>193</v>
      </c>
      <c r="B154" s="74">
        <f t="shared" si="6"/>
        <v>130</v>
      </c>
      <c r="C154" s="66">
        <v>10</v>
      </c>
      <c r="D154" s="68">
        <v>44979</v>
      </c>
      <c r="E154" s="76">
        <v>37.96</v>
      </c>
      <c r="F154" s="76">
        <f t="shared" si="5"/>
        <v>4934.8</v>
      </c>
      <c r="G154" s="74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16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>
        <v>130</v>
      </c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39"/>
      <c r="DB154" s="39"/>
      <c r="DC154" s="39"/>
      <c r="DD154" s="39"/>
      <c r="DE154" s="39"/>
      <c r="DF154" s="39"/>
      <c r="DG154" s="39"/>
      <c r="DH154" s="39"/>
      <c r="DI154" s="39"/>
      <c r="DJ154" s="39"/>
      <c r="DK154" s="39"/>
      <c r="DL154" s="39"/>
      <c r="DM154" s="39"/>
      <c r="DN154" s="39"/>
      <c r="DO154" s="39"/>
      <c r="DP154" s="39"/>
      <c r="DQ154" s="39"/>
      <c r="DR154" s="39"/>
      <c r="DS154" s="39"/>
      <c r="DT154" s="39"/>
      <c r="DU154" s="39"/>
      <c r="DV154" s="39"/>
      <c r="DW154" s="39"/>
      <c r="DX154" s="39"/>
      <c r="DY154" s="39"/>
      <c r="DZ154" s="39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>
        <v>130</v>
      </c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29">
        <f t="shared" si="7"/>
        <v>0</v>
      </c>
      <c r="FO154" s="5"/>
    </row>
    <row r="155" spans="1:171" s="37" customFormat="1" x14ac:dyDescent="0.25">
      <c r="A155" s="44" t="s">
        <v>150</v>
      </c>
      <c r="B155" s="74">
        <f t="shared" si="6"/>
        <v>0</v>
      </c>
      <c r="C155" s="66">
        <v>12</v>
      </c>
      <c r="D155" s="68">
        <v>44788</v>
      </c>
      <c r="E155" s="76">
        <v>23.41</v>
      </c>
      <c r="F155" s="76">
        <f t="shared" si="5"/>
        <v>0</v>
      </c>
      <c r="G155" s="74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16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39"/>
      <c r="DB155" s="39"/>
      <c r="DC155" s="39"/>
      <c r="DD155" s="39"/>
      <c r="DE155" s="39"/>
      <c r="DF155" s="39"/>
      <c r="DG155" s="39"/>
      <c r="DH155" s="39"/>
      <c r="DI155" s="39"/>
      <c r="DJ155" s="39"/>
      <c r="DK155" s="39"/>
      <c r="DL155" s="39"/>
      <c r="DM155" s="39"/>
      <c r="DN155" s="39"/>
      <c r="DO155" s="39"/>
      <c r="DP155" s="39"/>
      <c r="DQ155" s="39"/>
      <c r="DR155" s="39"/>
      <c r="DS155" s="39"/>
      <c r="DT155" s="39"/>
      <c r="DU155" s="39"/>
      <c r="DV155" s="39"/>
      <c r="DW155" s="39"/>
      <c r="DX155" s="39"/>
      <c r="DY155" s="39"/>
      <c r="DZ155" s="39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29">
        <f t="shared" si="7"/>
        <v>0</v>
      </c>
      <c r="FO155" s="5"/>
    </row>
    <row r="156" spans="1:171" s="37" customFormat="1" x14ac:dyDescent="0.25">
      <c r="A156" s="44" t="s">
        <v>371</v>
      </c>
      <c r="B156" s="74">
        <f t="shared" si="6"/>
        <v>0</v>
      </c>
      <c r="C156" s="66">
        <v>0.9</v>
      </c>
      <c r="D156" s="68">
        <v>44672</v>
      </c>
      <c r="E156" s="76">
        <v>36.76</v>
      </c>
      <c r="F156" s="76">
        <f t="shared" si="5"/>
        <v>0</v>
      </c>
      <c r="G156" s="74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16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39"/>
      <c r="DB156" s="39"/>
      <c r="DC156" s="39"/>
      <c r="DD156" s="39"/>
      <c r="DE156" s="39"/>
      <c r="DF156" s="39"/>
      <c r="DG156" s="39"/>
      <c r="DH156" s="39"/>
      <c r="DI156" s="39"/>
      <c r="DJ156" s="39"/>
      <c r="DK156" s="39"/>
      <c r="DL156" s="39"/>
      <c r="DM156" s="39"/>
      <c r="DN156" s="39"/>
      <c r="DO156" s="39"/>
      <c r="DP156" s="39"/>
      <c r="DQ156" s="39"/>
      <c r="DR156" s="39"/>
      <c r="DS156" s="39"/>
      <c r="DT156" s="39"/>
      <c r="DU156" s="39"/>
      <c r="DV156" s="39"/>
      <c r="DW156" s="39"/>
      <c r="DX156" s="39"/>
      <c r="DY156" s="39"/>
      <c r="DZ156" s="39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29">
        <f t="shared" si="7"/>
        <v>0</v>
      </c>
      <c r="FO156" s="5"/>
    </row>
    <row r="157" spans="1:171" s="37" customFormat="1" x14ac:dyDescent="0.25">
      <c r="A157" s="44" t="s">
        <v>308</v>
      </c>
      <c r="B157" s="74">
        <f t="shared" si="6"/>
        <v>0</v>
      </c>
      <c r="C157" s="66">
        <v>11</v>
      </c>
      <c r="D157" s="68">
        <v>44697</v>
      </c>
      <c r="E157" s="76">
        <v>23.69</v>
      </c>
      <c r="F157" s="76">
        <f t="shared" si="5"/>
        <v>0</v>
      </c>
      <c r="G157" s="74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16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39"/>
      <c r="DB157" s="39"/>
      <c r="DC157" s="39"/>
      <c r="DD157" s="39"/>
      <c r="DE157" s="39"/>
      <c r="DF157" s="39"/>
      <c r="DG157" s="39"/>
      <c r="DH157" s="39"/>
      <c r="DI157" s="39"/>
      <c r="DJ157" s="39"/>
      <c r="DK157" s="39"/>
      <c r="DL157" s="39"/>
      <c r="DM157" s="39"/>
      <c r="DN157" s="39"/>
      <c r="DO157" s="39"/>
      <c r="DP157" s="39"/>
      <c r="DQ157" s="39"/>
      <c r="DR157" s="39"/>
      <c r="DS157" s="39"/>
      <c r="DT157" s="39"/>
      <c r="DU157" s="39"/>
      <c r="DV157" s="39"/>
      <c r="DW157" s="39"/>
      <c r="DX157" s="39"/>
      <c r="DY157" s="39"/>
      <c r="DZ157" s="39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29">
        <f t="shared" si="7"/>
        <v>0</v>
      </c>
      <c r="FO157" s="5"/>
    </row>
    <row r="158" spans="1:171" s="37" customFormat="1" x14ac:dyDescent="0.25">
      <c r="A158" s="44" t="s">
        <v>331</v>
      </c>
      <c r="B158" s="74">
        <f t="shared" si="6"/>
        <v>0</v>
      </c>
      <c r="C158" s="66">
        <v>10</v>
      </c>
      <c r="D158" s="68">
        <v>44914</v>
      </c>
      <c r="E158" s="76">
        <v>43.58</v>
      </c>
      <c r="F158" s="76">
        <f t="shared" si="5"/>
        <v>0</v>
      </c>
      <c r="G158" s="74">
        <v>50</v>
      </c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16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>
        <v>50</v>
      </c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39"/>
      <c r="DB158" s="39"/>
      <c r="DC158" s="39"/>
      <c r="DD158" s="39"/>
      <c r="DE158" s="39"/>
      <c r="DF158" s="39"/>
      <c r="DG158" s="39"/>
      <c r="DH158" s="39"/>
      <c r="DI158" s="39"/>
      <c r="DJ158" s="39"/>
      <c r="DK158" s="39"/>
      <c r="DL158" s="39"/>
      <c r="DM158" s="39"/>
      <c r="DN158" s="39"/>
      <c r="DO158" s="39"/>
      <c r="DP158" s="39"/>
      <c r="DQ158" s="39"/>
      <c r="DR158" s="39"/>
      <c r="DS158" s="39"/>
      <c r="DT158" s="39"/>
      <c r="DU158" s="39"/>
      <c r="DV158" s="39"/>
      <c r="DW158" s="39"/>
      <c r="DX158" s="39"/>
      <c r="DY158" s="39"/>
      <c r="DZ158" s="39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29">
        <f t="shared" si="7"/>
        <v>0</v>
      </c>
      <c r="FO158" s="5"/>
    </row>
    <row r="159" spans="1:171" s="37" customFormat="1" x14ac:dyDescent="0.25">
      <c r="A159" s="44" t="s">
        <v>274</v>
      </c>
      <c r="B159" s="74">
        <f t="shared" si="6"/>
        <v>0</v>
      </c>
      <c r="C159" s="66">
        <v>10</v>
      </c>
      <c r="D159" s="68">
        <v>44893</v>
      </c>
      <c r="E159" s="76">
        <v>44</v>
      </c>
      <c r="F159" s="76">
        <f t="shared" si="5"/>
        <v>0</v>
      </c>
      <c r="G159" s="74">
        <v>10</v>
      </c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16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>
        <v>10</v>
      </c>
      <c r="CV159" s="39"/>
      <c r="CW159" s="39"/>
      <c r="CX159" s="39"/>
      <c r="CY159" s="39"/>
      <c r="CZ159" s="39"/>
      <c r="DA159" s="39"/>
      <c r="DB159" s="39"/>
      <c r="DC159" s="39"/>
      <c r="DD159" s="39"/>
      <c r="DE159" s="39"/>
      <c r="DF159" s="39"/>
      <c r="DG159" s="39"/>
      <c r="DH159" s="39"/>
      <c r="DI159" s="39"/>
      <c r="DJ159" s="39"/>
      <c r="DK159" s="39"/>
      <c r="DL159" s="39"/>
      <c r="DM159" s="39"/>
      <c r="DN159" s="39"/>
      <c r="DO159" s="39"/>
      <c r="DP159" s="39"/>
      <c r="DQ159" s="39"/>
      <c r="DR159" s="39"/>
      <c r="DS159" s="39"/>
      <c r="DT159" s="39"/>
      <c r="DU159" s="39"/>
      <c r="DV159" s="39"/>
      <c r="DW159" s="39"/>
      <c r="DX159" s="39"/>
      <c r="DY159" s="39"/>
      <c r="DZ159" s="39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29">
        <f t="shared" si="7"/>
        <v>0</v>
      </c>
      <c r="FO159" s="5"/>
    </row>
    <row r="160" spans="1:171" s="37" customFormat="1" x14ac:dyDescent="0.25">
      <c r="A160" s="44" t="s">
        <v>274</v>
      </c>
      <c r="B160" s="74">
        <f t="shared" si="6"/>
        <v>20</v>
      </c>
      <c r="C160" s="66">
        <v>10</v>
      </c>
      <c r="D160" s="68">
        <v>44914</v>
      </c>
      <c r="E160" s="76">
        <v>43.58</v>
      </c>
      <c r="F160" s="76">
        <f t="shared" si="5"/>
        <v>871.59999999999991</v>
      </c>
      <c r="G160" s="74">
        <v>20</v>
      </c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16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>
        <v>20</v>
      </c>
      <c r="CX160" s="39"/>
      <c r="CY160" s="39"/>
      <c r="CZ160" s="39"/>
      <c r="DA160" s="39"/>
      <c r="DB160" s="39"/>
      <c r="DC160" s="39"/>
      <c r="DD160" s="39"/>
      <c r="DE160" s="39"/>
      <c r="DF160" s="39"/>
      <c r="DG160" s="39"/>
      <c r="DH160" s="39"/>
      <c r="DI160" s="39"/>
      <c r="DJ160" s="39"/>
      <c r="DK160" s="39"/>
      <c r="DL160" s="39"/>
      <c r="DM160" s="39"/>
      <c r="DN160" s="39"/>
      <c r="DO160" s="39"/>
      <c r="DP160" s="39"/>
      <c r="DQ160" s="39"/>
      <c r="DR160" s="39"/>
      <c r="DS160" s="39"/>
      <c r="DT160" s="39"/>
      <c r="DU160" s="39"/>
      <c r="DV160" s="39"/>
      <c r="DW160" s="39"/>
      <c r="DX160" s="39"/>
      <c r="DY160" s="39"/>
      <c r="DZ160" s="39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29">
        <f t="shared" si="7"/>
        <v>0</v>
      </c>
      <c r="FO160" s="5"/>
    </row>
    <row r="161" spans="1:171" s="37" customFormat="1" x14ac:dyDescent="0.25">
      <c r="A161" s="44" t="s">
        <v>381</v>
      </c>
      <c r="B161" s="74">
        <f t="shared" si="6"/>
        <v>0</v>
      </c>
      <c r="C161" s="66">
        <v>10</v>
      </c>
      <c r="D161" s="68">
        <v>44851</v>
      </c>
      <c r="E161" s="76">
        <v>34.590000000000003</v>
      </c>
      <c r="F161" s="76">
        <f t="shared" si="5"/>
        <v>0</v>
      </c>
      <c r="G161" s="74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16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39"/>
      <c r="DB161" s="39"/>
      <c r="DC161" s="39"/>
      <c r="DD161" s="39"/>
      <c r="DE161" s="39"/>
      <c r="DF161" s="39"/>
      <c r="DG161" s="39"/>
      <c r="DH161" s="39"/>
      <c r="DI161" s="39"/>
      <c r="DJ161" s="39"/>
      <c r="DK161" s="39"/>
      <c r="DL161" s="39"/>
      <c r="DM161" s="39"/>
      <c r="DN161" s="39"/>
      <c r="DO161" s="39"/>
      <c r="DP161" s="39"/>
      <c r="DQ161" s="39"/>
      <c r="DR161" s="39"/>
      <c r="DS161" s="39"/>
      <c r="DT161" s="39"/>
      <c r="DU161" s="39"/>
      <c r="DV161" s="39"/>
      <c r="DW161" s="39"/>
      <c r="DX161" s="39"/>
      <c r="DY161" s="39"/>
      <c r="DZ161" s="39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29">
        <f t="shared" si="7"/>
        <v>0</v>
      </c>
      <c r="FO161" s="5"/>
    </row>
    <row r="162" spans="1:171" s="37" customFormat="1" x14ac:dyDescent="0.25">
      <c r="A162" s="60" t="s">
        <v>171</v>
      </c>
      <c r="B162" s="74">
        <f t="shared" si="6"/>
        <v>0</v>
      </c>
      <c r="C162" s="66">
        <v>1</v>
      </c>
      <c r="D162" s="68">
        <v>44753</v>
      </c>
      <c r="E162" s="76">
        <v>60.12</v>
      </c>
      <c r="F162" s="76">
        <f t="shared" si="5"/>
        <v>0</v>
      </c>
      <c r="G162" s="74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16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  <c r="DD162" s="39"/>
      <c r="DE162" s="39"/>
      <c r="DF162" s="39"/>
      <c r="DG162" s="39"/>
      <c r="DH162" s="39"/>
      <c r="DI162" s="39"/>
      <c r="DJ162" s="39"/>
      <c r="DK162" s="39"/>
      <c r="DL162" s="39"/>
      <c r="DM162" s="39"/>
      <c r="DN162" s="39"/>
      <c r="DO162" s="39"/>
      <c r="DP162" s="39"/>
      <c r="DQ162" s="39"/>
      <c r="DR162" s="39"/>
      <c r="DS162" s="39"/>
      <c r="DT162" s="39"/>
      <c r="DU162" s="39"/>
      <c r="DV162" s="39"/>
      <c r="DW162" s="39"/>
      <c r="DX162" s="39"/>
      <c r="DY162" s="39"/>
      <c r="DZ162" s="39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29">
        <f t="shared" si="7"/>
        <v>0</v>
      </c>
      <c r="FO162" s="5"/>
    </row>
    <row r="163" spans="1:171" s="37" customFormat="1" x14ac:dyDescent="0.25">
      <c r="A163" s="60" t="s">
        <v>509</v>
      </c>
      <c r="B163" s="74">
        <f t="shared" si="6"/>
        <v>0</v>
      </c>
      <c r="C163" s="66">
        <v>1</v>
      </c>
      <c r="D163" s="68">
        <v>44753</v>
      </c>
      <c r="E163" s="76">
        <v>38.46</v>
      </c>
      <c r="F163" s="76">
        <f t="shared" si="5"/>
        <v>0</v>
      </c>
      <c r="G163" s="74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16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39"/>
      <c r="DB163" s="39"/>
      <c r="DC163" s="39"/>
      <c r="DD163" s="39"/>
      <c r="DE163" s="39"/>
      <c r="DF163" s="39"/>
      <c r="DG163" s="39"/>
      <c r="DH163" s="39"/>
      <c r="DI163" s="39"/>
      <c r="DJ163" s="39"/>
      <c r="DK163" s="39"/>
      <c r="DL163" s="39"/>
      <c r="DM163" s="39"/>
      <c r="DN163" s="39"/>
      <c r="DO163" s="39"/>
      <c r="DP163" s="39"/>
      <c r="DQ163" s="39"/>
      <c r="DR163" s="39"/>
      <c r="DS163" s="39"/>
      <c r="DT163" s="39"/>
      <c r="DU163" s="39"/>
      <c r="DV163" s="39"/>
      <c r="DW163" s="39"/>
      <c r="DX163" s="39"/>
      <c r="DY163" s="39"/>
      <c r="DZ163" s="39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29">
        <f t="shared" si="7"/>
        <v>0</v>
      </c>
      <c r="FO163" s="5"/>
    </row>
    <row r="164" spans="1:171" s="37" customFormat="1" x14ac:dyDescent="0.25">
      <c r="A164" s="60" t="s">
        <v>32</v>
      </c>
      <c r="B164" s="74">
        <f t="shared" si="6"/>
        <v>480</v>
      </c>
      <c r="C164" s="66">
        <v>10</v>
      </c>
      <c r="D164" s="69" t="s">
        <v>563</v>
      </c>
      <c r="E164" s="76">
        <v>39.81</v>
      </c>
      <c r="F164" s="76">
        <f t="shared" si="5"/>
        <v>19108.800000000003</v>
      </c>
      <c r="G164" s="74">
        <v>400</v>
      </c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16"/>
      <c r="X164" s="39"/>
      <c r="Y164" s="39"/>
      <c r="Z164" s="39"/>
      <c r="AA164" s="39"/>
      <c r="AB164" s="39"/>
      <c r="AC164" s="39"/>
      <c r="AD164" s="39"/>
      <c r="AE164" s="39">
        <v>200</v>
      </c>
      <c r="AF164" s="39"/>
      <c r="AG164" s="39"/>
      <c r="AH164" s="39"/>
      <c r="AI164" s="39"/>
      <c r="AJ164" s="39"/>
      <c r="AK164" s="39"/>
      <c r="AL164" s="39"/>
      <c r="AM164" s="39">
        <v>480</v>
      </c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39"/>
      <c r="DB164" s="39"/>
      <c r="DC164" s="39"/>
      <c r="DD164" s="39"/>
      <c r="DE164" s="39"/>
      <c r="DF164" s="39"/>
      <c r="DG164" s="39"/>
      <c r="DH164" s="39"/>
      <c r="DI164" s="39"/>
      <c r="DJ164" s="39"/>
      <c r="DK164" s="39"/>
      <c r="DL164" s="39"/>
      <c r="DM164" s="39"/>
      <c r="DN164" s="39"/>
      <c r="DO164" s="39"/>
      <c r="DP164" s="39"/>
      <c r="DQ164" s="39">
        <v>300</v>
      </c>
      <c r="DR164" s="39"/>
      <c r="DS164" s="39"/>
      <c r="DT164" s="39"/>
      <c r="DU164" s="39"/>
      <c r="DV164" s="39"/>
      <c r="DW164" s="39"/>
      <c r="DX164" s="39"/>
      <c r="DY164" s="39"/>
      <c r="DZ164" s="39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>
        <v>10</v>
      </c>
      <c r="EU164" s="39"/>
      <c r="EV164" s="39">
        <v>10</v>
      </c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29">
        <f t="shared" si="7"/>
        <v>0</v>
      </c>
      <c r="FO164" s="5"/>
    </row>
    <row r="165" spans="1:171" s="37" customFormat="1" x14ac:dyDescent="0.25">
      <c r="A165" s="60" t="s">
        <v>347</v>
      </c>
      <c r="B165" s="74">
        <f t="shared" si="6"/>
        <v>0</v>
      </c>
      <c r="C165" s="66">
        <v>1</v>
      </c>
      <c r="D165" s="69">
        <v>44753</v>
      </c>
      <c r="E165" s="76">
        <v>48.1</v>
      </c>
      <c r="F165" s="76">
        <f t="shared" si="5"/>
        <v>0</v>
      </c>
      <c r="G165" s="74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16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39"/>
      <c r="DB165" s="39"/>
      <c r="DC165" s="39"/>
      <c r="DD165" s="39"/>
      <c r="DE165" s="39"/>
      <c r="DF165" s="39"/>
      <c r="DG165" s="39"/>
      <c r="DH165" s="39"/>
      <c r="DI165" s="39"/>
      <c r="DJ165" s="39"/>
      <c r="DK165" s="39"/>
      <c r="DL165" s="39"/>
      <c r="DM165" s="39"/>
      <c r="DN165" s="39"/>
      <c r="DO165" s="39"/>
      <c r="DP165" s="39"/>
      <c r="DQ165" s="39"/>
      <c r="DR165" s="39"/>
      <c r="DS165" s="39"/>
      <c r="DT165" s="39"/>
      <c r="DU165" s="39"/>
      <c r="DV165" s="39"/>
      <c r="DW165" s="39"/>
      <c r="DX165" s="39"/>
      <c r="DY165" s="39"/>
      <c r="DZ165" s="39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29">
        <f t="shared" si="7"/>
        <v>0</v>
      </c>
      <c r="FO165" s="5"/>
    </row>
    <row r="166" spans="1:171" s="37" customFormat="1" x14ac:dyDescent="0.25">
      <c r="A166" s="60" t="s">
        <v>61</v>
      </c>
      <c r="B166" s="74">
        <f t="shared" si="6"/>
        <v>0</v>
      </c>
      <c r="C166" s="66">
        <v>1</v>
      </c>
      <c r="D166" s="69">
        <v>44753</v>
      </c>
      <c r="E166" s="76">
        <v>45.7</v>
      </c>
      <c r="F166" s="76">
        <f t="shared" si="5"/>
        <v>0</v>
      </c>
      <c r="G166" s="74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16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39"/>
      <c r="DB166" s="39"/>
      <c r="DC166" s="39"/>
      <c r="DD166" s="39"/>
      <c r="DE166" s="39"/>
      <c r="DF166" s="39"/>
      <c r="DG166" s="39"/>
      <c r="DH166" s="39"/>
      <c r="DI166" s="39"/>
      <c r="DJ166" s="39"/>
      <c r="DK166" s="39"/>
      <c r="DL166" s="39"/>
      <c r="DM166" s="39"/>
      <c r="DN166" s="39"/>
      <c r="DO166" s="39"/>
      <c r="DP166" s="39"/>
      <c r="DQ166" s="39"/>
      <c r="DR166" s="39"/>
      <c r="DS166" s="39"/>
      <c r="DT166" s="39"/>
      <c r="DU166" s="39"/>
      <c r="DV166" s="39"/>
      <c r="DW166" s="39"/>
      <c r="DX166" s="39"/>
      <c r="DY166" s="39"/>
      <c r="DZ166" s="39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29">
        <f t="shared" si="7"/>
        <v>0</v>
      </c>
      <c r="FO166" s="5"/>
    </row>
    <row r="167" spans="1:171" s="37" customFormat="1" ht="14.25" customHeight="1" x14ac:dyDescent="0.25">
      <c r="A167" s="44" t="s">
        <v>163</v>
      </c>
      <c r="B167" s="74">
        <f t="shared" si="6"/>
        <v>0</v>
      </c>
      <c r="C167" s="66">
        <v>1</v>
      </c>
      <c r="D167" s="120">
        <v>44753</v>
      </c>
      <c r="E167" s="76">
        <v>45.7</v>
      </c>
      <c r="F167" s="76">
        <f t="shared" si="5"/>
        <v>0</v>
      </c>
      <c r="G167" s="74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16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39"/>
      <c r="DB167" s="39"/>
      <c r="DC167" s="39"/>
      <c r="DD167" s="39"/>
      <c r="DE167" s="39"/>
      <c r="DF167" s="39"/>
      <c r="DG167" s="39"/>
      <c r="DH167" s="39"/>
      <c r="DI167" s="39"/>
      <c r="DJ167" s="39"/>
      <c r="DK167" s="39"/>
      <c r="DL167" s="39"/>
      <c r="DM167" s="39"/>
      <c r="DN167" s="39"/>
      <c r="DO167" s="39"/>
      <c r="DP167" s="39"/>
      <c r="DQ167" s="39"/>
      <c r="DR167" s="39"/>
      <c r="DS167" s="39"/>
      <c r="DT167" s="39"/>
      <c r="DU167" s="39"/>
      <c r="DV167" s="39"/>
      <c r="DW167" s="39"/>
      <c r="DX167" s="39"/>
      <c r="DY167" s="39"/>
      <c r="DZ167" s="39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29">
        <f t="shared" si="7"/>
        <v>0</v>
      </c>
      <c r="FO167" s="5"/>
    </row>
    <row r="168" spans="1:171" s="37" customFormat="1" ht="14.25" customHeight="1" x14ac:dyDescent="0.25">
      <c r="A168" s="44" t="s">
        <v>176</v>
      </c>
      <c r="B168" s="74">
        <f t="shared" si="6"/>
        <v>0</v>
      </c>
      <c r="C168" s="66">
        <v>10</v>
      </c>
      <c r="D168" s="120">
        <v>44970</v>
      </c>
      <c r="E168" s="76">
        <v>54.44</v>
      </c>
      <c r="F168" s="76">
        <f t="shared" si="5"/>
        <v>0</v>
      </c>
      <c r="G168" s="74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16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39"/>
      <c r="DB168" s="39"/>
      <c r="DC168" s="39"/>
      <c r="DD168" s="39"/>
      <c r="DE168" s="39"/>
      <c r="DF168" s="39"/>
      <c r="DG168" s="39"/>
      <c r="DH168" s="39"/>
      <c r="DI168" s="39"/>
      <c r="DJ168" s="39"/>
      <c r="DK168" s="39"/>
      <c r="DL168" s="39"/>
      <c r="DM168" s="39"/>
      <c r="DN168" s="39"/>
      <c r="DO168" s="39"/>
      <c r="DP168" s="39"/>
      <c r="DQ168" s="39"/>
      <c r="DR168" s="39"/>
      <c r="DS168" s="39"/>
      <c r="DT168" s="39"/>
      <c r="DU168" s="39"/>
      <c r="DV168" s="39"/>
      <c r="DW168" s="39"/>
      <c r="DX168" s="39"/>
      <c r="DY168" s="39"/>
      <c r="DZ168" s="39"/>
      <c r="EA168" s="39"/>
      <c r="EB168" s="39"/>
      <c r="EC168" s="39"/>
      <c r="ED168" s="39"/>
      <c r="EE168" s="39"/>
      <c r="EF168" s="39">
        <v>10</v>
      </c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>
        <v>10</v>
      </c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29">
        <f t="shared" si="7"/>
        <v>0</v>
      </c>
      <c r="FO168" s="5"/>
    </row>
    <row r="169" spans="1:171" s="37" customFormat="1" ht="13.5" customHeight="1" x14ac:dyDescent="0.25">
      <c r="A169" s="60" t="s">
        <v>51</v>
      </c>
      <c r="B169" s="74">
        <f t="shared" si="6"/>
        <v>0</v>
      </c>
      <c r="C169" s="66">
        <v>10</v>
      </c>
      <c r="D169" s="68">
        <v>44914</v>
      </c>
      <c r="E169" s="76">
        <v>34.880000000000003</v>
      </c>
      <c r="F169" s="76">
        <f t="shared" si="5"/>
        <v>0</v>
      </c>
      <c r="G169" s="74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16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39"/>
      <c r="DB169" s="39"/>
      <c r="DC169" s="39"/>
      <c r="DD169" s="39"/>
      <c r="DE169" s="39"/>
      <c r="DF169" s="39"/>
      <c r="DG169" s="39"/>
      <c r="DH169" s="39"/>
      <c r="DI169" s="39"/>
      <c r="DJ169" s="39"/>
      <c r="DK169" s="39"/>
      <c r="DL169" s="39"/>
      <c r="DM169" s="39"/>
      <c r="DN169" s="39"/>
      <c r="DO169" s="39"/>
      <c r="DP169" s="39"/>
      <c r="DQ169" s="39"/>
      <c r="DR169" s="39"/>
      <c r="DS169" s="39"/>
      <c r="DT169" s="39"/>
      <c r="DU169" s="39"/>
      <c r="DV169" s="39"/>
      <c r="DW169" s="39"/>
      <c r="DX169" s="39"/>
      <c r="DY169" s="39"/>
      <c r="DZ169" s="39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29">
        <f t="shared" si="7"/>
        <v>0</v>
      </c>
      <c r="FO169" s="5"/>
    </row>
    <row r="170" spans="1:171" s="37" customFormat="1" ht="13.5" customHeight="1" x14ac:dyDescent="0.25">
      <c r="A170" s="60" t="s">
        <v>144</v>
      </c>
      <c r="B170" s="74">
        <f t="shared" si="6"/>
        <v>0</v>
      </c>
      <c r="C170" s="66">
        <v>1</v>
      </c>
      <c r="D170" s="69">
        <v>44970</v>
      </c>
      <c r="E170" s="76">
        <v>52.36</v>
      </c>
      <c r="F170" s="76">
        <f t="shared" ref="F170:F228" si="8">E170*B170</f>
        <v>0</v>
      </c>
      <c r="G170" s="74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16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>
        <v>60</v>
      </c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39"/>
      <c r="DB170" s="39"/>
      <c r="DC170" s="39"/>
      <c r="DD170" s="39"/>
      <c r="DE170" s="39"/>
      <c r="DF170" s="39"/>
      <c r="DG170" s="39"/>
      <c r="DH170" s="39"/>
      <c r="DI170" s="39"/>
      <c r="DJ170" s="39"/>
      <c r="DK170" s="39"/>
      <c r="DL170" s="39"/>
      <c r="DM170" s="39"/>
      <c r="DN170" s="39"/>
      <c r="DO170" s="39"/>
      <c r="DP170" s="39"/>
      <c r="DQ170" s="39">
        <v>60</v>
      </c>
      <c r="DR170" s="39"/>
      <c r="DS170" s="39"/>
      <c r="DT170" s="39"/>
      <c r="DU170" s="39"/>
      <c r="DV170" s="39"/>
      <c r="DW170" s="39"/>
      <c r="DX170" s="39"/>
      <c r="DY170" s="39"/>
      <c r="DZ170" s="39"/>
      <c r="EA170" s="39"/>
      <c r="EB170" s="39"/>
      <c r="EC170" s="39"/>
      <c r="ED170" s="39"/>
      <c r="EE170" s="39"/>
      <c r="EF170" s="39">
        <v>6</v>
      </c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>
        <v>6</v>
      </c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29">
        <f t="shared" si="7"/>
        <v>0</v>
      </c>
      <c r="FO170" s="5"/>
    </row>
    <row r="171" spans="1:171" s="37" customFormat="1" ht="13.5" customHeight="1" x14ac:dyDescent="0.25">
      <c r="A171" s="60" t="s">
        <v>463</v>
      </c>
      <c r="B171" s="74">
        <f t="shared" si="6"/>
        <v>0</v>
      </c>
      <c r="C171" s="66">
        <v>10</v>
      </c>
      <c r="D171" s="69">
        <v>44824</v>
      </c>
      <c r="E171" s="76">
        <v>27.53</v>
      </c>
      <c r="F171" s="76">
        <f t="shared" si="8"/>
        <v>0</v>
      </c>
      <c r="G171" s="74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16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39"/>
      <c r="DB171" s="39"/>
      <c r="DC171" s="39"/>
      <c r="DD171" s="39"/>
      <c r="DE171" s="39"/>
      <c r="DF171" s="39"/>
      <c r="DG171" s="39"/>
      <c r="DH171" s="39"/>
      <c r="DI171" s="39"/>
      <c r="DJ171" s="39"/>
      <c r="DK171" s="39"/>
      <c r="DL171" s="39"/>
      <c r="DM171" s="39"/>
      <c r="DN171" s="39"/>
      <c r="DO171" s="39"/>
      <c r="DP171" s="39"/>
      <c r="DQ171" s="39"/>
      <c r="DR171" s="39"/>
      <c r="DS171" s="39"/>
      <c r="DT171" s="39"/>
      <c r="DU171" s="39"/>
      <c r="DV171" s="39"/>
      <c r="DW171" s="39"/>
      <c r="DX171" s="39"/>
      <c r="DY171" s="39"/>
      <c r="DZ171" s="39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29">
        <f t="shared" si="7"/>
        <v>0</v>
      </c>
      <c r="FO171" s="5"/>
    </row>
    <row r="172" spans="1:171" s="37" customFormat="1" ht="13.5" customHeight="1" x14ac:dyDescent="0.25">
      <c r="A172" s="60" t="s">
        <v>494</v>
      </c>
      <c r="B172" s="74">
        <f t="shared" si="6"/>
        <v>0</v>
      </c>
      <c r="C172" s="66">
        <v>1</v>
      </c>
      <c r="D172" s="69">
        <v>44753</v>
      </c>
      <c r="E172" s="76">
        <v>28.87</v>
      </c>
      <c r="F172" s="76">
        <f t="shared" si="8"/>
        <v>0</v>
      </c>
      <c r="G172" s="74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16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39"/>
      <c r="DB172" s="39"/>
      <c r="DC172" s="39"/>
      <c r="DD172" s="39"/>
      <c r="DE172" s="39"/>
      <c r="DF172" s="39"/>
      <c r="DG172" s="39"/>
      <c r="DH172" s="39"/>
      <c r="DI172" s="39"/>
      <c r="DJ172" s="39"/>
      <c r="DK172" s="39"/>
      <c r="DL172" s="39"/>
      <c r="DM172" s="39"/>
      <c r="DN172" s="39"/>
      <c r="DO172" s="39"/>
      <c r="DP172" s="39"/>
      <c r="DQ172" s="39"/>
      <c r="DR172" s="39"/>
      <c r="DS172" s="39"/>
      <c r="DT172" s="39"/>
      <c r="DU172" s="39"/>
      <c r="DV172" s="39"/>
      <c r="DW172" s="39"/>
      <c r="DX172" s="39"/>
      <c r="DY172" s="39"/>
      <c r="DZ172" s="39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29">
        <f t="shared" si="7"/>
        <v>0</v>
      </c>
      <c r="FO172" s="5"/>
    </row>
    <row r="173" spans="1:171" s="37" customFormat="1" x14ac:dyDescent="0.25">
      <c r="A173" s="24" t="s">
        <v>15</v>
      </c>
      <c r="B173" s="74">
        <f t="shared" si="6"/>
        <v>0</v>
      </c>
      <c r="C173" s="66">
        <v>9</v>
      </c>
      <c r="D173" s="68">
        <v>44956</v>
      </c>
      <c r="E173" s="76">
        <v>50.43</v>
      </c>
      <c r="F173" s="76">
        <f t="shared" si="8"/>
        <v>0</v>
      </c>
      <c r="G173" s="74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16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>
        <v>27</v>
      </c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39"/>
      <c r="DB173" s="39"/>
      <c r="DC173" s="39"/>
      <c r="DD173" s="39"/>
      <c r="DE173" s="39"/>
      <c r="DF173" s="39"/>
      <c r="DG173" s="39"/>
      <c r="DH173" s="39"/>
      <c r="DI173" s="39"/>
      <c r="DJ173" s="39"/>
      <c r="DK173" s="39"/>
      <c r="DL173" s="39"/>
      <c r="DM173" s="39"/>
      <c r="DN173" s="39"/>
      <c r="DO173" s="39"/>
      <c r="DP173" s="39"/>
      <c r="DQ173" s="39">
        <v>27</v>
      </c>
      <c r="DR173" s="39"/>
      <c r="DS173" s="39"/>
      <c r="DT173" s="39"/>
      <c r="DU173" s="39"/>
      <c r="DV173" s="39"/>
      <c r="DW173" s="39"/>
      <c r="DX173" s="39"/>
      <c r="DY173" s="39"/>
      <c r="DZ173" s="39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29">
        <f t="shared" si="7"/>
        <v>0</v>
      </c>
      <c r="FO173" s="5"/>
    </row>
    <row r="174" spans="1:171" s="37" customFormat="1" x14ac:dyDescent="0.25">
      <c r="A174" s="60" t="s">
        <v>95</v>
      </c>
      <c r="B174" s="74">
        <f t="shared" si="6"/>
        <v>0</v>
      </c>
      <c r="C174" s="66">
        <v>8</v>
      </c>
      <c r="D174" s="68">
        <v>44956</v>
      </c>
      <c r="E174" s="76">
        <v>71.400000000000006</v>
      </c>
      <c r="F174" s="76">
        <f t="shared" si="8"/>
        <v>0</v>
      </c>
      <c r="G174" s="74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16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39"/>
      <c r="DB174" s="39"/>
      <c r="DC174" s="39"/>
      <c r="DD174" s="39"/>
      <c r="DE174" s="39"/>
      <c r="DF174" s="39"/>
      <c r="DG174" s="39"/>
      <c r="DH174" s="39"/>
      <c r="DI174" s="39"/>
      <c r="DJ174" s="39"/>
      <c r="DK174" s="39"/>
      <c r="DL174" s="39"/>
      <c r="DM174" s="39"/>
      <c r="DN174" s="39"/>
      <c r="DO174" s="39"/>
      <c r="DP174" s="39"/>
      <c r="DQ174" s="39">
        <v>32</v>
      </c>
      <c r="DR174" s="39"/>
      <c r="DS174" s="39"/>
      <c r="DT174" s="39">
        <v>32</v>
      </c>
      <c r="DU174" s="39"/>
      <c r="DV174" s="39"/>
      <c r="DW174" s="39"/>
      <c r="DX174" s="39"/>
      <c r="DY174" s="39"/>
      <c r="DZ174" s="39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29">
        <f t="shared" si="7"/>
        <v>0</v>
      </c>
      <c r="FO174" s="5"/>
    </row>
    <row r="175" spans="1:171" s="37" customFormat="1" x14ac:dyDescent="0.25">
      <c r="A175" s="44" t="s">
        <v>59</v>
      </c>
      <c r="B175" s="74">
        <f t="shared" si="6"/>
        <v>16</v>
      </c>
      <c r="C175" s="66">
        <v>8</v>
      </c>
      <c r="D175" s="69">
        <v>44970</v>
      </c>
      <c r="E175" s="76">
        <v>52.51</v>
      </c>
      <c r="F175" s="76">
        <f t="shared" si="8"/>
        <v>840.16</v>
      </c>
      <c r="G175" s="74">
        <v>32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16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>
        <v>16</v>
      </c>
      <c r="BZ175" s="39">
        <v>16</v>
      </c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>
        <v>8</v>
      </c>
      <c r="CU175" s="39">
        <v>8</v>
      </c>
      <c r="CV175" s="39"/>
      <c r="CW175" s="39"/>
      <c r="CX175" s="39"/>
      <c r="CY175" s="39"/>
      <c r="CZ175" s="39"/>
      <c r="DA175" s="39"/>
      <c r="DB175" s="39"/>
      <c r="DC175" s="39"/>
      <c r="DD175" s="39"/>
      <c r="DE175" s="39"/>
      <c r="DF175" s="39"/>
      <c r="DG175" s="39"/>
      <c r="DH175" s="39">
        <v>16</v>
      </c>
      <c r="DI175" s="39"/>
      <c r="DJ175" s="39"/>
      <c r="DK175" s="39"/>
      <c r="DL175" s="39"/>
      <c r="DM175" s="39"/>
      <c r="DN175" s="39"/>
      <c r="DO175" s="39"/>
      <c r="DP175" s="39"/>
      <c r="DQ175" s="39"/>
      <c r="DR175" s="39"/>
      <c r="DS175" s="39"/>
      <c r="DT175" s="39"/>
      <c r="DU175" s="39"/>
      <c r="DV175" s="39"/>
      <c r="DW175" s="39"/>
      <c r="DX175" s="39"/>
      <c r="DY175" s="39"/>
      <c r="DZ175" s="39"/>
      <c r="EA175" s="39"/>
      <c r="EB175" s="39"/>
      <c r="EC175" s="39"/>
      <c r="ED175" s="39"/>
      <c r="EE175" s="39"/>
      <c r="EF175" s="39">
        <v>16</v>
      </c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29">
        <f t="shared" si="7"/>
        <v>16</v>
      </c>
      <c r="FO175" s="5"/>
    </row>
    <row r="176" spans="1:171" s="37" customFormat="1" x14ac:dyDescent="0.25">
      <c r="A176" s="44" t="s">
        <v>482</v>
      </c>
      <c r="B176" s="74">
        <f t="shared" si="6"/>
        <v>0</v>
      </c>
      <c r="C176" s="66">
        <v>5</v>
      </c>
      <c r="D176" s="69">
        <v>44886</v>
      </c>
      <c r="E176" s="76">
        <v>30.73</v>
      </c>
      <c r="F176" s="76">
        <f t="shared" si="8"/>
        <v>0</v>
      </c>
      <c r="G176" s="74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16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39"/>
      <c r="DB176" s="39"/>
      <c r="DC176" s="39"/>
      <c r="DD176" s="39"/>
      <c r="DE176" s="39"/>
      <c r="DF176" s="39"/>
      <c r="DG176" s="39"/>
      <c r="DH176" s="39"/>
      <c r="DI176" s="39"/>
      <c r="DJ176" s="39"/>
      <c r="DK176" s="39"/>
      <c r="DL176" s="39"/>
      <c r="DM176" s="39"/>
      <c r="DN176" s="39"/>
      <c r="DO176" s="39"/>
      <c r="DP176" s="39"/>
      <c r="DQ176" s="39"/>
      <c r="DR176" s="39"/>
      <c r="DS176" s="39"/>
      <c r="DT176" s="39"/>
      <c r="DU176" s="39"/>
      <c r="DV176" s="39"/>
      <c r="DW176" s="39"/>
      <c r="DX176" s="39"/>
      <c r="DY176" s="39"/>
      <c r="DZ176" s="39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29">
        <f t="shared" si="7"/>
        <v>0</v>
      </c>
      <c r="FO176" s="5"/>
    </row>
    <row r="177" spans="1:171" s="37" customFormat="1" x14ac:dyDescent="0.25">
      <c r="A177" s="60" t="s">
        <v>211</v>
      </c>
      <c r="B177" s="74">
        <f t="shared" si="6"/>
        <v>10</v>
      </c>
      <c r="C177" s="66">
        <v>10</v>
      </c>
      <c r="D177" s="69">
        <v>44979</v>
      </c>
      <c r="E177" s="76">
        <v>20.71</v>
      </c>
      <c r="F177" s="76">
        <f t="shared" si="8"/>
        <v>207.10000000000002</v>
      </c>
      <c r="G177" s="74">
        <v>10</v>
      </c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16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>
        <v>10</v>
      </c>
      <c r="AU177" s="39"/>
      <c r="AV177" s="39"/>
      <c r="AW177" s="39"/>
      <c r="AX177" s="39"/>
      <c r="AY177" s="39"/>
      <c r="AZ177" s="39"/>
      <c r="BA177" s="39"/>
      <c r="BB177" s="39"/>
      <c r="BC177" s="39"/>
      <c r="BD177" s="39">
        <v>30</v>
      </c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>
        <v>10</v>
      </c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>
        <v>10</v>
      </c>
      <c r="CY177" s="39"/>
      <c r="CZ177" s="39"/>
      <c r="DA177" s="39"/>
      <c r="DB177" s="39"/>
      <c r="DC177" s="39"/>
      <c r="DD177" s="39"/>
      <c r="DE177" s="39"/>
      <c r="DF177" s="39"/>
      <c r="DG177" s="39"/>
      <c r="DH177" s="39">
        <v>10</v>
      </c>
      <c r="DI177" s="39"/>
      <c r="DJ177" s="39"/>
      <c r="DK177" s="39"/>
      <c r="DL177" s="39"/>
      <c r="DM177" s="39"/>
      <c r="DN177" s="39"/>
      <c r="DO177" s="39"/>
      <c r="DP177" s="39"/>
      <c r="DQ177" s="39"/>
      <c r="DR177" s="39"/>
      <c r="DS177" s="39"/>
      <c r="DT177" s="39"/>
      <c r="DU177" s="39"/>
      <c r="DV177" s="39"/>
      <c r="DW177" s="39"/>
      <c r="DX177" s="39"/>
      <c r="DY177" s="39"/>
      <c r="DZ177" s="39"/>
      <c r="EA177" s="39"/>
      <c r="EB177" s="39"/>
      <c r="EC177" s="39"/>
      <c r="ED177" s="39"/>
      <c r="EE177" s="39"/>
      <c r="EF177" s="39">
        <v>10</v>
      </c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>
        <v>40</v>
      </c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29">
        <f t="shared" si="7"/>
        <v>10</v>
      </c>
      <c r="FO177" s="5"/>
    </row>
    <row r="178" spans="1:171" s="37" customFormat="1" x14ac:dyDescent="0.25">
      <c r="A178" s="60" t="s">
        <v>187</v>
      </c>
      <c r="B178" s="74">
        <f t="shared" si="6"/>
        <v>0</v>
      </c>
      <c r="C178" s="66">
        <v>8</v>
      </c>
      <c r="D178" s="69">
        <v>44879</v>
      </c>
      <c r="E178" s="76">
        <v>64.27</v>
      </c>
      <c r="F178" s="76">
        <f t="shared" si="8"/>
        <v>0</v>
      </c>
      <c r="G178" s="74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16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39"/>
      <c r="DB178" s="39"/>
      <c r="DC178" s="39"/>
      <c r="DD178" s="39"/>
      <c r="DE178" s="39"/>
      <c r="DF178" s="39"/>
      <c r="DG178" s="39"/>
      <c r="DH178" s="39"/>
      <c r="DI178" s="39"/>
      <c r="DJ178" s="39"/>
      <c r="DK178" s="39"/>
      <c r="DL178" s="39"/>
      <c r="DM178" s="39"/>
      <c r="DN178" s="39"/>
      <c r="DO178" s="39"/>
      <c r="DP178" s="39"/>
      <c r="DQ178" s="39"/>
      <c r="DR178" s="39"/>
      <c r="DS178" s="39"/>
      <c r="DT178" s="39"/>
      <c r="DU178" s="39"/>
      <c r="DV178" s="39"/>
      <c r="DW178" s="39"/>
      <c r="DX178" s="39"/>
      <c r="DY178" s="39"/>
      <c r="DZ178" s="39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29">
        <f t="shared" si="7"/>
        <v>0</v>
      </c>
      <c r="FO178" s="5"/>
    </row>
    <row r="179" spans="1:171" s="37" customFormat="1" x14ac:dyDescent="0.25">
      <c r="A179" s="60" t="s">
        <v>267</v>
      </c>
      <c r="B179" s="74">
        <f t="shared" si="6"/>
        <v>0</v>
      </c>
      <c r="C179" s="66">
        <v>1</v>
      </c>
      <c r="D179" s="69">
        <v>44795</v>
      </c>
      <c r="E179" s="76">
        <v>41.25</v>
      </c>
      <c r="F179" s="76">
        <f t="shared" si="8"/>
        <v>0</v>
      </c>
      <c r="G179" s="74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16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39"/>
      <c r="DB179" s="39"/>
      <c r="DC179" s="39"/>
      <c r="DD179" s="39"/>
      <c r="DE179" s="39"/>
      <c r="DF179" s="39"/>
      <c r="DG179" s="39"/>
      <c r="DH179" s="39"/>
      <c r="DI179" s="39"/>
      <c r="DJ179" s="39"/>
      <c r="DK179" s="39"/>
      <c r="DL179" s="39"/>
      <c r="DM179" s="39"/>
      <c r="DN179" s="39"/>
      <c r="DO179" s="39"/>
      <c r="DP179" s="39"/>
      <c r="DQ179" s="39"/>
      <c r="DR179" s="39"/>
      <c r="DS179" s="39"/>
      <c r="DT179" s="39"/>
      <c r="DU179" s="39"/>
      <c r="DV179" s="39"/>
      <c r="DW179" s="39"/>
      <c r="DX179" s="39"/>
      <c r="DY179" s="39"/>
      <c r="DZ179" s="39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29">
        <f t="shared" si="7"/>
        <v>0</v>
      </c>
      <c r="FO179" s="5"/>
    </row>
    <row r="180" spans="1:171" s="37" customFormat="1" x14ac:dyDescent="0.25">
      <c r="A180" s="60" t="s">
        <v>226</v>
      </c>
      <c r="B180" s="74">
        <f t="shared" si="6"/>
        <v>0</v>
      </c>
      <c r="C180" s="66">
        <v>0.9</v>
      </c>
      <c r="D180" s="69">
        <v>44879</v>
      </c>
      <c r="E180" s="76">
        <v>42.1</v>
      </c>
      <c r="F180" s="76">
        <f t="shared" si="8"/>
        <v>0</v>
      </c>
      <c r="G180" s="74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16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39"/>
      <c r="DB180" s="39"/>
      <c r="DC180" s="39"/>
      <c r="DD180" s="39"/>
      <c r="DE180" s="39"/>
      <c r="DF180" s="39"/>
      <c r="DG180" s="39"/>
      <c r="DH180" s="39"/>
      <c r="DI180" s="39"/>
      <c r="DJ180" s="39"/>
      <c r="DK180" s="39"/>
      <c r="DL180" s="39"/>
      <c r="DM180" s="39"/>
      <c r="DN180" s="39"/>
      <c r="DO180" s="39"/>
      <c r="DP180" s="39"/>
      <c r="DQ180" s="39"/>
      <c r="DR180" s="39"/>
      <c r="DS180" s="39"/>
      <c r="DT180" s="39"/>
      <c r="DU180" s="39"/>
      <c r="DV180" s="39"/>
      <c r="DW180" s="39"/>
      <c r="DX180" s="39"/>
      <c r="DY180" s="39"/>
      <c r="DZ180" s="39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29">
        <f t="shared" si="7"/>
        <v>0</v>
      </c>
      <c r="FO180" s="5"/>
    </row>
    <row r="181" spans="1:171" s="37" customFormat="1" x14ac:dyDescent="0.25">
      <c r="A181" s="60" t="s">
        <v>244</v>
      </c>
      <c r="B181" s="74">
        <f t="shared" si="6"/>
        <v>50</v>
      </c>
      <c r="C181" s="66">
        <v>10</v>
      </c>
      <c r="D181" s="68">
        <v>44788</v>
      </c>
      <c r="E181" s="76">
        <v>35.11</v>
      </c>
      <c r="F181" s="76">
        <f t="shared" si="8"/>
        <v>1755.5</v>
      </c>
      <c r="G181" s="74">
        <v>50</v>
      </c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16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>
        <v>50</v>
      </c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  <c r="DD181" s="39"/>
      <c r="DE181" s="39"/>
      <c r="DF181" s="39"/>
      <c r="DG181" s="39"/>
      <c r="DH181" s="39"/>
      <c r="DI181" s="39"/>
      <c r="DJ181" s="39"/>
      <c r="DK181" s="39"/>
      <c r="DL181" s="39"/>
      <c r="DM181" s="39"/>
      <c r="DN181" s="39"/>
      <c r="DO181" s="39"/>
      <c r="DP181" s="39"/>
      <c r="DQ181" s="39"/>
      <c r="DR181" s="39"/>
      <c r="DS181" s="39"/>
      <c r="DT181" s="39"/>
      <c r="DU181" s="39"/>
      <c r="DV181" s="39"/>
      <c r="DW181" s="39"/>
      <c r="DX181" s="39"/>
      <c r="DY181" s="39"/>
      <c r="DZ181" s="39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29">
        <f t="shared" si="7"/>
        <v>0</v>
      </c>
      <c r="FO181" s="5"/>
    </row>
    <row r="182" spans="1:171" s="37" customFormat="1" x14ac:dyDescent="0.25">
      <c r="A182" s="60" t="s">
        <v>490</v>
      </c>
      <c r="B182" s="74">
        <f t="shared" si="6"/>
        <v>0</v>
      </c>
      <c r="C182" s="66">
        <v>1</v>
      </c>
      <c r="D182" s="68">
        <v>44753</v>
      </c>
      <c r="E182" s="76">
        <v>45.7</v>
      </c>
      <c r="F182" s="76">
        <f t="shared" si="8"/>
        <v>0</v>
      </c>
      <c r="G182" s="74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16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  <c r="DD182" s="39"/>
      <c r="DE182" s="39"/>
      <c r="DF182" s="39"/>
      <c r="DG182" s="39"/>
      <c r="DH182" s="39"/>
      <c r="DI182" s="39"/>
      <c r="DJ182" s="39"/>
      <c r="DK182" s="39"/>
      <c r="DL182" s="39"/>
      <c r="DM182" s="39"/>
      <c r="DN182" s="39"/>
      <c r="DO182" s="39"/>
      <c r="DP182" s="39"/>
      <c r="DQ182" s="39"/>
      <c r="DR182" s="39"/>
      <c r="DS182" s="39"/>
      <c r="DT182" s="39"/>
      <c r="DU182" s="39"/>
      <c r="DV182" s="39"/>
      <c r="DW182" s="39"/>
      <c r="DX182" s="39"/>
      <c r="DY182" s="39"/>
      <c r="DZ182" s="39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29">
        <f t="shared" si="7"/>
        <v>0</v>
      </c>
      <c r="FO182" s="5"/>
    </row>
    <row r="183" spans="1:171" s="37" customFormat="1" x14ac:dyDescent="0.25">
      <c r="A183" s="60" t="s">
        <v>529</v>
      </c>
      <c r="B183" s="74">
        <f t="shared" si="6"/>
        <v>0</v>
      </c>
      <c r="C183" s="66">
        <v>9</v>
      </c>
      <c r="D183" s="68">
        <v>44949</v>
      </c>
      <c r="E183" s="76">
        <v>33.78</v>
      </c>
      <c r="F183" s="76">
        <f t="shared" si="8"/>
        <v>0</v>
      </c>
      <c r="G183" s="74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16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  <c r="DD183" s="39"/>
      <c r="DE183" s="39"/>
      <c r="DF183" s="39"/>
      <c r="DG183" s="39"/>
      <c r="DH183" s="39">
        <v>27</v>
      </c>
      <c r="DI183" s="39"/>
      <c r="DJ183" s="39"/>
      <c r="DK183" s="39">
        <v>27</v>
      </c>
      <c r="DL183" s="39"/>
      <c r="DM183" s="39"/>
      <c r="DN183" s="39"/>
      <c r="DO183" s="39"/>
      <c r="DP183" s="39"/>
      <c r="DQ183" s="39"/>
      <c r="DR183" s="39"/>
      <c r="DS183" s="39"/>
      <c r="DT183" s="39"/>
      <c r="DU183" s="39"/>
      <c r="DV183" s="39"/>
      <c r="DW183" s="39"/>
      <c r="DX183" s="39"/>
      <c r="DY183" s="39"/>
      <c r="DZ183" s="39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29">
        <f t="shared" si="7"/>
        <v>0</v>
      </c>
      <c r="FO183" s="5"/>
    </row>
    <row r="184" spans="1:171" s="37" customFormat="1" x14ac:dyDescent="0.25">
      <c r="A184" s="60" t="s">
        <v>1</v>
      </c>
      <c r="B184" s="74">
        <f t="shared" si="6"/>
        <v>0</v>
      </c>
      <c r="C184" s="66">
        <v>1</v>
      </c>
      <c r="D184" s="69">
        <v>44816</v>
      </c>
      <c r="E184" s="76">
        <v>39.29</v>
      </c>
      <c r="F184" s="76">
        <f t="shared" si="8"/>
        <v>0</v>
      </c>
      <c r="G184" s="74">
        <v>1</v>
      </c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16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>
        <v>1</v>
      </c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  <c r="DD184" s="39"/>
      <c r="DE184" s="39"/>
      <c r="DF184" s="39"/>
      <c r="DG184" s="39"/>
      <c r="DH184" s="39"/>
      <c r="DI184" s="39"/>
      <c r="DJ184" s="39"/>
      <c r="DK184" s="39"/>
      <c r="DL184" s="39"/>
      <c r="DM184" s="39"/>
      <c r="DN184" s="39"/>
      <c r="DO184" s="39"/>
      <c r="DP184" s="39"/>
      <c r="DQ184" s="39"/>
      <c r="DR184" s="39"/>
      <c r="DS184" s="39"/>
      <c r="DT184" s="39"/>
      <c r="DU184" s="39"/>
      <c r="DV184" s="39"/>
      <c r="DW184" s="39"/>
      <c r="DX184" s="39"/>
      <c r="DY184" s="39"/>
      <c r="DZ184" s="39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29">
        <f t="shared" si="7"/>
        <v>0</v>
      </c>
      <c r="FO184" s="5"/>
    </row>
    <row r="185" spans="1:171" s="37" customFormat="1" x14ac:dyDescent="0.25">
      <c r="A185" s="60" t="s">
        <v>1</v>
      </c>
      <c r="B185" s="74">
        <f t="shared" si="6"/>
        <v>100</v>
      </c>
      <c r="C185" s="66">
        <v>10</v>
      </c>
      <c r="D185" s="69">
        <v>44970</v>
      </c>
      <c r="E185" s="76">
        <v>30.05</v>
      </c>
      <c r="F185" s="76">
        <f t="shared" si="8"/>
        <v>3005</v>
      </c>
      <c r="G185" s="74">
        <v>160</v>
      </c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16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>
        <v>120</v>
      </c>
      <c r="AP185" s="39"/>
      <c r="AQ185" s="39"/>
      <c r="AR185" s="39">
        <v>10</v>
      </c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  <c r="DD185" s="39"/>
      <c r="DE185" s="39">
        <v>30</v>
      </c>
      <c r="DF185" s="39"/>
      <c r="DG185" s="39"/>
      <c r="DH185" s="39"/>
      <c r="DI185" s="39"/>
      <c r="DJ185" s="39"/>
      <c r="DK185" s="39"/>
      <c r="DL185" s="39"/>
      <c r="DM185" s="39"/>
      <c r="DN185" s="39"/>
      <c r="DO185" s="39"/>
      <c r="DP185" s="39"/>
      <c r="DQ185" s="39"/>
      <c r="DR185" s="39"/>
      <c r="DS185" s="39"/>
      <c r="DT185" s="39"/>
      <c r="DU185" s="39"/>
      <c r="DV185" s="39"/>
      <c r="DW185" s="39"/>
      <c r="DX185" s="39"/>
      <c r="DY185" s="39"/>
      <c r="DZ185" s="39"/>
      <c r="EA185" s="39"/>
      <c r="EB185" s="39"/>
      <c r="EC185" s="39"/>
      <c r="ED185" s="39"/>
      <c r="EE185" s="39"/>
      <c r="EF185" s="39">
        <v>100</v>
      </c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29">
        <f t="shared" si="7"/>
        <v>100</v>
      </c>
      <c r="FO185" s="5"/>
    </row>
    <row r="186" spans="1:171" s="37" customFormat="1" x14ac:dyDescent="0.25">
      <c r="A186" s="60" t="s">
        <v>1</v>
      </c>
      <c r="B186" s="74">
        <f t="shared" si="6"/>
        <v>10</v>
      </c>
      <c r="C186" s="66">
        <v>10</v>
      </c>
      <c r="D186" s="69">
        <v>44924</v>
      </c>
      <c r="E186" s="76">
        <v>30.14</v>
      </c>
      <c r="F186" s="76">
        <f t="shared" si="8"/>
        <v>301.39999999999998</v>
      </c>
      <c r="G186" s="74">
        <v>40</v>
      </c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16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>
        <v>20</v>
      </c>
      <c r="AP186" s="39"/>
      <c r="AQ186" s="39">
        <v>10</v>
      </c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  <c r="DD186" s="39"/>
      <c r="DE186" s="39"/>
      <c r="DF186" s="39"/>
      <c r="DG186" s="39"/>
      <c r="DH186" s="39"/>
      <c r="DI186" s="39"/>
      <c r="DJ186" s="39"/>
      <c r="DK186" s="39"/>
      <c r="DL186" s="39"/>
      <c r="DM186" s="39"/>
      <c r="DN186" s="39"/>
      <c r="DO186" s="39"/>
      <c r="DP186" s="39"/>
      <c r="DQ186" s="39"/>
      <c r="DR186" s="39"/>
      <c r="DS186" s="39"/>
      <c r="DT186" s="39"/>
      <c r="DU186" s="39"/>
      <c r="DV186" s="39"/>
      <c r="DW186" s="39"/>
      <c r="DX186" s="39"/>
      <c r="DY186" s="39"/>
      <c r="DZ186" s="39"/>
      <c r="EA186" s="39"/>
      <c r="EB186" s="39"/>
      <c r="EC186" s="39">
        <v>10</v>
      </c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29">
        <f t="shared" si="7"/>
        <v>0</v>
      </c>
      <c r="FO186" s="5"/>
    </row>
    <row r="187" spans="1:171" s="37" customFormat="1" x14ac:dyDescent="0.25">
      <c r="A187" s="60" t="s">
        <v>304</v>
      </c>
      <c r="B187" s="74">
        <f t="shared" si="6"/>
        <v>0</v>
      </c>
      <c r="C187" s="66">
        <v>1.1000000000000001</v>
      </c>
      <c r="D187" s="68">
        <v>44802</v>
      </c>
      <c r="E187" s="76">
        <v>127.31</v>
      </c>
      <c r="F187" s="76">
        <f t="shared" si="8"/>
        <v>0</v>
      </c>
      <c r="G187" s="74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16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  <c r="DD187" s="39"/>
      <c r="DE187" s="39"/>
      <c r="DF187" s="39"/>
      <c r="DG187" s="39"/>
      <c r="DH187" s="39"/>
      <c r="DI187" s="39"/>
      <c r="DJ187" s="39"/>
      <c r="DK187" s="39"/>
      <c r="DL187" s="39"/>
      <c r="DM187" s="39"/>
      <c r="DN187" s="39"/>
      <c r="DO187" s="39"/>
      <c r="DP187" s="39"/>
      <c r="DQ187" s="39"/>
      <c r="DR187" s="39"/>
      <c r="DS187" s="39"/>
      <c r="DT187" s="39"/>
      <c r="DU187" s="39"/>
      <c r="DV187" s="39"/>
      <c r="DW187" s="39"/>
      <c r="DX187" s="39"/>
      <c r="DY187" s="39"/>
      <c r="DZ187" s="39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29">
        <f t="shared" si="7"/>
        <v>0</v>
      </c>
      <c r="FO187" s="5"/>
    </row>
    <row r="188" spans="1:171" s="37" customFormat="1" x14ac:dyDescent="0.25">
      <c r="A188" s="60" t="s">
        <v>72</v>
      </c>
      <c r="B188" s="74">
        <f t="shared" si="6"/>
        <v>10</v>
      </c>
      <c r="C188" s="66">
        <v>10</v>
      </c>
      <c r="D188" s="68">
        <v>44924</v>
      </c>
      <c r="E188" s="76">
        <v>39.909999999999997</v>
      </c>
      <c r="F188" s="76">
        <f t="shared" si="8"/>
        <v>399.09999999999997</v>
      </c>
      <c r="G188" s="74">
        <v>10</v>
      </c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16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>
        <v>10</v>
      </c>
      <c r="CX188" s="39"/>
      <c r="CY188" s="39"/>
      <c r="CZ188" s="39"/>
      <c r="DA188" s="39"/>
      <c r="DB188" s="39"/>
      <c r="DC188" s="39"/>
      <c r="DD188" s="39"/>
      <c r="DE188" s="39"/>
      <c r="DF188" s="39"/>
      <c r="DG188" s="39"/>
      <c r="DH188" s="39"/>
      <c r="DI188" s="39"/>
      <c r="DJ188" s="39"/>
      <c r="DK188" s="39"/>
      <c r="DL188" s="39"/>
      <c r="DM188" s="39"/>
      <c r="DN188" s="39"/>
      <c r="DO188" s="39"/>
      <c r="DP188" s="39"/>
      <c r="DQ188" s="39"/>
      <c r="DR188" s="39"/>
      <c r="DS188" s="39"/>
      <c r="DT188" s="39"/>
      <c r="DU188" s="39"/>
      <c r="DV188" s="39"/>
      <c r="DW188" s="39"/>
      <c r="DX188" s="39"/>
      <c r="DY188" s="39"/>
      <c r="DZ188" s="39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29">
        <f t="shared" si="7"/>
        <v>0</v>
      </c>
      <c r="FO188" s="5"/>
    </row>
    <row r="189" spans="1:171" s="37" customFormat="1" x14ac:dyDescent="0.25">
      <c r="A189" s="60" t="s">
        <v>72</v>
      </c>
      <c r="B189" s="74">
        <f t="shared" si="6"/>
        <v>0</v>
      </c>
      <c r="C189" s="66">
        <v>1</v>
      </c>
      <c r="D189" s="68">
        <v>44844</v>
      </c>
      <c r="E189" s="76">
        <v>48.05</v>
      </c>
      <c r="F189" s="76">
        <f t="shared" si="8"/>
        <v>0</v>
      </c>
      <c r="G189" s="74">
        <v>2</v>
      </c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16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>
        <v>2</v>
      </c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  <c r="DD189" s="39"/>
      <c r="DE189" s="39"/>
      <c r="DF189" s="39"/>
      <c r="DG189" s="39"/>
      <c r="DH189" s="39"/>
      <c r="DI189" s="39"/>
      <c r="DJ189" s="39"/>
      <c r="DK189" s="39"/>
      <c r="DL189" s="39"/>
      <c r="DM189" s="39"/>
      <c r="DN189" s="39"/>
      <c r="DO189" s="39"/>
      <c r="DP189" s="39"/>
      <c r="DQ189" s="39"/>
      <c r="DR189" s="39"/>
      <c r="DS189" s="39"/>
      <c r="DT189" s="39"/>
      <c r="DU189" s="39"/>
      <c r="DV189" s="39"/>
      <c r="DW189" s="39"/>
      <c r="DX189" s="39"/>
      <c r="DY189" s="39"/>
      <c r="DZ189" s="39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29">
        <f t="shared" si="7"/>
        <v>0</v>
      </c>
      <c r="FO189" s="5"/>
    </row>
    <row r="190" spans="1:171" s="37" customFormat="1" x14ac:dyDescent="0.25">
      <c r="A190" s="44" t="s">
        <v>158</v>
      </c>
      <c r="B190" s="74">
        <f t="shared" si="6"/>
        <v>50</v>
      </c>
      <c r="C190" s="66">
        <v>10</v>
      </c>
      <c r="D190" s="68">
        <v>44851</v>
      </c>
      <c r="E190" s="76">
        <v>57.64</v>
      </c>
      <c r="F190" s="76">
        <f t="shared" si="8"/>
        <v>2882</v>
      </c>
      <c r="G190" s="74">
        <v>50</v>
      </c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16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  <c r="DD190" s="39"/>
      <c r="DE190" s="39"/>
      <c r="DF190" s="39"/>
      <c r="DG190" s="39"/>
      <c r="DH190" s="39"/>
      <c r="DI190" s="39"/>
      <c r="DJ190" s="39"/>
      <c r="DK190" s="39"/>
      <c r="DL190" s="39"/>
      <c r="DM190" s="39"/>
      <c r="DN190" s="39"/>
      <c r="DO190" s="39"/>
      <c r="DP190" s="39"/>
      <c r="DQ190" s="39"/>
      <c r="DR190" s="39"/>
      <c r="DS190" s="39"/>
      <c r="DT190" s="39"/>
      <c r="DU190" s="39"/>
      <c r="DV190" s="39"/>
      <c r="DW190" s="39"/>
      <c r="DX190" s="39"/>
      <c r="DY190" s="39"/>
      <c r="DZ190" s="39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>
        <v>50</v>
      </c>
      <c r="FN190" s="29">
        <f t="shared" si="7"/>
        <v>0</v>
      </c>
      <c r="FO190" s="5"/>
    </row>
    <row r="191" spans="1:171" s="37" customFormat="1" x14ac:dyDescent="0.25">
      <c r="A191" s="44" t="s">
        <v>531</v>
      </c>
      <c r="B191" s="74">
        <f t="shared" si="6"/>
        <v>0</v>
      </c>
      <c r="C191" s="66">
        <v>1</v>
      </c>
      <c r="D191" s="68">
        <v>44970</v>
      </c>
      <c r="E191" s="76">
        <v>37.72</v>
      </c>
      <c r="F191" s="76">
        <f t="shared" si="8"/>
        <v>0</v>
      </c>
      <c r="G191" s="74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16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  <c r="DD191" s="39"/>
      <c r="DE191" s="39"/>
      <c r="DF191" s="39"/>
      <c r="DG191" s="39"/>
      <c r="DH191" s="39"/>
      <c r="DI191" s="39"/>
      <c r="DJ191" s="39"/>
      <c r="DK191" s="39"/>
      <c r="DL191" s="39"/>
      <c r="DM191" s="39"/>
      <c r="DN191" s="39"/>
      <c r="DO191" s="39"/>
      <c r="DP191" s="39"/>
      <c r="DQ191" s="39"/>
      <c r="DR191" s="39"/>
      <c r="DS191" s="39"/>
      <c r="DT191" s="39"/>
      <c r="DU191" s="39"/>
      <c r="DV191" s="39"/>
      <c r="DW191" s="39"/>
      <c r="DX191" s="39"/>
      <c r="DY191" s="39"/>
      <c r="DZ191" s="39"/>
      <c r="EA191" s="39"/>
      <c r="EB191" s="39"/>
      <c r="EC191" s="39"/>
      <c r="ED191" s="39"/>
      <c r="EE191" s="39"/>
      <c r="EF191" s="39">
        <v>7</v>
      </c>
      <c r="EG191" s="39"/>
      <c r="EH191" s="39"/>
      <c r="EI191" s="39"/>
      <c r="EJ191" s="39"/>
      <c r="EK191" s="39"/>
      <c r="EL191" s="39"/>
      <c r="EM191" s="39">
        <v>7</v>
      </c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29">
        <f t="shared" si="7"/>
        <v>0</v>
      </c>
      <c r="FO191" s="5"/>
    </row>
    <row r="192" spans="1:171" s="37" customFormat="1" x14ac:dyDescent="0.25">
      <c r="A192" s="44" t="s">
        <v>510</v>
      </c>
      <c r="B192" s="74">
        <f t="shared" si="6"/>
        <v>0</v>
      </c>
      <c r="C192" s="66">
        <v>0.9</v>
      </c>
      <c r="D192" s="68">
        <v>44753</v>
      </c>
      <c r="E192" s="76">
        <v>43.28</v>
      </c>
      <c r="F192" s="76">
        <f t="shared" si="8"/>
        <v>0</v>
      </c>
      <c r="G192" s="74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16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  <c r="DD192" s="39"/>
      <c r="DE192" s="39"/>
      <c r="DF192" s="39"/>
      <c r="DG192" s="39"/>
      <c r="DH192" s="39"/>
      <c r="DI192" s="39"/>
      <c r="DJ192" s="39"/>
      <c r="DK192" s="39"/>
      <c r="DL192" s="39"/>
      <c r="DM192" s="39"/>
      <c r="DN192" s="39"/>
      <c r="DO192" s="39"/>
      <c r="DP192" s="39"/>
      <c r="DQ192" s="39"/>
      <c r="DR192" s="39"/>
      <c r="DS192" s="39"/>
      <c r="DT192" s="39"/>
      <c r="DU192" s="39"/>
      <c r="DV192" s="39"/>
      <c r="DW192" s="39"/>
      <c r="DX192" s="39"/>
      <c r="DY192" s="39"/>
      <c r="DZ192" s="39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29">
        <f t="shared" si="7"/>
        <v>0</v>
      </c>
      <c r="FO192" s="5"/>
    </row>
    <row r="193" spans="1:171" s="37" customFormat="1" x14ac:dyDescent="0.25">
      <c r="A193" s="44" t="s">
        <v>311</v>
      </c>
      <c r="B193" s="74">
        <f t="shared" si="6"/>
        <v>0</v>
      </c>
      <c r="C193" s="66">
        <v>1</v>
      </c>
      <c r="D193" s="68">
        <v>44970</v>
      </c>
      <c r="E193" s="76">
        <v>60.76</v>
      </c>
      <c r="F193" s="76">
        <f t="shared" si="8"/>
        <v>0</v>
      </c>
      <c r="G193" s="74">
        <v>10</v>
      </c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16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>
        <v>10</v>
      </c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  <c r="DD193" s="39"/>
      <c r="DE193" s="39"/>
      <c r="DF193" s="39"/>
      <c r="DG193" s="39"/>
      <c r="DH193" s="39"/>
      <c r="DI193" s="39"/>
      <c r="DJ193" s="39"/>
      <c r="DK193" s="39"/>
      <c r="DL193" s="39"/>
      <c r="DM193" s="39"/>
      <c r="DN193" s="39"/>
      <c r="DO193" s="39"/>
      <c r="DP193" s="39"/>
      <c r="DQ193" s="39"/>
      <c r="DR193" s="39"/>
      <c r="DS193" s="39"/>
      <c r="DT193" s="39"/>
      <c r="DU193" s="39"/>
      <c r="DV193" s="39"/>
      <c r="DW193" s="39"/>
      <c r="DX193" s="39"/>
      <c r="DY193" s="39"/>
      <c r="DZ193" s="39"/>
      <c r="EA193" s="39"/>
      <c r="EB193" s="39"/>
      <c r="EC193" s="39"/>
      <c r="ED193" s="39"/>
      <c r="EE193" s="39"/>
      <c r="EF193" s="39">
        <v>1</v>
      </c>
      <c r="EG193" s="39"/>
      <c r="EH193" s="39"/>
      <c r="EI193" s="39"/>
      <c r="EJ193" s="39">
        <v>1</v>
      </c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29">
        <f t="shared" si="7"/>
        <v>0</v>
      </c>
      <c r="FO193" s="5"/>
    </row>
    <row r="194" spans="1:171" s="37" customFormat="1" x14ac:dyDescent="0.25">
      <c r="A194" s="44" t="s">
        <v>209</v>
      </c>
      <c r="B194" s="74">
        <f t="shared" si="6"/>
        <v>0</v>
      </c>
      <c r="C194" s="66">
        <v>10</v>
      </c>
      <c r="D194" s="68">
        <v>44651</v>
      </c>
      <c r="E194" s="76">
        <v>43.13</v>
      </c>
      <c r="F194" s="76">
        <f t="shared" si="8"/>
        <v>0</v>
      </c>
      <c r="G194" s="74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155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  <c r="DD194" s="39"/>
      <c r="DE194" s="39"/>
      <c r="DF194" s="39"/>
      <c r="DG194" s="39"/>
      <c r="DH194" s="39"/>
      <c r="DI194" s="39"/>
      <c r="DJ194" s="39"/>
      <c r="DK194" s="39"/>
      <c r="DL194" s="39"/>
      <c r="DM194" s="39"/>
      <c r="DN194" s="39"/>
      <c r="DO194" s="39"/>
      <c r="DP194" s="39"/>
      <c r="DQ194" s="39"/>
      <c r="DR194" s="39"/>
      <c r="DS194" s="39"/>
      <c r="DT194" s="39"/>
      <c r="DU194" s="39"/>
      <c r="DV194" s="39"/>
      <c r="DW194" s="39"/>
      <c r="DX194" s="39"/>
      <c r="DY194" s="39"/>
      <c r="DZ194" s="39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29">
        <f t="shared" si="7"/>
        <v>0</v>
      </c>
      <c r="FO194" s="5"/>
    </row>
    <row r="195" spans="1:171" s="37" customFormat="1" x14ac:dyDescent="0.25">
      <c r="A195" s="44" t="s">
        <v>252</v>
      </c>
      <c r="B195" s="74">
        <f t="shared" si="6"/>
        <v>0</v>
      </c>
      <c r="C195" s="66">
        <v>1</v>
      </c>
      <c r="D195" s="68">
        <v>44886</v>
      </c>
      <c r="E195" s="76">
        <v>37.32</v>
      </c>
      <c r="F195" s="76">
        <f t="shared" si="8"/>
        <v>0</v>
      </c>
      <c r="G195" s="74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155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29">
        <f t="shared" si="7"/>
        <v>0</v>
      </c>
      <c r="FO195" s="5"/>
    </row>
    <row r="196" spans="1:171" s="37" customFormat="1" x14ac:dyDescent="0.25">
      <c r="A196" s="44" t="s">
        <v>127</v>
      </c>
      <c r="B196" s="74">
        <f t="shared" si="6"/>
        <v>0</v>
      </c>
      <c r="C196" s="66">
        <v>10</v>
      </c>
      <c r="D196" s="68">
        <v>44711</v>
      </c>
      <c r="E196" s="76">
        <v>31.25</v>
      </c>
      <c r="F196" s="76">
        <f t="shared" si="8"/>
        <v>0</v>
      </c>
      <c r="G196" s="74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155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  <c r="DD196" s="39"/>
      <c r="DE196" s="39"/>
      <c r="DF196" s="39"/>
      <c r="DG196" s="39"/>
      <c r="DH196" s="39"/>
      <c r="DI196" s="39"/>
      <c r="DJ196" s="39"/>
      <c r="DK196" s="39"/>
      <c r="DL196" s="39"/>
      <c r="DM196" s="39"/>
      <c r="DN196" s="39"/>
      <c r="DO196" s="39"/>
      <c r="DP196" s="39"/>
      <c r="DQ196" s="39"/>
      <c r="DR196" s="39"/>
      <c r="DS196" s="39"/>
      <c r="DT196" s="39"/>
      <c r="DU196" s="39"/>
      <c r="DV196" s="39"/>
      <c r="DW196" s="39"/>
      <c r="DX196" s="39"/>
      <c r="DY196" s="39"/>
      <c r="DZ196" s="39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29">
        <f t="shared" si="7"/>
        <v>0</v>
      </c>
      <c r="FO196" s="5"/>
    </row>
    <row r="197" spans="1:171" s="37" customFormat="1" x14ac:dyDescent="0.25">
      <c r="A197" s="44" t="s">
        <v>25</v>
      </c>
      <c r="B197" s="74">
        <f t="shared" si="6"/>
        <v>0</v>
      </c>
      <c r="C197" s="66">
        <v>10</v>
      </c>
      <c r="D197" s="69">
        <v>44775</v>
      </c>
      <c r="E197" s="76">
        <v>33.47</v>
      </c>
      <c r="F197" s="76">
        <f t="shared" si="8"/>
        <v>0</v>
      </c>
      <c r="G197" s="74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16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  <c r="DD197" s="39"/>
      <c r="DE197" s="39"/>
      <c r="DF197" s="39"/>
      <c r="DG197" s="39"/>
      <c r="DH197" s="39"/>
      <c r="DI197" s="39"/>
      <c r="DJ197" s="39"/>
      <c r="DK197" s="39"/>
      <c r="DL197" s="39"/>
      <c r="DM197" s="39"/>
      <c r="DN197" s="39"/>
      <c r="DO197" s="39"/>
      <c r="DP197" s="39"/>
      <c r="DQ197" s="39"/>
      <c r="DR197" s="39"/>
      <c r="DS197" s="39"/>
      <c r="DT197" s="39"/>
      <c r="DU197" s="39"/>
      <c r="DV197" s="39"/>
      <c r="DW197" s="39"/>
      <c r="DX197" s="39"/>
      <c r="DY197" s="39"/>
      <c r="DZ197" s="39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29">
        <f t="shared" si="7"/>
        <v>0</v>
      </c>
      <c r="FO197" s="5"/>
    </row>
    <row r="198" spans="1:171" s="37" customFormat="1" x14ac:dyDescent="0.25">
      <c r="A198" s="44" t="s">
        <v>351</v>
      </c>
      <c r="B198" s="74">
        <f t="shared" si="6"/>
        <v>0</v>
      </c>
      <c r="C198" s="66">
        <v>1</v>
      </c>
      <c r="D198" s="68">
        <v>44979</v>
      </c>
      <c r="E198" s="76">
        <v>37.270000000000003</v>
      </c>
      <c r="F198" s="76">
        <f t="shared" si="8"/>
        <v>0</v>
      </c>
      <c r="G198" s="74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16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>
        <v>10</v>
      </c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  <c r="DD198" s="39"/>
      <c r="DE198" s="39"/>
      <c r="DF198" s="39"/>
      <c r="DG198" s="39"/>
      <c r="DH198" s="39">
        <v>20</v>
      </c>
      <c r="DI198" s="39"/>
      <c r="DJ198" s="39"/>
      <c r="DK198" s="39"/>
      <c r="DL198" s="39"/>
      <c r="DM198" s="39"/>
      <c r="DN198" s="39"/>
      <c r="DO198" s="39">
        <v>10</v>
      </c>
      <c r="DP198" s="39"/>
      <c r="DQ198" s="39"/>
      <c r="DR198" s="39"/>
      <c r="DS198" s="39"/>
      <c r="DT198" s="39"/>
      <c r="DU198" s="39"/>
      <c r="DV198" s="39"/>
      <c r="DW198" s="39"/>
      <c r="DX198" s="39"/>
      <c r="DY198" s="39"/>
      <c r="DZ198" s="39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>
        <v>3</v>
      </c>
      <c r="EX198" s="39"/>
      <c r="EY198" s="39"/>
      <c r="EZ198" s="39"/>
      <c r="FA198" s="39"/>
      <c r="FB198" s="39"/>
      <c r="FC198" s="39"/>
      <c r="FD198" s="39"/>
      <c r="FE198" s="39">
        <v>3</v>
      </c>
      <c r="FF198" s="39"/>
      <c r="FG198" s="39"/>
      <c r="FH198" s="39"/>
      <c r="FI198" s="39"/>
      <c r="FJ198" s="39"/>
      <c r="FK198" s="39"/>
      <c r="FL198" s="39"/>
      <c r="FM198" s="39"/>
      <c r="FN198" s="29">
        <f t="shared" si="7"/>
        <v>0</v>
      </c>
      <c r="FO198" s="5"/>
    </row>
    <row r="199" spans="1:171" s="37" customFormat="1" x14ac:dyDescent="0.25">
      <c r="A199" s="44" t="s">
        <v>351</v>
      </c>
      <c r="B199" s="74">
        <f t="shared" si="6"/>
        <v>10</v>
      </c>
      <c r="C199" s="66">
        <v>10</v>
      </c>
      <c r="D199" s="68">
        <v>44956</v>
      </c>
      <c r="E199" s="76">
        <v>33.619999999999997</v>
      </c>
      <c r="F199" s="76">
        <f t="shared" si="8"/>
        <v>336.2</v>
      </c>
      <c r="G199" s="74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16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>
        <v>10</v>
      </c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>
        <v>10</v>
      </c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  <c r="DD199" s="39"/>
      <c r="DE199" s="39"/>
      <c r="DF199" s="39"/>
      <c r="DG199" s="39"/>
      <c r="DH199" s="39"/>
      <c r="DI199" s="39"/>
      <c r="DJ199" s="39"/>
      <c r="DK199" s="39"/>
      <c r="DL199" s="39"/>
      <c r="DM199" s="39"/>
      <c r="DN199" s="39"/>
      <c r="DO199" s="39"/>
      <c r="DP199" s="39"/>
      <c r="DQ199" s="39">
        <v>40</v>
      </c>
      <c r="DR199" s="39"/>
      <c r="DS199" s="39"/>
      <c r="DT199" s="39"/>
      <c r="DU199" s="39"/>
      <c r="DV199" s="39"/>
      <c r="DW199" s="39"/>
      <c r="DX199" s="39"/>
      <c r="DY199" s="39"/>
      <c r="DZ199" s="39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>
        <v>10</v>
      </c>
      <c r="FJ199" s="39"/>
      <c r="FK199" s="39"/>
      <c r="FL199" s="39"/>
      <c r="FM199" s="39">
        <v>10</v>
      </c>
      <c r="FN199" s="29">
        <f t="shared" si="7"/>
        <v>0</v>
      </c>
      <c r="FO199" s="5"/>
    </row>
    <row r="200" spans="1:171" s="37" customFormat="1" x14ac:dyDescent="0.25">
      <c r="A200" s="44" t="s">
        <v>480</v>
      </c>
      <c r="B200" s="74">
        <f t="shared" si="6"/>
        <v>0</v>
      </c>
      <c r="C200" s="66">
        <v>1</v>
      </c>
      <c r="D200" s="68">
        <v>44809</v>
      </c>
      <c r="E200" s="76">
        <v>27.77</v>
      </c>
      <c r="F200" s="76">
        <f t="shared" si="8"/>
        <v>0</v>
      </c>
      <c r="G200" s="74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16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  <c r="DD200" s="39"/>
      <c r="DE200" s="39"/>
      <c r="DF200" s="39"/>
      <c r="DG200" s="39"/>
      <c r="DH200" s="39"/>
      <c r="DI200" s="39"/>
      <c r="DJ200" s="39"/>
      <c r="DK200" s="39"/>
      <c r="DL200" s="39"/>
      <c r="DM200" s="39"/>
      <c r="DN200" s="39"/>
      <c r="DO200" s="39"/>
      <c r="DP200" s="39"/>
      <c r="DQ200" s="39"/>
      <c r="DR200" s="39"/>
      <c r="DS200" s="39"/>
      <c r="DT200" s="39"/>
      <c r="DU200" s="39"/>
      <c r="DV200" s="39"/>
      <c r="DW200" s="39"/>
      <c r="DX200" s="39"/>
      <c r="DY200" s="39"/>
      <c r="DZ200" s="39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29">
        <f t="shared" si="7"/>
        <v>0</v>
      </c>
      <c r="FO200" s="5"/>
    </row>
    <row r="201" spans="1:171" s="37" customFormat="1" x14ac:dyDescent="0.25">
      <c r="A201" s="44" t="s">
        <v>426</v>
      </c>
      <c r="B201" s="74">
        <f t="shared" si="6"/>
        <v>0</v>
      </c>
      <c r="C201" s="66">
        <v>10</v>
      </c>
      <c r="D201" s="68">
        <v>44781</v>
      </c>
      <c r="E201" s="76">
        <v>23.41</v>
      </c>
      <c r="F201" s="76">
        <f t="shared" si="8"/>
        <v>0</v>
      </c>
      <c r="G201" s="74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16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29">
        <f t="shared" si="7"/>
        <v>0</v>
      </c>
      <c r="FO201" s="5"/>
    </row>
    <row r="202" spans="1:171" s="37" customFormat="1" x14ac:dyDescent="0.25">
      <c r="A202" s="44" t="s">
        <v>590</v>
      </c>
      <c r="B202" s="74">
        <f t="shared" si="6"/>
        <v>0</v>
      </c>
      <c r="C202" s="66">
        <v>1.1000000000000001</v>
      </c>
      <c r="D202" s="68">
        <v>44970</v>
      </c>
      <c r="E202" s="76">
        <v>50.28</v>
      </c>
      <c r="F202" s="76">
        <f t="shared" si="8"/>
        <v>0</v>
      </c>
      <c r="G202" s="74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16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>
        <v>1.1000000000000001</v>
      </c>
      <c r="CD202" s="39">
        <v>1.1000000000000001</v>
      </c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>
        <v>2.2000000000000002</v>
      </c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29">
        <f t="shared" si="7"/>
        <v>0</v>
      </c>
      <c r="FO202" s="5"/>
    </row>
    <row r="203" spans="1:171" s="37" customFormat="1" x14ac:dyDescent="0.25">
      <c r="A203" s="44" t="s">
        <v>511</v>
      </c>
      <c r="B203" s="74">
        <f t="shared" si="6"/>
        <v>0</v>
      </c>
      <c r="C203" s="66">
        <v>0.9</v>
      </c>
      <c r="D203" s="68">
        <v>44753</v>
      </c>
      <c r="E203" s="76">
        <v>117.83</v>
      </c>
      <c r="F203" s="76">
        <f t="shared" si="8"/>
        <v>0</v>
      </c>
      <c r="G203" s="74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16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29">
        <f t="shared" si="7"/>
        <v>0</v>
      </c>
      <c r="FO203" s="5"/>
    </row>
    <row r="204" spans="1:171" s="37" customFormat="1" x14ac:dyDescent="0.25">
      <c r="A204" s="60" t="s">
        <v>40</v>
      </c>
      <c r="B204" s="74">
        <f t="shared" ref="B204:B268" si="9">SUMIF(G$3:FM$3,"прих",G204:FM204)-SUMIF(G$3:FM$3,"отгр",G204:FM204)</f>
        <v>0</v>
      </c>
      <c r="C204" s="66">
        <v>5</v>
      </c>
      <c r="D204" s="69">
        <v>44685</v>
      </c>
      <c r="E204" s="76">
        <v>85.12</v>
      </c>
      <c r="F204" s="76">
        <f t="shared" si="8"/>
        <v>0</v>
      </c>
      <c r="G204" s="74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16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29">
        <f t="shared" ref="FN204:FN268" si="10">$B204-SUMIF($G$3:$KB$3,"",$G204:$KB204)</f>
        <v>0</v>
      </c>
      <c r="FO204" s="5"/>
    </row>
    <row r="205" spans="1:171" s="37" customFormat="1" x14ac:dyDescent="0.25">
      <c r="A205" s="60" t="s">
        <v>161</v>
      </c>
      <c r="B205" s="74">
        <f t="shared" si="9"/>
        <v>15</v>
      </c>
      <c r="C205" s="66">
        <v>5</v>
      </c>
      <c r="D205" s="69">
        <v>44956</v>
      </c>
      <c r="E205" s="76">
        <v>75.62</v>
      </c>
      <c r="F205" s="76">
        <f t="shared" si="8"/>
        <v>1134.3000000000002</v>
      </c>
      <c r="G205" s="74">
        <v>85</v>
      </c>
      <c r="H205" s="39"/>
      <c r="I205" s="39"/>
      <c r="J205" s="39"/>
      <c r="K205" s="39"/>
      <c r="L205" s="39"/>
      <c r="M205" s="39"/>
      <c r="N205" s="39">
        <v>15</v>
      </c>
      <c r="O205" s="39"/>
      <c r="P205" s="39"/>
      <c r="Q205" s="39"/>
      <c r="R205" s="39"/>
      <c r="S205" s="39"/>
      <c r="T205" s="39"/>
      <c r="U205" s="39"/>
      <c r="V205" s="39"/>
      <c r="W205" s="16"/>
      <c r="X205" s="39">
        <v>70</v>
      </c>
      <c r="Y205" s="39"/>
      <c r="Z205" s="39"/>
      <c r="AA205" s="39">
        <v>15</v>
      </c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>
        <v>15</v>
      </c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29">
        <f t="shared" si="10"/>
        <v>0</v>
      </c>
      <c r="FO205" s="5"/>
    </row>
    <row r="206" spans="1:171" s="37" customFormat="1" x14ac:dyDescent="0.25">
      <c r="A206" s="60" t="s">
        <v>161</v>
      </c>
      <c r="B206" s="74">
        <f t="shared" si="9"/>
        <v>90</v>
      </c>
      <c r="C206" s="66">
        <v>5</v>
      </c>
      <c r="D206" s="69">
        <v>44949</v>
      </c>
      <c r="E206" s="76">
        <v>75.98</v>
      </c>
      <c r="F206" s="76">
        <f t="shared" si="8"/>
        <v>6838.2000000000007</v>
      </c>
      <c r="G206" s="74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16"/>
      <c r="X206" s="39"/>
      <c r="Y206" s="39"/>
      <c r="Z206" s="39">
        <v>30</v>
      </c>
      <c r="AA206" s="39">
        <v>90</v>
      </c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>
        <v>120</v>
      </c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29">
        <f t="shared" si="10"/>
        <v>0</v>
      </c>
      <c r="FO206" s="5"/>
    </row>
    <row r="207" spans="1:171" s="37" customFormat="1" x14ac:dyDescent="0.25">
      <c r="A207" s="60" t="s">
        <v>172</v>
      </c>
      <c r="B207" s="74">
        <f t="shared" si="9"/>
        <v>0</v>
      </c>
      <c r="C207" s="66">
        <v>10</v>
      </c>
      <c r="D207" s="68">
        <v>44865</v>
      </c>
      <c r="E207" s="76">
        <v>48.74</v>
      </c>
      <c r="F207" s="76">
        <f t="shared" si="8"/>
        <v>0</v>
      </c>
      <c r="G207" s="74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16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29">
        <f t="shared" si="10"/>
        <v>0</v>
      </c>
      <c r="FO207" s="5"/>
    </row>
    <row r="208" spans="1:171" s="37" customFormat="1" x14ac:dyDescent="0.25">
      <c r="A208" s="60" t="s">
        <v>26</v>
      </c>
      <c r="B208" s="74">
        <f t="shared" si="9"/>
        <v>0</v>
      </c>
      <c r="C208" s="66">
        <v>10</v>
      </c>
      <c r="D208" s="68">
        <v>44924</v>
      </c>
      <c r="E208" s="76">
        <v>23.11</v>
      </c>
      <c r="F208" s="76">
        <f t="shared" si="8"/>
        <v>0</v>
      </c>
      <c r="G208" s="74">
        <v>20</v>
      </c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16"/>
      <c r="X208" s="39">
        <v>20</v>
      </c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29">
        <f t="shared" si="10"/>
        <v>0</v>
      </c>
      <c r="FO208" s="5"/>
    </row>
    <row r="209" spans="1:171" s="37" customFormat="1" x14ac:dyDescent="0.25">
      <c r="A209" s="60" t="s">
        <v>356</v>
      </c>
      <c r="B209" s="74">
        <f t="shared" si="9"/>
        <v>0</v>
      </c>
      <c r="C209" s="66">
        <v>10</v>
      </c>
      <c r="D209" s="68">
        <v>44970</v>
      </c>
      <c r="E209" s="76">
        <v>37.72</v>
      </c>
      <c r="F209" s="76">
        <f t="shared" si="8"/>
        <v>0</v>
      </c>
      <c r="G209" s="74"/>
      <c r="H209" s="39"/>
      <c r="I209" s="39">
        <v>20</v>
      </c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16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>
        <v>20</v>
      </c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29">
        <f t="shared" si="10"/>
        <v>0</v>
      </c>
      <c r="FO209" s="5"/>
    </row>
    <row r="210" spans="1:171" s="37" customFormat="1" x14ac:dyDescent="0.25">
      <c r="A210" s="60" t="s">
        <v>355</v>
      </c>
      <c r="B210" s="74">
        <f t="shared" si="9"/>
        <v>0</v>
      </c>
      <c r="C210" s="66">
        <v>1.1000000000000001</v>
      </c>
      <c r="D210" s="68">
        <v>44893</v>
      </c>
      <c r="E210" s="76">
        <v>35.130000000000003</v>
      </c>
      <c r="F210" s="76">
        <f t="shared" si="8"/>
        <v>0</v>
      </c>
      <c r="G210" s="74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16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29">
        <f t="shared" si="10"/>
        <v>0</v>
      </c>
      <c r="FO210" s="5"/>
    </row>
    <row r="211" spans="1:171" s="37" customFormat="1" x14ac:dyDescent="0.25">
      <c r="A211" s="60" t="s">
        <v>184</v>
      </c>
      <c r="B211" s="74">
        <f t="shared" si="9"/>
        <v>0</v>
      </c>
      <c r="C211" s="66">
        <v>10</v>
      </c>
      <c r="D211" s="68">
        <v>44893</v>
      </c>
      <c r="E211" s="76">
        <v>35.22</v>
      </c>
      <c r="F211" s="76">
        <f t="shared" si="8"/>
        <v>0</v>
      </c>
      <c r="G211" s="74">
        <v>30</v>
      </c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16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>
        <v>30</v>
      </c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29">
        <f t="shared" si="10"/>
        <v>0</v>
      </c>
      <c r="FO211" s="5"/>
    </row>
    <row r="212" spans="1:171" s="37" customFormat="1" x14ac:dyDescent="0.25">
      <c r="A212" s="44" t="s">
        <v>89</v>
      </c>
      <c r="B212" s="74">
        <f t="shared" si="9"/>
        <v>0</v>
      </c>
      <c r="C212" s="66">
        <v>10</v>
      </c>
      <c r="D212" s="68">
        <v>44956</v>
      </c>
      <c r="E212" s="76">
        <v>35.700000000000003</v>
      </c>
      <c r="F212" s="76">
        <f t="shared" si="8"/>
        <v>0</v>
      </c>
      <c r="G212" s="74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16"/>
      <c r="X212" s="39"/>
      <c r="Y212" s="39"/>
      <c r="Z212" s="39">
        <v>20</v>
      </c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>
        <v>20</v>
      </c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29">
        <f t="shared" si="10"/>
        <v>0</v>
      </c>
      <c r="FO212" s="5"/>
    </row>
    <row r="213" spans="1:171" s="37" customFormat="1" x14ac:dyDescent="0.25">
      <c r="A213" s="60" t="s">
        <v>67</v>
      </c>
      <c r="B213" s="74">
        <f t="shared" si="9"/>
        <v>40</v>
      </c>
      <c r="C213" s="66">
        <v>10</v>
      </c>
      <c r="D213" s="69">
        <v>44914</v>
      </c>
      <c r="E213" s="76">
        <v>34.880000000000003</v>
      </c>
      <c r="F213" s="76">
        <f t="shared" si="8"/>
        <v>1395.2</v>
      </c>
      <c r="G213" s="74">
        <v>40</v>
      </c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16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>
        <v>40</v>
      </c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29">
        <f t="shared" si="10"/>
        <v>0</v>
      </c>
      <c r="FO213" s="5"/>
    </row>
    <row r="214" spans="1:171" s="37" customFormat="1" x14ac:dyDescent="0.25">
      <c r="A214" s="60" t="s">
        <v>364</v>
      </c>
      <c r="B214" s="74">
        <f t="shared" si="9"/>
        <v>0</v>
      </c>
      <c r="C214" s="66">
        <v>1</v>
      </c>
      <c r="D214" s="69">
        <v>44809</v>
      </c>
      <c r="E214" s="76">
        <v>43.98</v>
      </c>
      <c r="F214" s="76">
        <f t="shared" si="8"/>
        <v>0</v>
      </c>
      <c r="G214" s="74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16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29">
        <f t="shared" si="10"/>
        <v>0</v>
      </c>
      <c r="FO214" s="5"/>
    </row>
    <row r="215" spans="1:171" s="37" customFormat="1" x14ac:dyDescent="0.25">
      <c r="A215" s="60" t="s">
        <v>314</v>
      </c>
      <c r="B215" s="74">
        <f t="shared" si="9"/>
        <v>0</v>
      </c>
      <c r="C215" s="66">
        <v>10</v>
      </c>
      <c r="D215" s="69">
        <v>44354</v>
      </c>
      <c r="E215" s="76">
        <v>19.48</v>
      </c>
      <c r="F215" s="76">
        <f t="shared" si="8"/>
        <v>0</v>
      </c>
      <c r="G215" s="74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16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29">
        <f t="shared" si="10"/>
        <v>0</v>
      </c>
      <c r="FO215" s="5"/>
    </row>
    <row r="216" spans="1:171" s="37" customFormat="1" x14ac:dyDescent="0.25">
      <c r="A216" s="60" t="s">
        <v>424</v>
      </c>
      <c r="B216" s="74">
        <f t="shared" si="9"/>
        <v>0.8</v>
      </c>
      <c r="C216" s="66">
        <v>1.1000000000000001</v>
      </c>
      <c r="D216" s="69">
        <v>44494</v>
      </c>
      <c r="E216" s="76">
        <v>59.37</v>
      </c>
      <c r="F216" s="76">
        <f t="shared" si="8"/>
        <v>47.496000000000002</v>
      </c>
      <c r="G216" s="74">
        <v>0.8</v>
      </c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16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>
        <v>0.8</v>
      </c>
      <c r="FN216" s="29">
        <f t="shared" si="10"/>
        <v>0</v>
      </c>
      <c r="FO216" s="5"/>
    </row>
    <row r="217" spans="1:171" s="37" customFormat="1" x14ac:dyDescent="0.25">
      <c r="A217" s="60" t="s">
        <v>519</v>
      </c>
      <c r="B217" s="74">
        <f t="shared" si="9"/>
        <v>0</v>
      </c>
      <c r="C217" s="66">
        <v>1</v>
      </c>
      <c r="D217" s="69">
        <v>44781</v>
      </c>
      <c r="E217" s="76">
        <v>42.13</v>
      </c>
      <c r="F217" s="76">
        <f t="shared" si="8"/>
        <v>0</v>
      </c>
      <c r="G217" s="74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16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29">
        <f t="shared" si="10"/>
        <v>0</v>
      </c>
      <c r="FO217" s="5"/>
    </row>
    <row r="218" spans="1:171" s="37" customFormat="1" x14ac:dyDescent="0.25">
      <c r="A218" s="24" t="s">
        <v>28</v>
      </c>
      <c r="B218" s="74">
        <f t="shared" si="9"/>
        <v>0</v>
      </c>
      <c r="C218" s="66">
        <v>0.9</v>
      </c>
      <c r="D218" s="69">
        <v>44844</v>
      </c>
      <c r="E218" s="76">
        <v>75.510000000000005</v>
      </c>
      <c r="F218" s="76">
        <f t="shared" si="8"/>
        <v>0</v>
      </c>
      <c r="G218" s="74">
        <v>0.9</v>
      </c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>
        <v>0.9</v>
      </c>
      <c r="S218" s="39"/>
      <c r="T218" s="39"/>
      <c r="U218" s="39"/>
      <c r="V218" s="39"/>
      <c r="W218" s="16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29">
        <f t="shared" si="10"/>
        <v>0</v>
      </c>
      <c r="FO218" s="5"/>
    </row>
    <row r="219" spans="1:171" s="37" customFormat="1" x14ac:dyDescent="0.25">
      <c r="A219" s="60" t="s">
        <v>149</v>
      </c>
      <c r="B219" s="74">
        <f t="shared" si="9"/>
        <v>0</v>
      </c>
      <c r="C219" s="66">
        <v>0.9</v>
      </c>
      <c r="D219" s="69">
        <v>44851</v>
      </c>
      <c r="E219" s="76">
        <v>69.16</v>
      </c>
      <c r="F219" s="76">
        <f t="shared" si="8"/>
        <v>0</v>
      </c>
      <c r="G219" s="74">
        <v>2.7</v>
      </c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>
        <v>2.7</v>
      </c>
      <c r="S219" s="39"/>
      <c r="T219" s="39"/>
      <c r="U219" s="39"/>
      <c r="V219" s="39"/>
      <c r="W219" s="16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29">
        <f t="shared" si="10"/>
        <v>0</v>
      </c>
      <c r="FO219" s="5"/>
    </row>
    <row r="220" spans="1:171" s="37" customFormat="1" x14ac:dyDescent="0.25">
      <c r="A220" s="44" t="s">
        <v>177</v>
      </c>
      <c r="B220" s="74">
        <f t="shared" si="9"/>
        <v>0</v>
      </c>
      <c r="C220" s="66">
        <v>0.9</v>
      </c>
      <c r="D220" s="68">
        <v>44669</v>
      </c>
      <c r="E220" s="76">
        <v>124.29</v>
      </c>
      <c r="F220" s="76">
        <f t="shared" si="8"/>
        <v>0</v>
      </c>
      <c r="G220" s="74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16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29">
        <f t="shared" si="10"/>
        <v>0</v>
      </c>
      <c r="FO220" s="5"/>
    </row>
    <row r="221" spans="1:171" s="37" customFormat="1" x14ac:dyDescent="0.25">
      <c r="A221" s="44" t="s">
        <v>327</v>
      </c>
      <c r="B221" s="74">
        <f t="shared" si="9"/>
        <v>0</v>
      </c>
      <c r="C221" s="66">
        <v>1.1000000000000001</v>
      </c>
      <c r="D221" s="68">
        <v>44732</v>
      </c>
      <c r="E221" s="76">
        <v>53.42</v>
      </c>
      <c r="F221" s="76">
        <f t="shared" si="8"/>
        <v>0</v>
      </c>
      <c r="G221" s="74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16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29">
        <f t="shared" si="10"/>
        <v>0</v>
      </c>
      <c r="FO221" s="5"/>
    </row>
    <row r="222" spans="1:171" s="37" customFormat="1" x14ac:dyDescent="0.25">
      <c r="A222" s="44" t="s">
        <v>357</v>
      </c>
      <c r="B222" s="74">
        <f t="shared" si="9"/>
        <v>0</v>
      </c>
      <c r="C222" s="66">
        <v>10</v>
      </c>
      <c r="D222" s="68">
        <v>44844</v>
      </c>
      <c r="E222" s="76">
        <v>34.32</v>
      </c>
      <c r="F222" s="76">
        <f t="shared" si="8"/>
        <v>0</v>
      </c>
      <c r="G222" s="74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16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29">
        <f t="shared" si="10"/>
        <v>0</v>
      </c>
      <c r="FO222" s="5"/>
    </row>
    <row r="223" spans="1:171" s="37" customFormat="1" x14ac:dyDescent="0.25">
      <c r="A223" s="44" t="s">
        <v>268</v>
      </c>
      <c r="B223" s="74">
        <f t="shared" si="9"/>
        <v>0</v>
      </c>
      <c r="C223" s="66">
        <v>10</v>
      </c>
      <c r="D223" s="68">
        <v>44732</v>
      </c>
      <c r="E223" s="76">
        <v>33.85</v>
      </c>
      <c r="F223" s="76">
        <f t="shared" si="8"/>
        <v>0</v>
      </c>
      <c r="G223" s="74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16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29">
        <f t="shared" si="10"/>
        <v>0</v>
      </c>
      <c r="FO223" s="5"/>
    </row>
    <row r="224" spans="1:171" s="37" customFormat="1" x14ac:dyDescent="0.25">
      <c r="A224" s="44" t="s">
        <v>475</v>
      </c>
      <c r="B224" s="74">
        <f t="shared" si="9"/>
        <v>0</v>
      </c>
      <c r="C224" s="66">
        <v>10</v>
      </c>
      <c r="D224" s="68">
        <v>44979</v>
      </c>
      <c r="E224" s="76">
        <v>41.38</v>
      </c>
      <c r="F224" s="76">
        <f t="shared" si="8"/>
        <v>0</v>
      </c>
      <c r="G224" s="74"/>
      <c r="H224" s="39"/>
      <c r="I224" s="39"/>
      <c r="J224" s="39"/>
      <c r="K224" s="39"/>
      <c r="L224" s="39">
        <v>6</v>
      </c>
      <c r="M224" s="39"/>
      <c r="N224" s="39"/>
      <c r="O224" s="39"/>
      <c r="P224" s="39"/>
      <c r="Q224" s="39"/>
      <c r="R224" s="39"/>
      <c r="S224" s="39"/>
      <c r="T224" s="39">
        <v>14</v>
      </c>
      <c r="U224" s="39"/>
      <c r="V224" s="39"/>
      <c r="W224" s="16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>
        <v>6</v>
      </c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>
        <v>14</v>
      </c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29">
        <f t="shared" si="10"/>
        <v>0</v>
      </c>
      <c r="FO224" s="5"/>
    </row>
    <row r="225" spans="1:171" s="37" customFormat="1" x14ac:dyDescent="0.25">
      <c r="A225" s="44" t="s">
        <v>17</v>
      </c>
      <c r="B225" s="74">
        <f t="shared" si="9"/>
        <v>0</v>
      </c>
      <c r="C225" s="66">
        <v>10</v>
      </c>
      <c r="D225" s="69">
        <v>44824</v>
      </c>
      <c r="E225" s="76">
        <v>36.700000000000003</v>
      </c>
      <c r="F225" s="76">
        <f t="shared" si="8"/>
        <v>0</v>
      </c>
      <c r="G225" s="74">
        <v>70</v>
      </c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16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>
        <v>10</v>
      </c>
      <c r="AO225" s="39">
        <v>60</v>
      </c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29">
        <f t="shared" si="10"/>
        <v>0</v>
      </c>
      <c r="FO225" s="5"/>
    </row>
    <row r="226" spans="1:171" s="37" customFormat="1" x14ac:dyDescent="0.25">
      <c r="A226" s="44" t="s">
        <v>17</v>
      </c>
      <c r="B226" s="74">
        <f t="shared" si="9"/>
        <v>0</v>
      </c>
      <c r="C226" s="66">
        <v>10</v>
      </c>
      <c r="D226" s="69">
        <v>44879</v>
      </c>
      <c r="E226" s="76">
        <v>35.46</v>
      </c>
      <c r="F226" s="76">
        <f t="shared" si="8"/>
        <v>0</v>
      </c>
      <c r="G226" s="74">
        <v>80</v>
      </c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16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>
        <v>10</v>
      </c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>
        <v>70</v>
      </c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29">
        <f t="shared" si="10"/>
        <v>0</v>
      </c>
      <c r="FO226" s="5"/>
    </row>
    <row r="227" spans="1:171" s="37" customFormat="1" x14ac:dyDescent="0.25">
      <c r="A227" s="44" t="s">
        <v>17</v>
      </c>
      <c r="B227" s="74">
        <f t="shared" si="9"/>
        <v>0</v>
      </c>
      <c r="C227" s="66">
        <v>1</v>
      </c>
      <c r="D227" s="69">
        <v>44970</v>
      </c>
      <c r="E227" s="76">
        <v>35.6</v>
      </c>
      <c r="F227" s="76">
        <f t="shared" si="8"/>
        <v>0</v>
      </c>
      <c r="G227" s="74">
        <v>3</v>
      </c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16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>
        <v>3</v>
      </c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>
        <v>2</v>
      </c>
      <c r="EB227" s="39"/>
      <c r="EC227" s="39"/>
      <c r="ED227" s="39"/>
      <c r="EE227" s="39"/>
      <c r="EF227" s="39">
        <v>8</v>
      </c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>
        <v>6</v>
      </c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29">
        <f t="shared" si="10"/>
        <v>0</v>
      </c>
      <c r="FO227" s="5"/>
    </row>
    <row r="228" spans="1:171" s="37" customFormat="1" x14ac:dyDescent="0.25">
      <c r="A228" s="44" t="s">
        <v>17</v>
      </c>
      <c r="B228" s="74">
        <f t="shared" si="9"/>
        <v>100</v>
      </c>
      <c r="C228" s="66">
        <v>10</v>
      </c>
      <c r="D228" s="69">
        <v>44924</v>
      </c>
      <c r="E228" s="76">
        <v>33.619999999999997</v>
      </c>
      <c r="F228" s="76">
        <f t="shared" si="8"/>
        <v>3361.9999999999995</v>
      </c>
      <c r="G228" s="74">
        <v>100</v>
      </c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16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>
        <v>100</v>
      </c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29">
        <f t="shared" si="10"/>
        <v>0</v>
      </c>
      <c r="FO228" s="5"/>
    </row>
    <row r="229" spans="1:171" s="37" customFormat="1" x14ac:dyDescent="0.25">
      <c r="A229" s="44" t="s">
        <v>107</v>
      </c>
      <c r="B229" s="74">
        <f t="shared" si="9"/>
        <v>0</v>
      </c>
      <c r="C229" s="66">
        <v>10</v>
      </c>
      <c r="D229" s="68">
        <v>44879</v>
      </c>
      <c r="E229" s="76">
        <v>37.75</v>
      </c>
      <c r="F229" s="76">
        <f t="shared" ref="F229:F298" si="11">E229*B229</f>
        <v>0</v>
      </c>
      <c r="G229" s="74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16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29">
        <f t="shared" si="10"/>
        <v>0</v>
      </c>
      <c r="FO229" s="5"/>
    </row>
    <row r="230" spans="1:171" s="37" customFormat="1" x14ac:dyDescent="0.25">
      <c r="A230" s="44" t="s">
        <v>488</v>
      </c>
      <c r="B230" s="74">
        <f t="shared" si="9"/>
        <v>0</v>
      </c>
      <c r="C230" s="66">
        <v>10</v>
      </c>
      <c r="D230" s="68">
        <v>44697</v>
      </c>
      <c r="E230" s="76">
        <v>66.2</v>
      </c>
      <c r="F230" s="76">
        <f t="shared" si="11"/>
        <v>0</v>
      </c>
      <c r="G230" s="74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16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29">
        <f t="shared" si="10"/>
        <v>0</v>
      </c>
      <c r="FO230" s="5"/>
    </row>
    <row r="231" spans="1:171" s="37" customFormat="1" x14ac:dyDescent="0.25">
      <c r="A231" s="44" t="s">
        <v>104</v>
      </c>
      <c r="B231" s="74">
        <f t="shared" si="9"/>
        <v>0</v>
      </c>
      <c r="C231" s="66">
        <v>1</v>
      </c>
      <c r="D231" s="68">
        <v>44879</v>
      </c>
      <c r="E231" s="76">
        <v>35.46</v>
      </c>
      <c r="F231" s="76">
        <f t="shared" si="11"/>
        <v>0</v>
      </c>
      <c r="G231" s="74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16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29">
        <f t="shared" si="10"/>
        <v>0</v>
      </c>
      <c r="FO231" s="5"/>
    </row>
    <row r="232" spans="1:171" s="37" customFormat="1" x14ac:dyDescent="0.25">
      <c r="A232" s="44" t="s">
        <v>85</v>
      </c>
      <c r="B232" s="74">
        <f t="shared" si="9"/>
        <v>0</v>
      </c>
      <c r="C232" s="66">
        <v>1</v>
      </c>
      <c r="D232" s="68">
        <v>44970</v>
      </c>
      <c r="E232" s="76">
        <v>48.16</v>
      </c>
      <c r="F232" s="76">
        <f t="shared" si="11"/>
        <v>0</v>
      </c>
      <c r="G232" s="74"/>
      <c r="H232" s="39"/>
      <c r="I232" s="39"/>
      <c r="J232" s="39"/>
      <c r="K232" s="39"/>
      <c r="L232" s="39">
        <v>3</v>
      </c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16"/>
      <c r="X232" s="39"/>
      <c r="Y232" s="39">
        <v>2</v>
      </c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>
        <v>2</v>
      </c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>
        <v>3</v>
      </c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29">
        <f t="shared" si="10"/>
        <v>0</v>
      </c>
      <c r="FO232" s="5"/>
    </row>
    <row r="233" spans="1:171" s="37" customFormat="1" x14ac:dyDescent="0.25">
      <c r="A233" s="44" t="s">
        <v>116</v>
      </c>
      <c r="B233" s="74">
        <f t="shared" si="9"/>
        <v>0</v>
      </c>
      <c r="C233" s="66">
        <v>10</v>
      </c>
      <c r="D233" s="68">
        <v>44956</v>
      </c>
      <c r="E233" s="76">
        <v>33.619999999999997</v>
      </c>
      <c r="F233" s="76">
        <f t="shared" si="11"/>
        <v>0</v>
      </c>
      <c r="G233" s="74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16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>
        <v>20</v>
      </c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>
        <v>20</v>
      </c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29">
        <f t="shared" si="10"/>
        <v>0</v>
      </c>
      <c r="FO233" s="5"/>
    </row>
    <row r="234" spans="1:171" s="37" customFormat="1" x14ac:dyDescent="0.25">
      <c r="A234" s="44" t="s">
        <v>412</v>
      </c>
      <c r="B234" s="74">
        <f t="shared" si="9"/>
        <v>0</v>
      </c>
      <c r="C234" s="66">
        <v>1.1000000000000001</v>
      </c>
      <c r="D234" s="68">
        <v>44781</v>
      </c>
      <c r="E234" s="76">
        <v>35.119999999999997</v>
      </c>
      <c r="F234" s="76">
        <f t="shared" si="11"/>
        <v>0</v>
      </c>
      <c r="G234" s="74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16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29">
        <f t="shared" si="10"/>
        <v>0</v>
      </c>
      <c r="FO234" s="5"/>
    </row>
    <row r="235" spans="1:171" s="37" customFormat="1" x14ac:dyDescent="0.25">
      <c r="A235" s="44" t="s">
        <v>299</v>
      </c>
      <c r="B235" s="74">
        <f t="shared" si="9"/>
        <v>0</v>
      </c>
      <c r="C235" s="66">
        <v>8</v>
      </c>
      <c r="D235" s="68">
        <v>44816</v>
      </c>
      <c r="E235" s="76">
        <v>25.42</v>
      </c>
      <c r="F235" s="76">
        <f t="shared" si="11"/>
        <v>0</v>
      </c>
      <c r="G235" s="74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16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29">
        <f t="shared" si="10"/>
        <v>0</v>
      </c>
      <c r="FO235" s="5"/>
    </row>
    <row r="236" spans="1:171" s="37" customFormat="1" x14ac:dyDescent="0.25">
      <c r="A236" s="44" t="s">
        <v>166</v>
      </c>
      <c r="B236" s="74">
        <f t="shared" si="9"/>
        <v>70</v>
      </c>
      <c r="C236" s="66">
        <v>10</v>
      </c>
      <c r="D236" s="69">
        <v>44949</v>
      </c>
      <c r="E236" s="76">
        <v>35.869999999999997</v>
      </c>
      <c r="F236" s="76">
        <f t="shared" si="11"/>
        <v>2510.8999999999996</v>
      </c>
      <c r="G236" s="74">
        <v>10</v>
      </c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16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>
        <v>70</v>
      </c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>
        <v>60</v>
      </c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29">
        <f t="shared" si="10"/>
        <v>0</v>
      </c>
      <c r="FO236" s="5"/>
    </row>
    <row r="237" spans="1:171" s="37" customFormat="1" x14ac:dyDescent="0.25">
      <c r="A237" s="44" t="s">
        <v>166</v>
      </c>
      <c r="B237" s="74">
        <f t="shared" si="9"/>
        <v>10</v>
      </c>
      <c r="C237" s="66">
        <v>10</v>
      </c>
      <c r="D237" s="69">
        <v>44865</v>
      </c>
      <c r="E237" s="76">
        <v>37.659999999999997</v>
      </c>
      <c r="F237" s="76">
        <f t="shared" si="11"/>
        <v>376.59999999999997</v>
      </c>
      <c r="G237" s="74">
        <v>10</v>
      </c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16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>
        <v>10</v>
      </c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29">
        <f t="shared" si="10"/>
        <v>0</v>
      </c>
      <c r="FO237" s="5"/>
    </row>
    <row r="238" spans="1:171" s="37" customFormat="1" x14ac:dyDescent="0.25">
      <c r="A238" s="44" t="s">
        <v>230</v>
      </c>
      <c r="B238" s="74">
        <f t="shared" si="9"/>
        <v>0</v>
      </c>
      <c r="C238" s="66">
        <v>8</v>
      </c>
      <c r="D238" s="69">
        <v>44865</v>
      </c>
      <c r="E238" s="76">
        <v>37.659999999999997</v>
      </c>
      <c r="F238" s="76">
        <f t="shared" si="11"/>
        <v>0</v>
      </c>
      <c r="G238" s="74">
        <v>16</v>
      </c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16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>
        <v>16</v>
      </c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29">
        <f t="shared" si="10"/>
        <v>0</v>
      </c>
      <c r="FO238" s="5"/>
    </row>
    <row r="239" spans="1:171" s="37" customFormat="1" x14ac:dyDescent="0.25">
      <c r="A239" s="44" t="s">
        <v>108</v>
      </c>
      <c r="B239" s="74">
        <f t="shared" si="9"/>
        <v>50</v>
      </c>
      <c r="C239" s="66">
        <v>10</v>
      </c>
      <c r="D239" s="69">
        <v>44979</v>
      </c>
      <c r="E239" s="76">
        <v>24.6</v>
      </c>
      <c r="F239" s="76">
        <f t="shared" si="11"/>
        <v>1230</v>
      </c>
      <c r="G239" s="74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16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>
        <v>50</v>
      </c>
      <c r="BA239" s="39"/>
      <c r="BB239" s="39"/>
      <c r="BC239" s="39"/>
      <c r="BD239" s="39"/>
      <c r="BE239" s="39">
        <v>50</v>
      </c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>
        <v>50</v>
      </c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>
        <v>50</v>
      </c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29">
        <f t="shared" si="10"/>
        <v>0</v>
      </c>
      <c r="FO239" s="5"/>
    </row>
    <row r="240" spans="1:171" s="37" customFormat="1" x14ac:dyDescent="0.25">
      <c r="A240" s="44" t="s">
        <v>229</v>
      </c>
      <c r="B240" s="74">
        <f t="shared" si="9"/>
        <v>0</v>
      </c>
      <c r="C240" s="66">
        <v>0.9</v>
      </c>
      <c r="D240" s="69">
        <v>44672</v>
      </c>
      <c r="E240" s="76">
        <v>34.06</v>
      </c>
      <c r="F240" s="76">
        <f t="shared" si="11"/>
        <v>0</v>
      </c>
      <c r="G240" s="74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16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29">
        <f t="shared" si="10"/>
        <v>0</v>
      </c>
      <c r="FO240" s="5"/>
    </row>
    <row r="241" spans="1:171" s="37" customFormat="1" x14ac:dyDescent="0.25">
      <c r="A241" s="44" t="s">
        <v>2</v>
      </c>
      <c r="B241" s="74">
        <f t="shared" si="9"/>
        <v>36</v>
      </c>
      <c r="C241" s="66">
        <v>9</v>
      </c>
      <c r="D241" s="69">
        <v>44970</v>
      </c>
      <c r="E241" s="76">
        <v>24.9</v>
      </c>
      <c r="F241" s="76">
        <f t="shared" si="11"/>
        <v>896.4</v>
      </c>
      <c r="G241" s="74">
        <v>9</v>
      </c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16"/>
      <c r="X241" s="39"/>
      <c r="Y241" s="39">
        <v>0.9</v>
      </c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>
        <v>36</v>
      </c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>
        <v>9</v>
      </c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>
        <v>0.9</v>
      </c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>
        <v>36</v>
      </c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29">
        <f t="shared" si="10"/>
        <v>0</v>
      </c>
      <c r="FO241" s="5"/>
    </row>
    <row r="242" spans="1:171" s="37" customFormat="1" x14ac:dyDescent="0.25">
      <c r="A242" s="44" t="s">
        <v>2</v>
      </c>
      <c r="B242" s="74">
        <f t="shared" si="9"/>
        <v>0</v>
      </c>
      <c r="C242" s="66">
        <v>9</v>
      </c>
      <c r="D242" s="69">
        <v>44970</v>
      </c>
      <c r="E242" s="76">
        <v>27.24</v>
      </c>
      <c r="F242" s="76">
        <f t="shared" si="11"/>
        <v>0</v>
      </c>
      <c r="G242" s="74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16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>
        <v>9</v>
      </c>
      <c r="EB242" s="39"/>
      <c r="EC242" s="39"/>
      <c r="ED242" s="39"/>
      <c r="EE242" s="39"/>
      <c r="EF242" s="39">
        <v>9</v>
      </c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29">
        <f t="shared" si="10"/>
        <v>0</v>
      </c>
      <c r="FO242" s="5"/>
    </row>
    <row r="243" spans="1:171" s="37" customFormat="1" x14ac:dyDescent="0.25">
      <c r="A243" s="44" t="s">
        <v>185</v>
      </c>
      <c r="B243" s="74">
        <f t="shared" si="9"/>
        <v>10</v>
      </c>
      <c r="C243" s="66">
        <v>10</v>
      </c>
      <c r="D243" s="69">
        <v>44865</v>
      </c>
      <c r="E243" s="76">
        <v>33.21</v>
      </c>
      <c r="F243" s="76">
        <f t="shared" si="11"/>
        <v>332.1</v>
      </c>
      <c r="G243" s="74">
        <v>30</v>
      </c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16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>
        <v>20</v>
      </c>
      <c r="CK243" s="39">
        <v>10</v>
      </c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29">
        <f t="shared" si="10"/>
        <v>0</v>
      </c>
      <c r="FO243" s="5"/>
    </row>
    <row r="244" spans="1:171" s="37" customFormat="1" x14ac:dyDescent="0.25">
      <c r="A244" s="44" t="s">
        <v>42</v>
      </c>
      <c r="B244" s="74">
        <f t="shared" si="9"/>
        <v>11</v>
      </c>
      <c r="C244" s="66">
        <v>11</v>
      </c>
      <c r="D244" s="68">
        <v>44858</v>
      </c>
      <c r="E244" s="76">
        <v>46.96</v>
      </c>
      <c r="F244" s="76">
        <f t="shared" si="11"/>
        <v>516.56000000000006</v>
      </c>
      <c r="G244" s="74">
        <v>11</v>
      </c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16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>
        <v>11</v>
      </c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29">
        <f t="shared" si="10"/>
        <v>0</v>
      </c>
      <c r="FO244" s="5"/>
    </row>
    <row r="245" spans="1:171" s="37" customFormat="1" x14ac:dyDescent="0.25">
      <c r="A245" s="44" t="s">
        <v>49</v>
      </c>
      <c r="B245" s="74">
        <f t="shared" si="9"/>
        <v>99</v>
      </c>
      <c r="C245" s="66">
        <v>11</v>
      </c>
      <c r="D245" s="68">
        <v>44970</v>
      </c>
      <c r="E245" s="76">
        <v>27.24</v>
      </c>
      <c r="F245" s="76">
        <f t="shared" si="11"/>
        <v>2696.7599999999998</v>
      </c>
      <c r="G245" s="74">
        <v>33</v>
      </c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16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>
        <v>66</v>
      </c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>
        <v>11</v>
      </c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>
        <v>11</v>
      </c>
      <c r="DT245" s="39"/>
      <c r="DU245" s="39"/>
      <c r="DV245" s="39"/>
      <c r="DW245" s="39"/>
      <c r="DX245" s="39">
        <v>11</v>
      </c>
      <c r="DY245" s="39"/>
      <c r="DZ245" s="39"/>
      <c r="EA245" s="39"/>
      <c r="EB245" s="39"/>
      <c r="EC245" s="39"/>
      <c r="ED245" s="39"/>
      <c r="EE245" s="39"/>
      <c r="EF245" s="39">
        <v>110</v>
      </c>
      <c r="EG245" s="39">
        <v>11</v>
      </c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>
        <v>33</v>
      </c>
      <c r="FN245" s="29">
        <f t="shared" si="10"/>
        <v>0</v>
      </c>
      <c r="FO245" s="5"/>
    </row>
    <row r="246" spans="1:171" s="37" customFormat="1" x14ac:dyDescent="0.25">
      <c r="A246" s="44" t="s">
        <v>119</v>
      </c>
      <c r="B246" s="74">
        <f t="shared" si="9"/>
        <v>0</v>
      </c>
      <c r="C246" s="66">
        <v>10</v>
      </c>
      <c r="D246" s="68">
        <v>44914</v>
      </c>
      <c r="E246" s="76">
        <v>28.35</v>
      </c>
      <c r="F246" s="76">
        <f t="shared" si="11"/>
        <v>0</v>
      </c>
      <c r="G246" s="74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16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29">
        <f t="shared" si="10"/>
        <v>0</v>
      </c>
      <c r="FO246" s="5"/>
    </row>
    <row r="247" spans="1:171" s="37" customFormat="1" x14ac:dyDescent="0.25">
      <c r="A247" s="44" t="s">
        <v>466</v>
      </c>
      <c r="B247" s="74">
        <f t="shared" si="9"/>
        <v>0</v>
      </c>
      <c r="C247" s="66">
        <v>1.1000000000000001</v>
      </c>
      <c r="D247" s="68">
        <v>44669</v>
      </c>
      <c r="E247" s="76">
        <v>81.010000000000005</v>
      </c>
      <c r="F247" s="76">
        <f t="shared" si="11"/>
        <v>0</v>
      </c>
      <c r="G247" s="74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16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29">
        <f t="shared" si="10"/>
        <v>0</v>
      </c>
      <c r="FO247" s="5"/>
    </row>
    <row r="248" spans="1:171" s="37" customFormat="1" x14ac:dyDescent="0.25">
      <c r="A248" s="44" t="s">
        <v>247</v>
      </c>
      <c r="B248" s="74">
        <f t="shared" si="9"/>
        <v>0</v>
      </c>
      <c r="C248" s="66">
        <v>11</v>
      </c>
      <c r="D248" s="68">
        <v>44585</v>
      </c>
      <c r="E248" s="76">
        <v>18.2</v>
      </c>
      <c r="F248" s="76">
        <f t="shared" si="11"/>
        <v>0</v>
      </c>
      <c r="G248" s="74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16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29">
        <f t="shared" si="10"/>
        <v>0</v>
      </c>
      <c r="FO248" s="5"/>
    </row>
    <row r="249" spans="1:171" s="37" customFormat="1" x14ac:dyDescent="0.25">
      <c r="A249" s="44" t="s">
        <v>277</v>
      </c>
      <c r="B249" s="74">
        <f t="shared" si="9"/>
        <v>80</v>
      </c>
      <c r="C249" s="66">
        <v>10</v>
      </c>
      <c r="D249" s="69" t="s">
        <v>589</v>
      </c>
      <c r="E249" s="76">
        <v>54.59</v>
      </c>
      <c r="F249" s="76">
        <f t="shared" si="11"/>
        <v>4367.2000000000007</v>
      </c>
      <c r="G249" s="74">
        <v>30</v>
      </c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16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>
        <v>30</v>
      </c>
      <c r="CG249" s="39">
        <v>80</v>
      </c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>
        <v>30</v>
      </c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>
        <v>50</v>
      </c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29">
        <f t="shared" si="10"/>
        <v>0</v>
      </c>
      <c r="FO249" s="5"/>
    </row>
    <row r="250" spans="1:171" s="37" customFormat="1" x14ac:dyDescent="0.25">
      <c r="A250" s="44" t="s">
        <v>277</v>
      </c>
      <c r="B250" s="74">
        <f t="shared" si="9"/>
        <v>20</v>
      </c>
      <c r="C250" s="66">
        <v>11</v>
      </c>
      <c r="D250" s="69">
        <v>44949</v>
      </c>
      <c r="E250" s="76">
        <v>54.86</v>
      </c>
      <c r="F250" s="76">
        <f t="shared" si="11"/>
        <v>1097.2</v>
      </c>
      <c r="G250" s="74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16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>
        <v>50</v>
      </c>
      <c r="CG250" s="39">
        <v>20</v>
      </c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>
        <v>70</v>
      </c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29">
        <f t="shared" si="10"/>
        <v>0</v>
      </c>
      <c r="FO250" s="5"/>
    </row>
    <row r="251" spans="1:171" s="37" customFormat="1" x14ac:dyDescent="0.25">
      <c r="A251" s="44" t="s">
        <v>303</v>
      </c>
      <c r="B251" s="74">
        <f t="shared" si="9"/>
        <v>0</v>
      </c>
      <c r="C251" s="66">
        <v>30</v>
      </c>
      <c r="D251" s="69">
        <v>44956</v>
      </c>
      <c r="E251" s="76">
        <v>35.869999999999997</v>
      </c>
      <c r="F251" s="76">
        <f t="shared" si="11"/>
        <v>0</v>
      </c>
      <c r="G251" s="74">
        <v>45</v>
      </c>
      <c r="H251" s="39"/>
      <c r="I251" s="39"/>
      <c r="J251" s="39"/>
      <c r="K251" s="39"/>
      <c r="L251" s="39"/>
      <c r="M251" s="39"/>
      <c r="N251" s="39"/>
      <c r="O251" s="39">
        <v>45</v>
      </c>
      <c r="P251" s="39"/>
      <c r="Q251" s="39">
        <v>50</v>
      </c>
      <c r="R251" s="39"/>
      <c r="S251" s="39"/>
      <c r="T251" s="39"/>
      <c r="U251" s="39"/>
      <c r="V251" s="39"/>
      <c r="W251" s="16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>
        <v>30</v>
      </c>
      <c r="DI251" s="39"/>
      <c r="DJ251" s="39"/>
      <c r="DK251" s="39"/>
      <c r="DL251" s="39"/>
      <c r="DM251" s="39"/>
      <c r="DN251" s="39"/>
      <c r="DO251" s="39"/>
      <c r="DP251" s="39"/>
      <c r="DQ251" s="39">
        <v>20</v>
      </c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29">
        <f t="shared" si="10"/>
        <v>0</v>
      </c>
      <c r="FO251" s="5"/>
    </row>
    <row r="252" spans="1:171" s="37" customFormat="1" x14ac:dyDescent="0.25">
      <c r="A252" s="44" t="s">
        <v>81</v>
      </c>
      <c r="B252" s="74">
        <f t="shared" si="9"/>
        <v>1</v>
      </c>
      <c r="C252" s="66">
        <v>1</v>
      </c>
      <c r="D252" s="69">
        <v>44914</v>
      </c>
      <c r="E252" s="76">
        <v>41.41</v>
      </c>
      <c r="F252" s="76">
        <f t="shared" si="11"/>
        <v>41.41</v>
      </c>
      <c r="G252" s="74">
        <v>1</v>
      </c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16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>
        <v>1</v>
      </c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29">
        <f t="shared" si="10"/>
        <v>0</v>
      </c>
      <c r="FO252" s="5"/>
    </row>
    <row r="253" spans="1:171" s="37" customFormat="1" x14ac:dyDescent="0.25">
      <c r="A253" s="44" t="s">
        <v>81</v>
      </c>
      <c r="B253" s="74">
        <f t="shared" si="9"/>
        <v>0</v>
      </c>
      <c r="C253" s="66">
        <v>10</v>
      </c>
      <c r="D253" s="69">
        <v>44979</v>
      </c>
      <c r="E253" s="76">
        <v>35.18</v>
      </c>
      <c r="F253" s="76">
        <f t="shared" si="11"/>
        <v>0</v>
      </c>
      <c r="G253" s="74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16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>
        <v>10</v>
      </c>
      <c r="EX253" s="39"/>
      <c r="EY253" s="39"/>
      <c r="EZ253" s="39"/>
      <c r="FA253" s="39"/>
      <c r="FB253" s="39"/>
      <c r="FC253" s="39"/>
      <c r="FD253" s="39"/>
      <c r="FE253" s="39"/>
      <c r="FF253" s="39">
        <v>10</v>
      </c>
      <c r="FG253" s="39"/>
      <c r="FH253" s="39"/>
      <c r="FI253" s="39"/>
      <c r="FJ253" s="39"/>
      <c r="FK253" s="39"/>
      <c r="FL253" s="39"/>
      <c r="FM253" s="39"/>
      <c r="FN253" s="29">
        <f t="shared" si="10"/>
        <v>0</v>
      </c>
      <c r="FO253" s="5"/>
    </row>
    <row r="254" spans="1:171" s="37" customFormat="1" x14ac:dyDescent="0.25">
      <c r="A254" s="44" t="s">
        <v>133</v>
      </c>
      <c r="B254" s="74">
        <f t="shared" si="9"/>
        <v>0</v>
      </c>
      <c r="C254" s="66">
        <v>1.1000000000000001</v>
      </c>
      <c r="D254" s="68">
        <v>44795</v>
      </c>
      <c r="E254" s="76">
        <v>32.1</v>
      </c>
      <c r="F254" s="76">
        <f t="shared" si="11"/>
        <v>0</v>
      </c>
      <c r="G254" s="74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16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29">
        <f t="shared" si="10"/>
        <v>0</v>
      </c>
      <c r="FO254" s="5"/>
    </row>
    <row r="255" spans="1:171" s="37" customFormat="1" x14ac:dyDescent="0.25">
      <c r="A255" s="44" t="s">
        <v>202</v>
      </c>
      <c r="B255" s="74">
        <f t="shared" si="9"/>
        <v>10</v>
      </c>
      <c r="C255" s="66">
        <v>10</v>
      </c>
      <c r="D255" s="69">
        <v>43318</v>
      </c>
      <c r="E255" s="76">
        <v>17.920000000000002</v>
      </c>
      <c r="F255" s="76">
        <f t="shared" si="11"/>
        <v>179.20000000000002</v>
      </c>
      <c r="G255" s="74">
        <v>10</v>
      </c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16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>
        <v>10</v>
      </c>
      <c r="FN255" s="29">
        <f t="shared" si="10"/>
        <v>0</v>
      </c>
      <c r="FO255" s="5"/>
    </row>
    <row r="256" spans="1:171" s="37" customFormat="1" x14ac:dyDescent="0.25">
      <c r="A256" s="44" t="s">
        <v>213</v>
      </c>
      <c r="B256" s="74">
        <f t="shared" si="9"/>
        <v>20</v>
      </c>
      <c r="C256" s="66">
        <v>10</v>
      </c>
      <c r="D256" s="69">
        <v>44832</v>
      </c>
      <c r="E256" s="76">
        <v>47.26</v>
      </c>
      <c r="F256" s="76">
        <f t="shared" si="11"/>
        <v>945.19999999999993</v>
      </c>
      <c r="G256" s="74">
        <v>20</v>
      </c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>
        <v>20</v>
      </c>
      <c r="V256" s="39"/>
      <c r="W256" s="16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29">
        <f t="shared" si="10"/>
        <v>0</v>
      </c>
      <c r="FO256" s="5"/>
    </row>
    <row r="257" spans="1:171" s="37" customFormat="1" x14ac:dyDescent="0.25">
      <c r="A257" s="44" t="s">
        <v>343</v>
      </c>
      <c r="B257" s="74">
        <f t="shared" si="9"/>
        <v>0</v>
      </c>
      <c r="C257" s="66">
        <v>1</v>
      </c>
      <c r="D257" s="69">
        <v>44809</v>
      </c>
      <c r="E257" s="76">
        <v>49.77</v>
      </c>
      <c r="F257" s="76">
        <f t="shared" si="11"/>
        <v>0</v>
      </c>
      <c r="G257" s="74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16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29">
        <f t="shared" si="10"/>
        <v>0</v>
      </c>
      <c r="FO257" s="5"/>
    </row>
    <row r="258" spans="1:171" s="37" customFormat="1" ht="13.95" customHeight="1" x14ac:dyDescent="0.25">
      <c r="A258" s="44" t="s">
        <v>154</v>
      </c>
      <c r="B258" s="74">
        <f t="shared" si="9"/>
        <v>0</v>
      </c>
      <c r="C258" s="66">
        <v>1</v>
      </c>
      <c r="D258" s="68">
        <v>44949</v>
      </c>
      <c r="E258" s="76">
        <v>44.34</v>
      </c>
      <c r="F258" s="76">
        <f t="shared" si="11"/>
        <v>0</v>
      </c>
      <c r="G258" s="74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16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>
        <v>1</v>
      </c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>
        <v>1</v>
      </c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29">
        <f t="shared" si="10"/>
        <v>0</v>
      </c>
      <c r="FO258" s="5"/>
    </row>
    <row r="259" spans="1:171" s="37" customFormat="1" x14ac:dyDescent="0.25">
      <c r="A259" s="44" t="s">
        <v>423</v>
      </c>
      <c r="B259" s="74">
        <f t="shared" si="9"/>
        <v>0</v>
      </c>
      <c r="C259" s="66">
        <v>10</v>
      </c>
      <c r="D259" s="68">
        <v>44897</v>
      </c>
      <c r="E259" s="76">
        <v>61.46</v>
      </c>
      <c r="F259" s="76">
        <f t="shared" si="11"/>
        <v>0</v>
      </c>
      <c r="G259" s="74">
        <v>10</v>
      </c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16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>
        <v>10</v>
      </c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29">
        <f t="shared" si="10"/>
        <v>0</v>
      </c>
      <c r="FO259" s="5"/>
    </row>
    <row r="260" spans="1:171" s="37" customFormat="1" x14ac:dyDescent="0.25">
      <c r="A260" s="44" t="s">
        <v>423</v>
      </c>
      <c r="B260" s="74">
        <f t="shared" si="9"/>
        <v>20</v>
      </c>
      <c r="C260" s="66">
        <v>10</v>
      </c>
      <c r="D260" s="68">
        <v>44914</v>
      </c>
      <c r="E260" s="76">
        <v>61.01</v>
      </c>
      <c r="F260" s="76">
        <f t="shared" si="11"/>
        <v>1220.2</v>
      </c>
      <c r="G260" s="74">
        <v>20</v>
      </c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16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>
        <v>20</v>
      </c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29">
        <f t="shared" si="10"/>
        <v>0</v>
      </c>
      <c r="FO260" s="5"/>
    </row>
    <row r="261" spans="1:171" s="37" customFormat="1" x14ac:dyDescent="0.25">
      <c r="A261" s="44" t="s">
        <v>167</v>
      </c>
      <c r="B261" s="74">
        <f t="shared" si="9"/>
        <v>0</v>
      </c>
      <c r="C261" s="66">
        <v>10</v>
      </c>
      <c r="D261" s="68">
        <v>44844</v>
      </c>
      <c r="E261" s="76">
        <v>36.61</v>
      </c>
      <c r="F261" s="76">
        <f t="shared" si="11"/>
        <v>0</v>
      </c>
      <c r="G261" s="74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16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29">
        <f t="shared" si="10"/>
        <v>0</v>
      </c>
      <c r="FO261" s="5"/>
    </row>
    <row r="262" spans="1:171" s="37" customFormat="1" x14ac:dyDescent="0.25">
      <c r="A262" s="44" t="s">
        <v>125</v>
      </c>
      <c r="B262" s="74">
        <f t="shared" si="9"/>
        <v>0</v>
      </c>
      <c r="C262" s="66">
        <v>8</v>
      </c>
      <c r="D262" s="69">
        <v>44970</v>
      </c>
      <c r="E262" s="76">
        <v>46.12</v>
      </c>
      <c r="F262" s="76">
        <f t="shared" si="11"/>
        <v>0</v>
      </c>
      <c r="G262" s="74">
        <v>8</v>
      </c>
      <c r="H262" s="39"/>
      <c r="I262" s="39"/>
      <c r="J262" s="39"/>
      <c r="K262" s="39"/>
      <c r="L262" s="39">
        <v>3.2</v>
      </c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16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>
        <v>3.2</v>
      </c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>
        <v>8</v>
      </c>
      <c r="FH262" s="39"/>
      <c r="FI262" s="39"/>
      <c r="FJ262" s="39"/>
      <c r="FK262" s="39"/>
      <c r="FL262" s="39"/>
      <c r="FM262" s="39"/>
      <c r="FN262" s="29">
        <f t="shared" si="10"/>
        <v>0</v>
      </c>
      <c r="FO262" s="5"/>
    </row>
    <row r="263" spans="1:171" s="37" customFormat="1" x14ac:dyDescent="0.25">
      <c r="A263" s="60" t="s">
        <v>492</v>
      </c>
      <c r="B263" s="74">
        <f t="shared" si="9"/>
        <v>0</v>
      </c>
      <c r="C263" s="66">
        <v>8</v>
      </c>
      <c r="D263" s="69">
        <v>44832</v>
      </c>
      <c r="E263" s="76">
        <v>45.01</v>
      </c>
      <c r="F263" s="76">
        <f t="shared" si="11"/>
        <v>0</v>
      </c>
      <c r="G263" s="74">
        <v>8</v>
      </c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>
        <v>8</v>
      </c>
      <c r="U263" s="39"/>
      <c r="V263" s="39"/>
      <c r="W263" s="16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 t="s">
        <v>33</v>
      </c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29">
        <f t="shared" si="10"/>
        <v>0</v>
      </c>
      <c r="FO263" s="5"/>
    </row>
    <row r="264" spans="1:171" s="37" customFormat="1" x14ac:dyDescent="0.25">
      <c r="A264" s="60" t="s">
        <v>294</v>
      </c>
      <c r="B264" s="74">
        <f t="shared" si="9"/>
        <v>0</v>
      </c>
      <c r="C264" s="66">
        <v>10</v>
      </c>
      <c r="D264" s="68">
        <v>44788</v>
      </c>
      <c r="E264" s="76">
        <v>39.799999999999997</v>
      </c>
      <c r="F264" s="76">
        <f t="shared" si="11"/>
        <v>0</v>
      </c>
      <c r="G264" s="74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16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29">
        <f t="shared" si="10"/>
        <v>0</v>
      </c>
      <c r="FO264" s="5"/>
    </row>
    <row r="265" spans="1:171" s="37" customFormat="1" x14ac:dyDescent="0.25">
      <c r="A265" s="60" t="s">
        <v>489</v>
      </c>
      <c r="B265" s="74">
        <f t="shared" si="9"/>
        <v>0</v>
      </c>
      <c r="C265" s="66">
        <v>1</v>
      </c>
      <c r="D265" s="68">
        <v>44824</v>
      </c>
      <c r="E265" s="76">
        <v>52.76</v>
      </c>
      <c r="F265" s="76">
        <f t="shared" si="11"/>
        <v>0</v>
      </c>
      <c r="G265" s="74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16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29">
        <f t="shared" si="10"/>
        <v>0</v>
      </c>
      <c r="FO265" s="5"/>
    </row>
    <row r="266" spans="1:171" s="37" customFormat="1" ht="12" customHeight="1" x14ac:dyDescent="0.25">
      <c r="A266" s="24" t="s">
        <v>24</v>
      </c>
      <c r="B266" s="74">
        <f t="shared" si="9"/>
        <v>0</v>
      </c>
      <c r="C266" s="66">
        <v>10</v>
      </c>
      <c r="D266" s="68">
        <v>44970</v>
      </c>
      <c r="E266" s="110">
        <v>29.32</v>
      </c>
      <c r="F266" s="76">
        <f t="shared" si="11"/>
        <v>0</v>
      </c>
      <c r="G266" s="74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16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>
        <v>10</v>
      </c>
      <c r="EG266" s="39"/>
      <c r="EH266" s="39"/>
      <c r="EI266" s="39">
        <v>10</v>
      </c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29">
        <f t="shared" si="10"/>
        <v>0</v>
      </c>
      <c r="FO266" s="5"/>
    </row>
    <row r="267" spans="1:171" s="37" customFormat="1" x14ac:dyDescent="0.25">
      <c r="A267" s="60" t="s">
        <v>18</v>
      </c>
      <c r="B267" s="74">
        <f t="shared" si="9"/>
        <v>40</v>
      </c>
      <c r="C267" s="66">
        <v>10</v>
      </c>
      <c r="D267" s="69" t="s">
        <v>564</v>
      </c>
      <c r="E267" s="76">
        <v>48.53</v>
      </c>
      <c r="F267" s="76">
        <f t="shared" si="11"/>
        <v>1941.2</v>
      </c>
      <c r="G267" s="74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16"/>
      <c r="X267" s="39"/>
      <c r="Y267" s="39"/>
      <c r="Z267" s="39"/>
      <c r="AA267" s="39">
        <v>40</v>
      </c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>
        <v>10</v>
      </c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>
        <v>40</v>
      </c>
      <c r="DI267" s="39"/>
      <c r="DJ267" s="39"/>
      <c r="DK267" s="39"/>
      <c r="DL267" s="39"/>
      <c r="DM267" s="39"/>
      <c r="DN267" s="39"/>
      <c r="DO267" s="39"/>
      <c r="DP267" s="39"/>
      <c r="DQ267" s="39">
        <v>10</v>
      </c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29">
        <f t="shared" si="10"/>
        <v>0</v>
      </c>
      <c r="FO267" s="5"/>
    </row>
    <row r="268" spans="1:171" s="37" customFormat="1" x14ac:dyDescent="0.25">
      <c r="A268" s="60" t="s">
        <v>58</v>
      </c>
      <c r="B268" s="74">
        <f t="shared" si="9"/>
        <v>0</v>
      </c>
      <c r="C268" s="66">
        <v>1</v>
      </c>
      <c r="D268" s="69">
        <v>44956</v>
      </c>
      <c r="E268" s="76">
        <v>44.13</v>
      </c>
      <c r="F268" s="76">
        <f t="shared" si="11"/>
        <v>0</v>
      </c>
      <c r="G268" s="74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16"/>
      <c r="X268" s="39"/>
      <c r="Y268" s="39">
        <v>2</v>
      </c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>
        <v>2</v>
      </c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29">
        <f t="shared" si="10"/>
        <v>0</v>
      </c>
      <c r="FO268" s="5"/>
    </row>
    <row r="269" spans="1:171" s="37" customFormat="1" x14ac:dyDescent="0.25">
      <c r="A269" s="60" t="s">
        <v>188</v>
      </c>
      <c r="B269" s="74">
        <f t="shared" ref="B269:B313" si="12">SUMIF(G$3:FM$3,"прих",G269:FM269)-SUMIF(G$3:FM$3,"отгр",G269:FM269)</f>
        <v>10</v>
      </c>
      <c r="C269" s="66">
        <v>10</v>
      </c>
      <c r="D269" s="69">
        <v>44893</v>
      </c>
      <c r="E269" s="76">
        <v>37.4</v>
      </c>
      <c r="F269" s="76">
        <f t="shared" si="11"/>
        <v>374</v>
      </c>
      <c r="G269" s="74">
        <v>20</v>
      </c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16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>
        <v>10</v>
      </c>
      <c r="CU269" s="39"/>
      <c r="CV269" s="39"/>
      <c r="CW269" s="39">
        <v>10</v>
      </c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29">
        <f t="shared" ref="FN269:FN332" si="13">$B269-SUMIF($G$3:$KB$3,"",$G269:$KB269)</f>
        <v>0</v>
      </c>
      <c r="FO269" s="5"/>
    </row>
    <row r="270" spans="1:171" s="37" customFormat="1" x14ac:dyDescent="0.25">
      <c r="A270" s="60" t="s">
        <v>346</v>
      </c>
      <c r="B270" s="74">
        <f t="shared" si="12"/>
        <v>0</v>
      </c>
      <c r="C270" s="66">
        <v>1</v>
      </c>
      <c r="D270" s="69">
        <v>44672</v>
      </c>
      <c r="E270" s="76">
        <v>34.06</v>
      </c>
      <c r="F270" s="76">
        <f t="shared" si="11"/>
        <v>0</v>
      </c>
      <c r="G270" s="74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16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29">
        <f t="shared" si="13"/>
        <v>0</v>
      </c>
      <c r="FO270" s="5"/>
    </row>
    <row r="271" spans="1:171" s="37" customFormat="1" x14ac:dyDescent="0.25">
      <c r="A271" s="60" t="s">
        <v>191</v>
      </c>
      <c r="B271" s="74">
        <f t="shared" si="12"/>
        <v>0</v>
      </c>
      <c r="C271" s="66">
        <v>11</v>
      </c>
      <c r="D271" s="69">
        <v>44865</v>
      </c>
      <c r="E271" s="76">
        <v>28.81</v>
      </c>
      <c r="F271" s="76">
        <f t="shared" si="11"/>
        <v>0</v>
      </c>
      <c r="G271" s="74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16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29">
        <f t="shared" si="13"/>
        <v>0</v>
      </c>
      <c r="FO271" s="5"/>
    </row>
    <row r="272" spans="1:171" s="37" customFormat="1" x14ac:dyDescent="0.25">
      <c r="A272" s="44" t="s">
        <v>101</v>
      </c>
      <c r="B272" s="74">
        <f t="shared" si="12"/>
        <v>0</v>
      </c>
      <c r="C272" s="66">
        <v>10</v>
      </c>
      <c r="D272" s="68">
        <v>44970</v>
      </c>
      <c r="E272" s="76">
        <v>35.6</v>
      </c>
      <c r="F272" s="76">
        <f t="shared" si="11"/>
        <v>0</v>
      </c>
      <c r="G272" s="74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16"/>
      <c r="X272" s="39"/>
      <c r="Y272" s="39"/>
      <c r="Z272" s="39">
        <v>5</v>
      </c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>
        <v>10</v>
      </c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>
        <v>5</v>
      </c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>
        <v>10</v>
      </c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29">
        <f t="shared" si="13"/>
        <v>0</v>
      </c>
      <c r="FO272" s="5"/>
    </row>
    <row r="273" spans="1:171" s="37" customFormat="1" x14ac:dyDescent="0.25">
      <c r="A273" s="44" t="s">
        <v>195</v>
      </c>
      <c r="B273" s="74">
        <f t="shared" si="12"/>
        <v>2</v>
      </c>
      <c r="C273" s="66">
        <v>1</v>
      </c>
      <c r="D273" s="68">
        <v>44979</v>
      </c>
      <c r="E273" s="76">
        <v>54.1</v>
      </c>
      <c r="F273" s="76">
        <f t="shared" si="11"/>
        <v>108.2</v>
      </c>
      <c r="G273" s="74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16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>
        <v>3</v>
      </c>
      <c r="BC273" s="39"/>
      <c r="BD273" s="39"/>
      <c r="BE273" s="39">
        <v>2</v>
      </c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>
        <v>1</v>
      </c>
      <c r="EG273" s="39"/>
      <c r="EH273" s="39"/>
      <c r="EI273" s="39">
        <v>1</v>
      </c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>
        <v>5</v>
      </c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29">
        <f t="shared" si="13"/>
        <v>0</v>
      </c>
      <c r="FO273" s="5"/>
    </row>
    <row r="274" spans="1:171" s="37" customFormat="1" x14ac:dyDescent="0.25">
      <c r="A274" s="44" t="s">
        <v>474</v>
      </c>
      <c r="B274" s="74">
        <f t="shared" si="12"/>
        <v>0</v>
      </c>
      <c r="C274" s="66">
        <v>9</v>
      </c>
      <c r="D274" s="69">
        <v>44672</v>
      </c>
      <c r="E274" s="76">
        <v>47.21</v>
      </c>
      <c r="F274" s="76">
        <f t="shared" si="11"/>
        <v>0</v>
      </c>
      <c r="G274" s="74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16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29">
        <f t="shared" si="13"/>
        <v>0</v>
      </c>
      <c r="FO274" s="5"/>
    </row>
    <row r="275" spans="1:171" s="37" customFormat="1" x14ac:dyDescent="0.25">
      <c r="A275" s="44" t="s">
        <v>109</v>
      </c>
      <c r="B275" s="74">
        <f t="shared" si="12"/>
        <v>0</v>
      </c>
      <c r="C275" s="66">
        <v>10</v>
      </c>
      <c r="D275" s="69">
        <v>44816</v>
      </c>
      <c r="E275" s="76">
        <v>36.979999999999997</v>
      </c>
      <c r="F275" s="76">
        <f t="shared" si="11"/>
        <v>0</v>
      </c>
      <c r="G275" s="74">
        <v>10</v>
      </c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16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>
        <v>10</v>
      </c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29">
        <f t="shared" si="13"/>
        <v>0</v>
      </c>
      <c r="FO275" s="5"/>
    </row>
    <row r="276" spans="1:171" s="37" customFormat="1" x14ac:dyDescent="0.25">
      <c r="A276" s="44" t="s">
        <v>227</v>
      </c>
      <c r="B276" s="74">
        <f t="shared" si="12"/>
        <v>130</v>
      </c>
      <c r="C276" s="66">
        <v>10</v>
      </c>
      <c r="D276" s="69">
        <v>44879</v>
      </c>
      <c r="E276" s="76">
        <v>28.81</v>
      </c>
      <c r="F276" s="76">
        <f t="shared" si="11"/>
        <v>3745.2999999999997</v>
      </c>
      <c r="G276" s="74">
        <v>130</v>
      </c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16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>
        <v>130</v>
      </c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29">
        <f t="shared" si="13"/>
        <v>0</v>
      </c>
      <c r="FO276" s="5"/>
    </row>
    <row r="277" spans="1:171" s="37" customFormat="1" x14ac:dyDescent="0.25">
      <c r="A277" s="44" t="s">
        <v>455</v>
      </c>
      <c r="B277" s="74">
        <f t="shared" si="12"/>
        <v>0</v>
      </c>
      <c r="C277" s="66">
        <v>9</v>
      </c>
      <c r="D277" s="69">
        <v>44739</v>
      </c>
      <c r="E277" s="76">
        <v>38.630000000000003</v>
      </c>
      <c r="F277" s="76">
        <f t="shared" si="11"/>
        <v>0</v>
      </c>
      <c r="G277" s="74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16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29">
        <f t="shared" si="13"/>
        <v>0</v>
      </c>
      <c r="FO277" s="5"/>
    </row>
    <row r="278" spans="1:171" s="37" customFormat="1" x14ac:dyDescent="0.25">
      <c r="A278" s="44" t="s">
        <v>520</v>
      </c>
      <c r="B278" s="74">
        <f t="shared" si="12"/>
        <v>0</v>
      </c>
      <c r="C278" s="66">
        <v>1</v>
      </c>
      <c r="D278" s="68">
        <v>44781</v>
      </c>
      <c r="E278" s="76">
        <v>93.64</v>
      </c>
      <c r="F278" s="76">
        <f t="shared" si="11"/>
        <v>0</v>
      </c>
      <c r="G278" s="74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16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29">
        <f t="shared" si="13"/>
        <v>0</v>
      </c>
      <c r="FO278" s="5"/>
    </row>
    <row r="279" spans="1:171" s="37" customFormat="1" x14ac:dyDescent="0.25">
      <c r="A279" s="60" t="s">
        <v>502</v>
      </c>
      <c r="B279" s="74">
        <f t="shared" si="12"/>
        <v>0</v>
      </c>
      <c r="C279" s="66">
        <v>1</v>
      </c>
      <c r="D279" s="68">
        <v>44781</v>
      </c>
      <c r="E279" s="76">
        <v>49.15</v>
      </c>
      <c r="F279" s="76">
        <f t="shared" si="11"/>
        <v>0</v>
      </c>
      <c r="G279" s="74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16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29">
        <f t="shared" si="13"/>
        <v>0</v>
      </c>
      <c r="FO279" s="5"/>
    </row>
    <row r="280" spans="1:171" s="37" customFormat="1" x14ac:dyDescent="0.25">
      <c r="A280" s="60" t="s">
        <v>20</v>
      </c>
      <c r="B280" s="74">
        <f t="shared" si="12"/>
        <v>0</v>
      </c>
      <c r="C280" s="66">
        <v>1</v>
      </c>
      <c r="D280" s="68">
        <v>44970</v>
      </c>
      <c r="E280" s="76">
        <v>41.88</v>
      </c>
      <c r="F280" s="76">
        <f t="shared" si="11"/>
        <v>0</v>
      </c>
      <c r="G280" s="74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16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>
        <v>10</v>
      </c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>
        <v>10</v>
      </c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>
        <v>4</v>
      </c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>
        <v>4</v>
      </c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29">
        <f t="shared" si="13"/>
        <v>0</v>
      </c>
      <c r="FO280" s="5"/>
    </row>
    <row r="281" spans="1:171" s="37" customFormat="1" x14ac:dyDescent="0.25">
      <c r="A281" s="60" t="s">
        <v>532</v>
      </c>
      <c r="B281" s="74">
        <f t="shared" si="12"/>
        <v>0</v>
      </c>
      <c r="C281" s="66">
        <v>10</v>
      </c>
      <c r="D281" s="68">
        <v>44865</v>
      </c>
      <c r="E281" s="76">
        <v>42.1</v>
      </c>
      <c r="F281" s="76">
        <f t="shared" si="11"/>
        <v>0</v>
      </c>
      <c r="G281" s="74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16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29">
        <f t="shared" si="13"/>
        <v>0</v>
      </c>
      <c r="FO281" s="5"/>
    </row>
    <row r="282" spans="1:171" s="37" customFormat="1" x14ac:dyDescent="0.25">
      <c r="A282" s="60" t="s">
        <v>526</v>
      </c>
      <c r="B282" s="74">
        <f t="shared" si="12"/>
        <v>0</v>
      </c>
      <c r="C282" s="66">
        <v>1</v>
      </c>
      <c r="D282" s="68">
        <v>44970</v>
      </c>
      <c r="E282" s="76">
        <v>54.44</v>
      </c>
      <c r="F282" s="76">
        <f t="shared" si="11"/>
        <v>0</v>
      </c>
      <c r="G282" s="74">
        <v>2</v>
      </c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16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>
        <v>2</v>
      </c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>
        <v>4</v>
      </c>
      <c r="EG282" s="39"/>
      <c r="EH282" s="39"/>
      <c r="EI282" s="39"/>
      <c r="EJ282" s="39"/>
      <c r="EK282" s="39"/>
      <c r="EL282" s="39"/>
      <c r="EM282" s="39">
        <v>4</v>
      </c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29">
        <f t="shared" si="13"/>
        <v>0</v>
      </c>
      <c r="FO282" s="5"/>
    </row>
    <row r="283" spans="1:171" s="37" customFormat="1" x14ac:dyDescent="0.25">
      <c r="A283" s="60" t="s">
        <v>170</v>
      </c>
      <c r="B283" s="74">
        <f t="shared" si="12"/>
        <v>10</v>
      </c>
      <c r="C283" s="66">
        <v>10</v>
      </c>
      <c r="D283" s="68">
        <v>44979</v>
      </c>
      <c r="E283" s="76">
        <v>37.270000000000003</v>
      </c>
      <c r="F283" s="76">
        <f t="shared" si="11"/>
        <v>372.70000000000005</v>
      </c>
      <c r="G283" s="74">
        <v>30</v>
      </c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16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>
        <v>10</v>
      </c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>
        <v>10</v>
      </c>
      <c r="CU283" s="39">
        <v>10</v>
      </c>
      <c r="CV283" s="39"/>
      <c r="CW283" s="39">
        <v>10</v>
      </c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>
        <v>10</v>
      </c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>
        <v>20</v>
      </c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29">
        <f t="shared" si="13"/>
        <v>0</v>
      </c>
      <c r="FO283" s="5"/>
    </row>
    <row r="284" spans="1:171" s="37" customFormat="1" x14ac:dyDescent="0.25">
      <c r="A284" s="60" t="s">
        <v>170</v>
      </c>
      <c r="B284" s="74">
        <f t="shared" si="12"/>
        <v>0</v>
      </c>
      <c r="C284" s="66">
        <v>10</v>
      </c>
      <c r="D284" s="68">
        <v>44949</v>
      </c>
      <c r="E284" s="76">
        <v>38.01</v>
      </c>
      <c r="F284" s="76">
        <f t="shared" si="11"/>
        <v>0</v>
      </c>
      <c r="G284" s="74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16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>
        <v>10</v>
      </c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>
        <v>10</v>
      </c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29">
        <f t="shared" si="13"/>
        <v>0</v>
      </c>
      <c r="FO284" s="5"/>
    </row>
    <row r="285" spans="1:171" s="37" customFormat="1" x14ac:dyDescent="0.25">
      <c r="A285" s="60" t="s">
        <v>126</v>
      </c>
      <c r="B285" s="74">
        <f t="shared" si="12"/>
        <v>0</v>
      </c>
      <c r="C285" s="66">
        <v>10</v>
      </c>
      <c r="D285" s="68">
        <v>44914</v>
      </c>
      <c r="E285" s="76">
        <v>50.11</v>
      </c>
      <c r="F285" s="76">
        <f t="shared" si="11"/>
        <v>0</v>
      </c>
      <c r="G285" s="74">
        <v>50</v>
      </c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16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>
        <v>50</v>
      </c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29">
        <f t="shared" si="13"/>
        <v>0</v>
      </c>
      <c r="FO285" s="5"/>
    </row>
    <row r="286" spans="1:171" s="37" customFormat="1" x14ac:dyDescent="0.25">
      <c r="A286" s="60" t="s">
        <v>126</v>
      </c>
      <c r="B286" s="74">
        <f t="shared" si="12"/>
        <v>20</v>
      </c>
      <c r="C286" s="66">
        <v>10</v>
      </c>
      <c r="D286" s="68">
        <v>44924</v>
      </c>
      <c r="E286" s="76">
        <v>48.3</v>
      </c>
      <c r="F286" s="76">
        <f t="shared" si="11"/>
        <v>966</v>
      </c>
      <c r="G286" s="74">
        <v>90</v>
      </c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16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>
        <v>70</v>
      </c>
      <c r="AX286" s="39"/>
      <c r="AY286" s="39"/>
      <c r="AZ286" s="39"/>
      <c r="BA286" s="39"/>
      <c r="BB286" s="39"/>
      <c r="BC286" s="39"/>
      <c r="BD286" s="39"/>
      <c r="BE286" s="39">
        <v>20</v>
      </c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29">
        <f t="shared" si="13"/>
        <v>0</v>
      </c>
      <c r="FO286" s="5"/>
    </row>
    <row r="287" spans="1:171" s="37" customFormat="1" x14ac:dyDescent="0.25">
      <c r="A287" s="60" t="s">
        <v>239</v>
      </c>
      <c r="B287" s="74">
        <f t="shared" si="12"/>
        <v>0</v>
      </c>
      <c r="C287" s="66">
        <v>10</v>
      </c>
      <c r="D287" s="68">
        <v>44704</v>
      </c>
      <c r="E287" s="76">
        <v>40.130000000000003</v>
      </c>
      <c r="F287" s="76">
        <f t="shared" si="11"/>
        <v>0</v>
      </c>
      <c r="G287" s="74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16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29">
        <f t="shared" si="13"/>
        <v>0</v>
      </c>
      <c r="FO287" s="5"/>
    </row>
    <row r="288" spans="1:171" s="37" customFormat="1" x14ac:dyDescent="0.25">
      <c r="A288" s="60" t="s">
        <v>129</v>
      </c>
      <c r="B288" s="74">
        <f t="shared" si="12"/>
        <v>5</v>
      </c>
      <c r="C288" s="66">
        <v>10</v>
      </c>
      <c r="D288" s="68">
        <v>44543</v>
      </c>
      <c r="E288" s="76">
        <v>24.84</v>
      </c>
      <c r="F288" s="76">
        <f t="shared" si="11"/>
        <v>124.2</v>
      </c>
      <c r="G288" s="74">
        <v>5</v>
      </c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155">
        <v>5</v>
      </c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29">
        <f t="shared" si="13"/>
        <v>0</v>
      </c>
      <c r="FO288" s="5"/>
    </row>
    <row r="289" spans="1:194" s="37" customFormat="1" x14ac:dyDescent="0.25">
      <c r="A289" s="60" t="s">
        <v>68</v>
      </c>
      <c r="B289" s="74">
        <f t="shared" si="12"/>
        <v>0</v>
      </c>
      <c r="C289" s="66">
        <v>10</v>
      </c>
      <c r="D289" s="68">
        <v>44851</v>
      </c>
      <c r="E289" s="76">
        <v>36.89</v>
      </c>
      <c r="F289" s="76">
        <f t="shared" si="11"/>
        <v>0</v>
      </c>
      <c r="G289" s="74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16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29">
        <f t="shared" si="13"/>
        <v>0</v>
      </c>
      <c r="FO289" s="5"/>
    </row>
    <row r="290" spans="1:194" x14ac:dyDescent="0.25">
      <c r="A290" s="60" t="s">
        <v>139</v>
      </c>
      <c r="B290" s="74">
        <f t="shared" si="12"/>
        <v>1.8</v>
      </c>
      <c r="C290" s="66">
        <v>0.9</v>
      </c>
      <c r="D290" s="69">
        <v>44914</v>
      </c>
      <c r="E290" s="76">
        <v>50.11</v>
      </c>
      <c r="F290" s="76">
        <f t="shared" si="11"/>
        <v>90.198000000000008</v>
      </c>
      <c r="G290" s="74">
        <v>1.8</v>
      </c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16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>
        <v>1.8</v>
      </c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29">
        <f t="shared" si="13"/>
        <v>0</v>
      </c>
      <c r="FO290" s="5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</row>
    <row r="291" spans="1:194" x14ac:dyDescent="0.25">
      <c r="A291" s="44" t="s">
        <v>62</v>
      </c>
      <c r="B291" s="74">
        <f t="shared" si="12"/>
        <v>40</v>
      </c>
      <c r="C291" s="66">
        <v>10</v>
      </c>
      <c r="D291" s="69">
        <v>44897</v>
      </c>
      <c r="E291" s="76">
        <v>35.130000000000003</v>
      </c>
      <c r="F291" s="76">
        <f t="shared" si="11"/>
        <v>1405.2</v>
      </c>
      <c r="G291" s="74">
        <v>40</v>
      </c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16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>
        <v>40</v>
      </c>
      <c r="FN291" s="29">
        <f t="shared" si="13"/>
        <v>0</v>
      </c>
      <c r="FO291" s="5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</row>
    <row r="292" spans="1:194" x14ac:dyDescent="0.25">
      <c r="A292" s="44" t="s">
        <v>62</v>
      </c>
      <c r="B292" s="74">
        <f t="shared" si="12"/>
        <v>0</v>
      </c>
      <c r="C292" s="66">
        <v>1</v>
      </c>
      <c r="D292" s="69">
        <v>44956</v>
      </c>
      <c r="E292" s="76">
        <v>37.83</v>
      </c>
      <c r="F292" s="76">
        <f t="shared" si="11"/>
        <v>0</v>
      </c>
      <c r="G292" s="74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16"/>
      <c r="X292" s="39"/>
      <c r="Y292" s="39">
        <v>1</v>
      </c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>
        <v>3</v>
      </c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>
        <v>4</v>
      </c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29">
        <f t="shared" si="13"/>
        <v>0</v>
      </c>
      <c r="FO292" s="5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</row>
    <row r="293" spans="1:194" x14ac:dyDescent="0.25">
      <c r="A293" s="44" t="s">
        <v>93</v>
      </c>
      <c r="B293" s="74">
        <f t="shared" si="12"/>
        <v>0</v>
      </c>
      <c r="C293" s="66">
        <v>10</v>
      </c>
      <c r="D293" s="69">
        <v>44879</v>
      </c>
      <c r="E293" s="76">
        <v>44.3</v>
      </c>
      <c r="F293" s="76">
        <f t="shared" si="11"/>
        <v>0</v>
      </c>
      <c r="G293" s="74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16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29">
        <f t="shared" si="13"/>
        <v>0</v>
      </c>
      <c r="FO293" s="5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</row>
    <row r="294" spans="1:194" x14ac:dyDescent="0.25">
      <c r="A294" s="44" t="s">
        <v>467</v>
      </c>
      <c r="B294" s="74">
        <f t="shared" si="12"/>
        <v>0</v>
      </c>
      <c r="C294" s="66">
        <v>1</v>
      </c>
      <c r="D294" s="69">
        <v>44949</v>
      </c>
      <c r="E294" s="76">
        <v>18.989999999999998</v>
      </c>
      <c r="F294" s="76">
        <f t="shared" si="11"/>
        <v>0</v>
      </c>
      <c r="G294" s="74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16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>
        <v>5</v>
      </c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>
        <v>5</v>
      </c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29">
        <f t="shared" si="13"/>
        <v>0</v>
      </c>
      <c r="FO294" s="5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</row>
    <row r="295" spans="1:194" x14ac:dyDescent="0.25">
      <c r="A295" s="44" t="s">
        <v>521</v>
      </c>
      <c r="B295" s="74">
        <f t="shared" si="12"/>
        <v>0</v>
      </c>
      <c r="C295" s="66">
        <v>1</v>
      </c>
      <c r="D295" s="69">
        <v>44956</v>
      </c>
      <c r="E295" s="76">
        <v>37.83</v>
      </c>
      <c r="F295" s="76">
        <f t="shared" si="11"/>
        <v>0</v>
      </c>
      <c r="G295" s="74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16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>
        <v>5</v>
      </c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>
        <v>5</v>
      </c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29">
        <f t="shared" si="13"/>
        <v>0</v>
      </c>
      <c r="FO295" s="5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</row>
    <row r="296" spans="1:194" x14ac:dyDescent="0.25">
      <c r="A296" s="44" t="s">
        <v>521</v>
      </c>
      <c r="B296" s="74">
        <f t="shared" si="12"/>
        <v>0</v>
      </c>
      <c r="C296" s="66">
        <v>10</v>
      </c>
      <c r="D296" s="69">
        <v>44956</v>
      </c>
      <c r="E296" s="76">
        <v>35.700000000000003</v>
      </c>
      <c r="F296" s="76">
        <f t="shared" si="11"/>
        <v>0</v>
      </c>
      <c r="G296" s="74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16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>
        <v>20</v>
      </c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>
        <v>20</v>
      </c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29">
        <f t="shared" si="13"/>
        <v>0</v>
      </c>
      <c r="FO296" s="5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</row>
    <row r="297" spans="1:194" x14ac:dyDescent="0.25">
      <c r="A297" s="44" t="s">
        <v>233</v>
      </c>
      <c r="B297" s="74">
        <f t="shared" si="12"/>
        <v>0</v>
      </c>
      <c r="C297" s="66">
        <v>10</v>
      </c>
      <c r="D297" s="68">
        <v>44879</v>
      </c>
      <c r="E297" s="76">
        <v>46.54</v>
      </c>
      <c r="F297" s="76">
        <f t="shared" si="11"/>
        <v>0</v>
      </c>
      <c r="G297" s="74">
        <v>20</v>
      </c>
      <c r="H297" s="39"/>
      <c r="I297" s="39">
        <v>20</v>
      </c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16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29">
        <f t="shared" si="13"/>
        <v>0</v>
      </c>
      <c r="FO297" s="5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</row>
    <row r="298" spans="1:194" x14ac:dyDescent="0.25">
      <c r="A298" s="44" t="s">
        <v>522</v>
      </c>
      <c r="B298" s="74">
        <f t="shared" si="12"/>
        <v>0</v>
      </c>
      <c r="C298" s="66">
        <v>10</v>
      </c>
      <c r="D298" s="68">
        <v>44979</v>
      </c>
      <c r="E298" s="76">
        <v>41.84</v>
      </c>
      <c r="F298" s="76">
        <f t="shared" si="11"/>
        <v>0</v>
      </c>
      <c r="G298" s="74"/>
      <c r="H298" s="39"/>
      <c r="I298" s="39"/>
      <c r="J298" s="39"/>
      <c r="K298" s="39"/>
      <c r="L298" s="39">
        <v>50</v>
      </c>
      <c r="M298" s="39"/>
      <c r="N298" s="39"/>
      <c r="O298" s="39"/>
      <c r="P298" s="39"/>
      <c r="Q298" s="39"/>
      <c r="R298" s="39"/>
      <c r="S298" s="39"/>
      <c r="T298" s="39">
        <v>90</v>
      </c>
      <c r="U298" s="39"/>
      <c r="V298" s="39"/>
      <c r="W298" s="16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>
        <v>50</v>
      </c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>
        <v>90</v>
      </c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29">
        <f t="shared" si="13"/>
        <v>0</v>
      </c>
      <c r="FO298" s="5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</row>
    <row r="299" spans="1:194" x14ac:dyDescent="0.25">
      <c r="A299" s="44" t="s">
        <v>112</v>
      </c>
      <c r="B299" s="74">
        <f t="shared" si="12"/>
        <v>90</v>
      </c>
      <c r="C299" s="66">
        <v>10</v>
      </c>
      <c r="D299" s="68">
        <v>44979</v>
      </c>
      <c r="E299" s="76">
        <v>28.97</v>
      </c>
      <c r="F299" s="76">
        <f t="shared" ref="F299:F359" si="14">E299*B299</f>
        <v>2607.2999999999997</v>
      </c>
      <c r="G299" s="74">
        <v>10</v>
      </c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16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>
        <v>3</v>
      </c>
      <c r="CN299" s="39"/>
      <c r="CO299" s="39"/>
      <c r="CP299" s="39"/>
      <c r="CQ299" s="39"/>
      <c r="CR299" s="39"/>
      <c r="CS299" s="39"/>
      <c r="CT299" s="39"/>
      <c r="CU299" s="39"/>
      <c r="CV299" s="39">
        <v>40</v>
      </c>
      <c r="CW299" s="39"/>
      <c r="CX299" s="39"/>
      <c r="CY299" s="39"/>
      <c r="CZ299" s="39"/>
      <c r="DA299" s="39"/>
      <c r="DB299" s="39"/>
      <c r="DC299" s="39"/>
      <c r="DD299" s="39">
        <v>10</v>
      </c>
      <c r="DE299" s="39"/>
      <c r="DF299" s="39"/>
      <c r="DG299" s="39"/>
      <c r="DH299" s="39">
        <v>3</v>
      </c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>
        <v>20</v>
      </c>
      <c r="EG299" s="39"/>
      <c r="EH299" s="39">
        <v>20</v>
      </c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>
        <v>90</v>
      </c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>
        <v>50</v>
      </c>
      <c r="FN299" s="29">
        <f t="shared" si="13"/>
        <v>0</v>
      </c>
      <c r="FO299" s="5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</row>
    <row r="300" spans="1:194" x14ac:dyDescent="0.25">
      <c r="A300" s="44" t="s">
        <v>112</v>
      </c>
      <c r="B300" s="74">
        <f t="shared" si="12"/>
        <v>0</v>
      </c>
      <c r="C300" s="66">
        <v>10</v>
      </c>
      <c r="D300" s="68">
        <v>44949</v>
      </c>
      <c r="E300" s="76">
        <v>29.55</v>
      </c>
      <c r="F300" s="76">
        <f t="shared" si="14"/>
        <v>0</v>
      </c>
      <c r="G300" s="74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16"/>
      <c r="X300" s="39"/>
      <c r="Y300" s="39"/>
      <c r="Z300" s="39"/>
      <c r="AA300" s="39"/>
      <c r="AB300" s="39"/>
      <c r="AC300" s="39"/>
      <c r="AD300" s="39"/>
      <c r="AE300" s="39"/>
      <c r="AF300" s="39"/>
      <c r="AG300" s="39">
        <v>10</v>
      </c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>
        <v>40</v>
      </c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>
        <v>40</v>
      </c>
      <c r="DI300" s="39"/>
      <c r="DJ300" s="39"/>
      <c r="DK300" s="39"/>
      <c r="DL300" s="39"/>
      <c r="DM300" s="39"/>
      <c r="DN300" s="39"/>
      <c r="DO300" s="39"/>
      <c r="DP300" s="39"/>
      <c r="DQ300" s="39">
        <v>10</v>
      </c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29">
        <f t="shared" si="13"/>
        <v>0</v>
      </c>
      <c r="FO300" s="5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</row>
    <row r="301" spans="1:194" s="37" customFormat="1" ht="12.75" customHeight="1" x14ac:dyDescent="0.25">
      <c r="A301" s="60" t="s">
        <v>19</v>
      </c>
      <c r="B301" s="74">
        <f t="shared" si="12"/>
        <v>60</v>
      </c>
      <c r="C301" s="66">
        <v>10</v>
      </c>
      <c r="D301" s="69">
        <v>44924</v>
      </c>
      <c r="E301" s="76">
        <v>39.909999999999997</v>
      </c>
      <c r="F301" s="76">
        <f t="shared" si="14"/>
        <v>2394.6</v>
      </c>
      <c r="G301" s="74">
        <v>100</v>
      </c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16"/>
      <c r="X301" s="39"/>
      <c r="Y301" s="39"/>
      <c r="Z301" s="39"/>
      <c r="AA301" s="39"/>
      <c r="AB301" s="39"/>
      <c r="AC301" s="39"/>
      <c r="AD301" s="39"/>
      <c r="AE301" s="39">
        <v>40</v>
      </c>
      <c r="AF301" s="39"/>
      <c r="AG301" s="39"/>
      <c r="AH301" s="39"/>
      <c r="AI301" s="39"/>
      <c r="AJ301" s="39"/>
      <c r="AK301" s="39"/>
      <c r="AL301" s="39"/>
      <c r="AM301" s="39">
        <v>60</v>
      </c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29">
        <f t="shared" si="13"/>
        <v>0</v>
      </c>
      <c r="FO301" s="5"/>
    </row>
    <row r="302" spans="1:194" s="37" customFormat="1" ht="12.75" customHeight="1" x14ac:dyDescent="0.25">
      <c r="A302" s="60" t="s">
        <v>458</v>
      </c>
      <c r="B302" s="74">
        <f t="shared" si="12"/>
        <v>0</v>
      </c>
      <c r="C302" s="66">
        <v>9</v>
      </c>
      <c r="D302" s="69">
        <v>44680</v>
      </c>
      <c r="E302" s="76">
        <v>98.22</v>
      </c>
      <c r="F302" s="76">
        <f>E302*B302</f>
        <v>0</v>
      </c>
      <c r="G302" s="74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16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29">
        <f t="shared" si="13"/>
        <v>0</v>
      </c>
      <c r="FO302" s="5"/>
    </row>
    <row r="303" spans="1:194" s="37" customFormat="1" ht="12.75" customHeight="1" x14ac:dyDescent="0.25">
      <c r="A303" s="60" t="s">
        <v>250</v>
      </c>
      <c r="B303" s="74">
        <f t="shared" si="12"/>
        <v>0</v>
      </c>
      <c r="C303" s="66">
        <v>10</v>
      </c>
      <c r="D303" s="69">
        <v>44593</v>
      </c>
      <c r="E303" s="76">
        <v>30.84</v>
      </c>
      <c r="F303" s="76">
        <f t="shared" si="14"/>
        <v>0</v>
      </c>
      <c r="G303" s="74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16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29">
        <f t="shared" si="13"/>
        <v>0</v>
      </c>
      <c r="FO303" s="5"/>
    </row>
    <row r="304" spans="1:194" s="37" customFormat="1" ht="12.75" customHeight="1" x14ac:dyDescent="0.25">
      <c r="A304" s="60" t="s">
        <v>203</v>
      </c>
      <c r="B304" s="74">
        <f t="shared" si="12"/>
        <v>140</v>
      </c>
      <c r="C304" s="66">
        <v>10</v>
      </c>
      <c r="D304" s="68">
        <v>44949</v>
      </c>
      <c r="E304" s="76">
        <v>29.55</v>
      </c>
      <c r="F304" s="76">
        <f t="shared" si="14"/>
        <v>4137</v>
      </c>
      <c r="G304" s="74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16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>
        <v>160</v>
      </c>
      <c r="AP304" s="39"/>
      <c r="AQ304" s="39">
        <v>140</v>
      </c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>
        <v>300</v>
      </c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29">
        <f t="shared" si="13"/>
        <v>0</v>
      </c>
      <c r="FO304" s="5"/>
    </row>
    <row r="305" spans="1:194" ht="12.75" customHeight="1" x14ac:dyDescent="0.25">
      <c r="A305" s="44" t="s">
        <v>113</v>
      </c>
      <c r="B305" s="74">
        <f t="shared" si="12"/>
        <v>150</v>
      </c>
      <c r="C305" s="66">
        <v>10</v>
      </c>
      <c r="D305" s="69">
        <v>44979</v>
      </c>
      <c r="E305" s="76">
        <v>35.18</v>
      </c>
      <c r="F305" s="76">
        <f t="shared" si="14"/>
        <v>5277</v>
      </c>
      <c r="G305" s="74">
        <v>140</v>
      </c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16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>
        <v>60</v>
      </c>
      <c r="AO305" s="39">
        <v>80</v>
      </c>
      <c r="AP305" s="39"/>
      <c r="AQ305" s="39">
        <v>150</v>
      </c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>
        <v>150</v>
      </c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29">
        <f t="shared" si="13"/>
        <v>0</v>
      </c>
      <c r="FO305" s="5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</row>
    <row r="306" spans="1:194" ht="12.75" customHeight="1" x14ac:dyDescent="0.25">
      <c r="A306" s="44" t="s">
        <v>113</v>
      </c>
      <c r="B306" s="74">
        <f t="shared" si="12"/>
        <v>90</v>
      </c>
      <c r="C306" s="66">
        <v>10</v>
      </c>
      <c r="D306" s="69">
        <v>44924</v>
      </c>
      <c r="E306" s="76">
        <v>35.700000000000003</v>
      </c>
      <c r="F306" s="76">
        <f t="shared" si="14"/>
        <v>3213.0000000000005</v>
      </c>
      <c r="G306" s="74">
        <v>170</v>
      </c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>
        <v>10</v>
      </c>
      <c r="W306" s="16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>
        <v>80</v>
      </c>
      <c r="AP306" s="39"/>
      <c r="AQ306" s="39">
        <v>80</v>
      </c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29">
        <f t="shared" si="13"/>
        <v>0</v>
      </c>
      <c r="FO306" s="5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</row>
    <row r="307" spans="1:194" ht="12.75" customHeight="1" x14ac:dyDescent="0.25">
      <c r="A307" s="44" t="s">
        <v>234</v>
      </c>
      <c r="B307" s="74">
        <f t="shared" si="12"/>
        <v>0</v>
      </c>
      <c r="C307" s="66">
        <v>1</v>
      </c>
      <c r="D307" s="68">
        <v>44914</v>
      </c>
      <c r="E307" s="76">
        <v>45.78</v>
      </c>
      <c r="F307" s="76">
        <f t="shared" si="14"/>
        <v>0</v>
      </c>
      <c r="G307" s="74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16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29">
        <f t="shared" si="13"/>
        <v>0</v>
      </c>
      <c r="FO307" s="5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</row>
    <row r="308" spans="1:194" ht="12.75" customHeight="1" x14ac:dyDescent="0.25">
      <c r="A308" s="44" t="s">
        <v>495</v>
      </c>
      <c r="B308" s="74">
        <f t="shared" si="12"/>
        <v>0</v>
      </c>
      <c r="C308" s="66">
        <v>1</v>
      </c>
      <c r="D308" s="68">
        <v>44753</v>
      </c>
      <c r="E308" s="76">
        <v>24.05</v>
      </c>
      <c r="F308" s="76">
        <f t="shared" si="14"/>
        <v>0</v>
      </c>
      <c r="G308" s="74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16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29">
        <f t="shared" si="13"/>
        <v>0</v>
      </c>
      <c r="FO308" s="5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</row>
    <row r="309" spans="1:194" ht="12.75" customHeight="1" x14ac:dyDescent="0.25">
      <c r="A309" s="44" t="s">
        <v>151</v>
      </c>
      <c r="B309" s="74">
        <f t="shared" si="12"/>
        <v>0.6</v>
      </c>
      <c r="C309" s="66">
        <v>0.9</v>
      </c>
      <c r="D309" s="68">
        <v>44494</v>
      </c>
      <c r="E309" s="76">
        <v>39.299999999999997</v>
      </c>
      <c r="F309" s="76">
        <f t="shared" si="14"/>
        <v>23.58</v>
      </c>
      <c r="G309" s="74">
        <v>0.6</v>
      </c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16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>
        <v>0.6</v>
      </c>
      <c r="FN309" s="29">
        <f t="shared" si="13"/>
        <v>0</v>
      </c>
      <c r="FO309" s="5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</row>
    <row r="310" spans="1:194" ht="12.75" customHeight="1" x14ac:dyDescent="0.25">
      <c r="A310" s="44" t="s">
        <v>555</v>
      </c>
      <c r="B310" s="74">
        <f t="shared" si="12"/>
        <v>0</v>
      </c>
      <c r="C310" s="66">
        <v>1</v>
      </c>
      <c r="D310" s="68">
        <v>44949</v>
      </c>
      <c r="E310" s="76">
        <v>54.86</v>
      </c>
      <c r="F310" s="76">
        <f t="shared" si="14"/>
        <v>0</v>
      </c>
      <c r="G310" s="74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16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>
        <v>2</v>
      </c>
      <c r="DI310" s="39"/>
      <c r="DJ310" s="39"/>
      <c r="DK310" s="39"/>
      <c r="DL310" s="39"/>
      <c r="DM310" s="39">
        <v>2</v>
      </c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29">
        <f t="shared" si="13"/>
        <v>0</v>
      </c>
      <c r="FO310" s="5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</row>
    <row r="311" spans="1:194" ht="12.75" customHeight="1" x14ac:dyDescent="0.25">
      <c r="A311" s="44" t="s">
        <v>110</v>
      </c>
      <c r="B311" s="74">
        <f t="shared" si="12"/>
        <v>0</v>
      </c>
      <c r="C311" s="66">
        <v>1</v>
      </c>
      <c r="D311" s="68">
        <v>44851</v>
      </c>
      <c r="E311" s="76">
        <v>71.48</v>
      </c>
      <c r="F311" s="76">
        <f t="shared" si="14"/>
        <v>0</v>
      </c>
      <c r="G311" s="74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16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29">
        <f t="shared" si="13"/>
        <v>0</v>
      </c>
      <c r="FO311" s="5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</row>
    <row r="312" spans="1:194" ht="12.75" customHeight="1" x14ac:dyDescent="0.25">
      <c r="A312" s="44" t="s">
        <v>138</v>
      </c>
      <c r="B312" s="74">
        <f t="shared" si="12"/>
        <v>10</v>
      </c>
      <c r="C312" s="66">
        <v>10</v>
      </c>
      <c r="D312" s="68">
        <v>44865</v>
      </c>
      <c r="E312" s="76">
        <v>77.55</v>
      </c>
      <c r="F312" s="76">
        <f t="shared" si="14"/>
        <v>775.5</v>
      </c>
      <c r="G312" s="74">
        <v>20</v>
      </c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16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>
        <v>10</v>
      </c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>
        <v>10</v>
      </c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29">
        <f t="shared" si="13"/>
        <v>0</v>
      </c>
      <c r="FO312" s="5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</row>
    <row r="313" spans="1:194" ht="12.75" customHeight="1" x14ac:dyDescent="0.25">
      <c r="A313" s="44" t="s">
        <v>136</v>
      </c>
      <c r="B313" s="74">
        <f t="shared" si="12"/>
        <v>10</v>
      </c>
      <c r="C313" s="66">
        <v>10</v>
      </c>
      <c r="D313" s="68">
        <v>44858</v>
      </c>
      <c r="E313" s="76">
        <v>80.459999999999994</v>
      </c>
      <c r="F313" s="76">
        <f t="shared" si="14"/>
        <v>804.59999999999991</v>
      </c>
      <c r="G313" s="74">
        <v>10</v>
      </c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16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>
        <v>10</v>
      </c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29">
        <f t="shared" si="13"/>
        <v>0</v>
      </c>
      <c r="FO313" s="5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</row>
    <row r="314" spans="1:194" ht="15.6" x14ac:dyDescent="0.3">
      <c r="A314" s="19" t="s">
        <v>21</v>
      </c>
      <c r="B314" s="101">
        <f>SUM(B4:B313)</f>
        <v>5626.2000000000007</v>
      </c>
      <c r="C314" s="65"/>
      <c r="D314" s="70"/>
      <c r="E314" s="71"/>
      <c r="F314" s="76">
        <f t="shared" si="14"/>
        <v>0</v>
      </c>
      <c r="G314" s="20">
        <f>SUM(G4:G313)</f>
        <v>6159.9000000000005</v>
      </c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153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20">
        <f t="shared" si="13"/>
        <v>5626.2000000000007</v>
      </c>
      <c r="FO314" s="5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</row>
    <row r="315" spans="1:194" s="5" customFormat="1" ht="12" customHeight="1" x14ac:dyDescent="0.25">
      <c r="A315" s="44" t="s">
        <v>437</v>
      </c>
      <c r="B315" s="74">
        <f t="shared" ref="B315:B346" si="15">SUMIF(G$3:FM$3,"прих",G315:FM315)-SUMIF(G$3:FM$3,"отгр",G315:FM315)</f>
        <v>0</v>
      </c>
      <c r="C315" s="66">
        <v>1</v>
      </c>
      <c r="D315" s="68">
        <v>44665</v>
      </c>
      <c r="E315" s="76">
        <v>42.08</v>
      </c>
      <c r="F315" s="76">
        <f t="shared" ref="F315:F322" si="16">E315*B315</f>
        <v>0</v>
      </c>
      <c r="G315" s="74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16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75">
        <f t="shared" si="13"/>
        <v>0</v>
      </c>
    </row>
    <row r="316" spans="1:194" s="5" customFormat="1" ht="12" customHeight="1" x14ac:dyDescent="0.25">
      <c r="A316" s="44" t="s">
        <v>445</v>
      </c>
      <c r="B316" s="74">
        <f t="shared" si="15"/>
        <v>0</v>
      </c>
      <c r="C316" s="66">
        <v>1</v>
      </c>
      <c r="D316" s="68">
        <v>44585</v>
      </c>
      <c r="E316" s="76">
        <v>63.39</v>
      </c>
      <c r="F316" s="76">
        <f t="shared" si="16"/>
        <v>0</v>
      </c>
      <c r="G316" s="74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16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75">
        <f t="shared" si="13"/>
        <v>0</v>
      </c>
    </row>
    <row r="317" spans="1:194" s="5" customFormat="1" ht="12" customHeight="1" x14ac:dyDescent="0.25">
      <c r="A317" s="44" t="s">
        <v>497</v>
      </c>
      <c r="B317" s="74">
        <f t="shared" si="15"/>
        <v>5</v>
      </c>
      <c r="C317" s="66">
        <v>5</v>
      </c>
      <c r="D317" s="68">
        <v>44718</v>
      </c>
      <c r="E317" s="76">
        <v>46.56</v>
      </c>
      <c r="F317" s="76">
        <f t="shared" si="16"/>
        <v>232.8</v>
      </c>
      <c r="G317" s="74">
        <v>5</v>
      </c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16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>
        <v>5</v>
      </c>
      <c r="FN317" s="75">
        <f t="shared" si="13"/>
        <v>0</v>
      </c>
    </row>
    <row r="318" spans="1:194" s="5" customFormat="1" ht="12" customHeight="1" x14ac:dyDescent="0.25">
      <c r="A318" s="44" t="s">
        <v>537</v>
      </c>
      <c r="B318" s="74">
        <f t="shared" si="15"/>
        <v>0</v>
      </c>
      <c r="C318" s="66">
        <v>25</v>
      </c>
      <c r="D318" s="68">
        <v>44914</v>
      </c>
      <c r="E318" s="76">
        <v>40.049999999999997</v>
      </c>
      <c r="F318" s="76">
        <f t="shared" si="16"/>
        <v>0</v>
      </c>
      <c r="G318" s="74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16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75">
        <f t="shared" si="13"/>
        <v>0</v>
      </c>
    </row>
    <row r="319" spans="1:194" s="5" customFormat="1" ht="12" customHeight="1" x14ac:dyDescent="0.25">
      <c r="A319" s="44" t="s">
        <v>498</v>
      </c>
      <c r="B319" s="74">
        <f t="shared" si="15"/>
        <v>0</v>
      </c>
      <c r="C319" s="66">
        <v>10</v>
      </c>
      <c r="D319" s="68">
        <v>44739</v>
      </c>
      <c r="E319" s="76">
        <v>38.869999999999997</v>
      </c>
      <c r="F319" s="76">
        <f t="shared" si="16"/>
        <v>0</v>
      </c>
      <c r="G319" s="74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16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75">
        <f t="shared" si="13"/>
        <v>0</v>
      </c>
    </row>
    <row r="320" spans="1:194" s="5" customFormat="1" ht="12" customHeight="1" x14ac:dyDescent="0.25">
      <c r="A320" s="44" t="s">
        <v>498</v>
      </c>
      <c r="B320" s="74">
        <f t="shared" si="15"/>
        <v>130</v>
      </c>
      <c r="C320" s="66">
        <v>10</v>
      </c>
      <c r="D320" s="68">
        <v>44753</v>
      </c>
      <c r="E320" s="76">
        <v>49.75</v>
      </c>
      <c r="F320" s="76">
        <f t="shared" si="16"/>
        <v>6467.5</v>
      </c>
      <c r="G320" s="74">
        <v>270</v>
      </c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16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>
        <v>30</v>
      </c>
      <c r="BI320" s="39"/>
      <c r="BJ320" s="39"/>
      <c r="BK320" s="39">
        <v>60</v>
      </c>
      <c r="BL320" s="39">
        <v>40</v>
      </c>
      <c r="BM320" s="39">
        <v>10</v>
      </c>
      <c r="BN320" s="39">
        <v>130</v>
      </c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75">
        <f t="shared" si="13"/>
        <v>0</v>
      </c>
    </row>
    <row r="321" spans="1:170" s="5" customFormat="1" ht="12" customHeight="1" x14ac:dyDescent="0.25">
      <c r="A321" s="44" t="s">
        <v>536</v>
      </c>
      <c r="B321" s="74">
        <f t="shared" si="15"/>
        <v>0</v>
      </c>
      <c r="C321" s="66">
        <v>5</v>
      </c>
      <c r="D321" s="68">
        <v>44893</v>
      </c>
      <c r="E321" s="76">
        <v>11.21</v>
      </c>
      <c r="F321" s="76">
        <f t="shared" si="16"/>
        <v>0</v>
      </c>
      <c r="G321" s="74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16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75">
        <f t="shared" si="13"/>
        <v>0</v>
      </c>
    </row>
    <row r="322" spans="1:170" s="5" customFormat="1" ht="12" customHeight="1" x14ac:dyDescent="0.25">
      <c r="A322" s="44" t="s">
        <v>539</v>
      </c>
      <c r="B322" s="74">
        <f t="shared" si="15"/>
        <v>0</v>
      </c>
      <c r="C322" s="66">
        <v>1</v>
      </c>
      <c r="D322" s="68">
        <v>44979</v>
      </c>
      <c r="E322" s="76">
        <v>68.63</v>
      </c>
      <c r="F322" s="76">
        <f t="shared" si="16"/>
        <v>0</v>
      </c>
      <c r="G322" s="74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16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>
        <v>20</v>
      </c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>
        <v>20</v>
      </c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75">
        <f t="shared" si="13"/>
        <v>0</v>
      </c>
    </row>
    <row r="323" spans="1:170" s="5" customFormat="1" ht="12" customHeight="1" x14ac:dyDescent="0.25">
      <c r="A323" s="44" t="s">
        <v>385</v>
      </c>
      <c r="B323" s="74">
        <f t="shared" si="15"/>
        <v>0</v>
      </c>
      <c r="C323" s="66">
        <v>1</v>
      </c>
      <c r="D323" s="68">
        <v>44914</v>
      </c>
      <c r="E323" s="76">
        <v>141.41</v>
      </c>
      <c r="F323" s="76">
        <f t="shared" si="14"/>
        <v>0</v>
      </c>
      <c r="G323" s="74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16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75">
        <f t="shared" si="13"/>
        <v>0</v>
      </c>
    </row>
    <row r="324" spans="1:170" s="5" customFormat="1" ht="12" customHeight="1" x14ac:dyDescent="0.25">
      <c r="A324" s="44" t="s">
        <v>408</v>
      </c>
      <c r="B324" s="74">
        <f t="shared" si="15"/>
        <v>0</v>
      </c>
      <c r="C324" s="66">
        <v>1</v>
      </c>
      <c r="D324" s="68">
        <v>44979</v>
      </c>
      <c r="E324" s="76">
        <v>85.36</v>
      </c>
      <c r="F324" s="76">
        <f t="shared" si="14"/>
        <v>0</v>
      </c>
      <c r="G324" s="74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16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>
        <v>20</v>
      </c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>
        <v>20</v>
      </c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75">
        <f t="shared" si="13"/>
        <v>0</v>
      </c>
    </row>
    <row r="325" spans="1:170" s="5" customFormat="1" ht="12" customHeight="1" x14ac:dyDescent="0.25">
      <c r="A325" s="44" t="s">
        <v>386</v>
      </c>
      <c r="B325" s="74">
        <f t="shared" si="15"/>
        <v>0</v>
      </c>
      <c r="C325" s="66">
        <v>1</v>
      </c>
      <c r="D325" s="68">
        <v>44979</v>
      </c>
      <c r="E325" s="76">
        <v>68.290000000000006</v>
      </c>
      <c r="F325" s="76">
        <f t="shared" si="14"/>
        <v>0</v>
      </c>
      <c r="G325" s="74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16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>
        <v>20</v>
      </c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  <c r="CR325" s="39"/>
      <c r="CS325" s="39"/>
      <c r="CT325" s="39"/>
      <c r="CU325" s="39"/>
      <c r="CV325" s="39"/>
      <c r="CW325" s="39"/>
      <c r="CX325" s="39"/>
      <c r="CY325" s="39"/>
      <c r="CZ325" s="39"/>
      <c r="DA325" s="39"/>
      <c r="DB325" s="39"/>
      <c r="DC325" s="39"/>
      <c r="DD325" s="39"/>
      <c r="DE325" s="39"/>
      <c r="DF325" s="39"/>
      <c r="DG325" s="39"/>
      <c r="DH325" s="39"/>
      <c r="DI325" s="39"/>
      <c r="DJ325" s="39"/>
      <c r="DK325" s="39"/>
      <c r="DL325" s="39"/>
      <c r="DM325" s="39"/>
      <c r="DN325" s="39"/>
      <c r="DO325" s="39"/>
      <c r="DP325" s="39"/>
      <c r="DQ325" s="39"/>
      <c r="DR325" s="39"/>
      <c r="DS325" s="39"/>
      <c r="DT325" s="39"/>
      <c r="DU325" s="39"/>
      <c r="DV325" s="39"/>
      <c r="DW325" s="39"/>
      <c r="DX325" s="39"/>
      <c r="DY325" s="39"/>
      <c r="DZ325" s="39"/>
      <c r="EA325" s="39"/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>
        <v>20</v>
      </c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75">
        <f t="shared" si="13"/>
        <v>0</v>
      </c>
    </row>
    <row r="326" spans="1:170" s="5" customFormat="1" ht="12" customHeight="1" x14ac:dyDescent="0.25">
      <c r="A326" s="44" t="s">
        <v>420</v>
      </c>
      <c r="B326" s="74">
        <f t="shared" si="15"/>
        <v>0</v>
      </c>
      <c r="C326" s="66">
        <v>1</v>
      </c>
      <c r="D326" s="68">
        <v>44979</v>
      </c>
      <c r="E326" s="76">
        <v>68.63</v>
      </c>
      <c r="F326" s="76">
        <f t="shared" si="14"/>
        <v>0</v>
      </c>
      <c r="G326" s="74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16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>
        <v>20</v>
      </c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  <c r="CR326" s="39"/>
      <c r="CS326" s="39"/>
      <c r="CT326" s="39"/>
      <c r="CU326" s="39"/>
      <c r="CV326" s="39"/>
      <c r="CW326" s="39"/>
      <c r="CX326" s="39"/>
      <c r="CY326" s="39"/>
      <c r="CZ326" s="39"/>
      <c r="DA326" s="39"/>
      <c r="DB326" s="39"/>
      <c r="DC326" s="39"/>
      <c r="DD326" s="39"/>
      <c r="DE326" s="39"/>
      <c r="DF326" s="39"/>
      <c r="DG326" s="39"/>
      <c r="DH326" s="39"/>
      <c r="DI326" s="39"/>
      <c r="DJ326" s="39"/>
      <c r="DK326" s="39"/>
      <c r="DL326" s="39"/>
      <c r="DM326" s="39"/>
      <c r="DN326" s="39"/>
      <c r="DO326" s="39"/>
      <c r="DP326" s="39"/>
      <c r="DQ326" s="39"/>
      <c r="DR326" s="39"/>
      <c r="DS326" s="39"/>
      <c r="DT326" s="39"/>
      <c r="DU326" s="39"/>
      <c r="DV326" s="39"/>
      <c r="DW326" s="39"/>
      <c r="DX326" s="39"/>
      <c r="DY326" s="39"/>
      <c r="DZ326" s="39"/>
      <c r="EA326" s="39"/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>
        <v>20</v>
      </c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75">
        <f t="shared" si="13"/>
        <v>0</v>
      </c>
    </row>
    <row r="327" spans="1:170" s="5" customFormat="1" ht="12" customHeight="1" x14ac:dyDescent="0.25">
      <c r="A327" s="44" t="s">
        <v>387</v>
      </c>
      <c r="B327" s="74">
        <f t="shared" si="15"/>
        <v>0</v>
      </c>
      <c r="C327" s="66">
        <v>1</v>
      </c>
      <c r="D327" s="68">
        <v>44914</v>
      </c>
      <c r="E327" s="76">
        <v>104.44</v>
      </c>
      <c r="F327" s="76">
        <f t="shared" si="14"/>
        <v>0</v>
      </c>
      <c r="G327" s="74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16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  <c r="CR327" s="39"/>
      <c r="CS327" s="39"/>
      <c r="CT327" s="39"/>
      <c r="CU327" s="39"/>
      <c r="CV327" s="39"/>
      <c r="CW327" s="39"/>
      <c r="CX327" s="39"/>
      <c r="CY327" s="39"/>
      <c r="CZ327" s="39"/>
      <c r="DA327" s="39"/>
      <c r="DB327" s="39"/>
      <c r="DC327" s="39"/>
      <c r="DD327" s="39"/>
      <c r="DE327" s="39"/>
      <c r="DF327" s="39"/>
      <c r="DG327" s="39"/>
      <c r="DH327" s="39"/>
      <c r="DI327" s="39"/>
      <c r="DJ327" s="39"/>
      <c r="DK327" s="39"/>
      <c r="DL327" s="39"/>
      <c r="DM327" s="39"/>
      <c r="DN327" s="39"/>
      <c r="DO327" s="39"/>
      <c r="DP327" s="39"/>
      <c r="DQ327" s="39"/>
      <c r="DR327" s="39"/>
      <c r="DS327" s="39"/>
      <c r="DT327" s="39"/>
      <c r="DU327" s="39"/>
      <c r="DV327" s="39"/>
      <c r="DW327" s="39"/>
      <c r="DX327" s="39"/>
      <c r="DY327" s="39"/>
      <c r="DZ327" s="39"/>
      <c r="EA327" s="39"/>
      <c r="EB327" s="39"/>
      <c r="EC327" s="39"/>
      <c r="ED327" s="39"/>
      <c r="EE327" s="39"/>
      <c r="EF327" s="39"/>
      <c r="EG327" s="39"/>
      <c r="EH327" s="39"/>
      <c r="EI327" s="39"/>
      <c r="EJ327" s="39"/>
      <c r="EK327" s="39"/>
      <c r="EL327" s="39"/>
      <c r="EM327" s="39"/>
      <c r="EN327" s="39"/>
      <c r="EO327" s="39"/>
      <c r="EP327" s="39"/>
      <c r="EQ327" s="39"/>
      <c r="ER327" s="39"/>
      <c r="ES327" s="39"/>
      <c r="ET327" s="39"/>
      <c r="EU327" s="39"/>
      <c r="EV327" s="39"/>
      <c r="EW327" s="39"/>
      <c r="EX327" s="39"/>
      <c r="EY327" s="39"/>
      <c r="EZ327" s="39"/>
      <c r="FA327" s="39"/>
      <c r="FB327" s="39"/>
      <c r="FC327" s="39"/>
      <c r="FD327" s="39"/>
      <c r="FE327" s="39"/>
      <c r="FF327" s="39"/>
      <c r="FG327" s="39"/>
      <c r="FH327" s="39"/>
      <c r="FI327" s="39"/>
      <c r="FJ327" s="39"/>
      <c r="FK327" s="39"/>
      <c r="FL327" s="39"/>
      <c r="FM327" s="39"/>
      <c r="FN327" s="75">
        <f t="shared" si="13"/>
        <v>0</v>
      </c>
    </row>
    <row r="328" spans="1:170" s="5" customFormat="1" ht="12" customHeight="1" x14ac:dyDescent="0.25">
      <c r="A328" s="44" t="s">
        <v>417</v>
      </c>
      <c r="B328" s="74">
        <f t="shared" si="15"/>
        <v>0</v>
      </c>
      <c r="C328" s="66">
        <v>1</v>
      </c>
      <c r="D328" s="69">
        <v>44914</v>
      </c>
      <c r="E328" s="76">
        <v>65.319999999999993</v>
      </c>
      <c r="F328" s="76">
        <f t="shared" si="14"/>
        <v>0</v>
      </c>
      <c r="G328" s="74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16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  <c r="CR328" s="39"/>
      <c r="CS328" s="39"/>
      <c r="CT328" s="39"/>
      <c r="CU328" s="39"/>
      <c r="CV328" s="39"/>
      <c r="CW328" s="39"/>
      <c r="CX328" s="39"/>
      <c r="CY328" s="39"/>
      <c r="CZ328" s="39"/>
      <c r="DA328" s="39"/>
      <c r="DB328" s="39"/>
      <c r="DC328" s="39"/>
      <c r="DD328" s="39"/>
      <c r="DE328" s="39"/>
      <c r="DF328" s="39"/>
      <c r="DG328" s="39"/>
      <c r="DH328" s="39"/>
      <c r="DI328" s="39"/>
      <c r="DJ328" s="39"/>
      <c r="DK328" s="39"/>
      <c r="DL328" s="39"/>
      <c r="DM328" s="39"/>
      <c r="DN328" s="39"/>
      <c r="DO328" s="39"/>
      <c r="DP328" s="39"/>
      <c r="DQ328" s="39"/>
      <c r="DR328" s="39"/>
      <c r="DS328" s="39"/>
      <c r="DT328" s="39"/>
      <c r="DU328" s="39"/>
      <c r="DV328" s="39"/>
      <c r="DW328" s="39"/>
      <c r="DX328" s="39"/>
      <c r="DY328" s="39"/>
      <c r="DZ328" s="39"/>
      <c r="EA328" s="39"/>
      <c r="EB328" s="39"/>
      <c r="EC328" s="39"/>
      <c r="ED328" s="39"/>
      <c r="EE328" s="39"/>
      <c r="EF328" s="39"/>
      <c r="EG328" s="39"/>
      <c r="EH328" s="39"/>
      <c r="EI328" s="39"/>
      <c r="EJ328" s="39"/>
      <c r="EK328" s="39"/>
      <c r="EL328" s="39"/>
      <c r="EM328" s="39"/>
      <c r="EN328" s="39"/>
      <c r="EO328" s="39"/>
      <c r="EP328" s="39"/>
      <c r="EQ328" s="39"/>
      <c r="ER328" s="39"/>
      <c r="ES328" s="39"/>
      <c r="ET328" s="39"/>
      <c r="EU328" s="39"/>
      <c r="EV328" s="39"/>
      <c r="EW328" s="39"/>
      <c r="EX328" s="39"/>
      <c r="EY328" s="39"/>
      <c r="EZ328" s="39"/>
      <c r="FA328" s="39"/>
      <c r="FB328" s="39"/>
      <c r="FC328" s="39"/>
      <c r="FD328" s="39"/>
      <c r="FE328" s="39"/>
      <c r="FF328" s="39"/>
      <c r="FG328" s="39"/>
      <c r="FH328" s="39"/>
      <c r="FI328" s="39"/>
      <c r="FJ328" s="39"/>
      <c r="FK328" s="39"/>
      <c r="FL328" s="39"/>
      <c r="FM328" s="39"/>
      <c r="FN328" s="75">
        <f t="shared" si="13"/>
        <v>0</v>
      </c>
    </row>
    <row r="329" spans="1:170" s="5" customFormat="1" ht="12" customHeight="1" x14ac:dyDescent="0.25">
      <c r="A329" s="44" t="s">
        <v>390</v>
      </c>
      <c r="B329" s="74">
        <f t="shared" si="15"/>
        <v>0</v>
      </c>
      <c r="C329" s="66">
        <v>1</v>
      </c>
      <c r="D329" s="68">
        <v>44624</v>
      </c>
      <c r="E329" s="76">
        <v>68.55</v>
      </c>
      <c r="F329" s="76">
        <f t="shared" si="14"/>
        <v>0</v>
      </c>
      <c r="G329" s="74">
        <v>10</v>
      </c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16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>
        <v>10</v>
      </c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  <c r="CR329" s="39"/>
      <c r="CS329" s="39"/>
      <c r="CT329" s="39"/>
      <c r="CU329" s="39"/>
      <c r="CV329" s="39"/>
      <c r="CW329" s="39"/>
      <c r="CX329" s="39"/>
      <c r="CY329" s="39"/>
      <c r="CZ329" s="39"/>
      <c r="DA329" s="39"/>
      <c r="DB329" s="39"/>
      <c r="DC329" s="39"/>
      <c r="DD329" s="39"/>
      <c r="DE329" s="39"/>
      <c r="DF329" s="39"/>
      <c r="DG329" s="39"/>
      <c r="DH329" s="39"/>
      <c r="DI329" s="39"/>
      <c r="DJ329" s="39"/>
      <c r="DK329" s="39"/>
      <c r="DL329" s="39"/>
      <c r="DM329" s="39"/>
      <c r="DN329" s="39"/>
      <c r="DO329" s="39"/>
      <c r="DP329" s="39"/>
      <c r="DQ329" s="39"/>
      <c r="DR329" s="39"/>
      <c r="DS329" s="39"/>
      <c r="DT329" s="39"/>
      <c r="DU329" s="39"/>
      <c r="DV329" s="39"/>
      <c r="DW329" s="39"/>
      <c r="DX329" s="39"/>
      <c r="DY329" s="39"/>
      <c r="DZ329" s="39"/>
      <c r="EA329" s="39"/>
      <c r="EB329" s="39"/>
      <c r="EC329" s="39"/>
      <c r="ED329" s="39"/>
      <c r="EE329" s="39"/>
      <c r="EF329" s="39"/>
      <c r="EG329" s="39"/>
      <c r="EH329" s="39"/>
      <c r="EI329" s="39"/>
      <c r="EJ329" s="39"/>
      <c r="EK329" s="39"/>
      <c r="EL329" s="39"/>
      <c r="EM329" s="39"/>
      <c r="EN329" s="39"/>
      <c r="EO329" s="39"/>
      <c r="EP329" s="39"/>
      <c r="EQ329" s="39"/>
      <c r="ER329" s="39"/>
      <c r="ES329" s="39"/>
      <c r="ET329" s="39"/>
      <c r="EU329" s="39"/>
      <c r="EV329" s="39"/>
      <c r="EW329" s="39"/>
      <c r="EX329" s="39"/>
      <c r="EY329" s="39"/>
      <c r="EZ329" s="39"/>
      <c r="FA329" s="39"/>
      <c r="FB329" s="39"/>
      <c r="FC329" s="39"/>
      <c r="FD329" s="39"/>
      <c r="FE329" s="39"/>
      <c r="FF329" s="39"/>
      <c r="FG329" s="39"/>
      <c r="FH329" s="39"/>
      <c r="FI329" s="39"/>
      <c r="FJ329" s="39"/>
      <c r="FK329" s="39"/>
      <c r="FL329" s="39"/>
      <c r="FM329" s="39"/>
      <c r="FN329" s="75">
        <f t="shared" si="13"/>
        <v>0</v>
      </c>
    </row>
    <row r="330" spans="1:170" s="5" customFormat="1" ht="12" customHeight="1" x14ac:dyDescent="0.25">
      <c r="A330" s="44" t="s">
        <v>321</v>
      </c>
      <c r="B330" s="74">
        <f t="shared" si="15"/>
        <v>0</v>
      </c>
      <c r="C330" s="66">
        <v>1</v>
      </c>
      <c r="D330" s="68">
        <v>44963</v>
      </c>
      <c r="E330" s="76">
        <v>87.15</v>
      </c>
      <c r="F330" s="76">
        <f t="shared" si="14"/>
        <v>0</v>
      </c>
      <c r="G330" s="74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16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>
        <v>5</v>
      </c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  <c r="CR330" s="39"/>
      <c r="CS330" s="39"/>
      <c r="CT330" s="39"/>
      <c r="CU330" s="39"/>
      <c r="CV330" s="39"/>
      <c r="CW330" s="39"/>
      <c r="CX330" s="39"/>
      <c r="CY330" s="39"/>
      <c r="CZ330" s="39"/>
      <c r="DA330" s="39"/>
      <c r="DB330" s="39"/>
      <c r="DC330" s="39"/>
      <c r="DD330" s="39"/>
      <c r="DE330" s="39"/>
      <c r="DF330" s="39"/>
      <c r="DG330" s="39"/>
      <c r="DH330" s="39"/>
      <c r="DI330" s="39"/>
      <c r="DJ330" s="39"/>
      <c r="DK330" s="39"/>
      <c r="DL330" s="39"/>
      <c r="DM330" s="39"/>
      <c r="DN330" s="39"/>
      <c r="DO330" s="39"/>
      <c r="DP330" s="39"/>
      <c r="DQ330" s="39"/>
      <c r="DR330" s="39"/>
      <c r="DS330" s="39"/>
      <c r="DT330" s="39"/>
      <c r="DU330" s="39"/>
      <c r="DV330" s="39"/>
      <c r="DW330" s="39"/>
      <c r="DX330" s="39"/>
      <c r="DY330" s="39">
        <v>5</v>
      </c>
      <c r="DZ330" s="39"/>
      <c r="EA330" s="39"/>
      <c r="EB330" s="39"/>
      <c r="EC330" s="39"/>
      <c r="ED330" s="39"/>
      <c r="EE330" s="39"/>
      <c r="EF330" s="39"/>
      <c r="EG330" s="39"/>
      <c r="EH330" s="39"/>
      <c r="EI330" s="39"/>
      <c r="EJ330" s="39"/>
      <c r="EK330" s="39"/>
      <c r="EL330" s="39"/>
      <c r="EM330" s="39"/>
      <c r="EN330" s="39"/>
      <c r="EO330" s="39"/>
      <c r="EP330" s="39"/>
      <c r="EQ330" s="39"/>
      <c r="ER330" s="39"/>
      <c r="ES330" s="39"/>
      <c r="ET330" s="39"/>
      <c r="EU330" s="39"/>
      <c r="EV330" s="39"/>
      <c r="EW330" s="39"/>
      <c r="EX330" s="39"/>
      <c r="EY330" s="39"/>
      <c r="EZ330" s="39"/>
      <c r="FA330" s="39"/>
      <c r="FB330" s="39"/>
      <c r="FC330" s="39"/>
      <c r="FD330" s="39"/>
      <c r="FE330" s="39"/>
      <c r="FF330" s="39"/>
      <c r="FG330" s="39"/>
      <c r="FH330" s="39"/>
      <c r="FI330" s="39"/>
      <c r="FJ330" s="39"/>
      <c r="FK330" s="39"/>
      <c r="FL330" s="39"/>
      <c r="FM330" s="39"/>
      <c r="FN330" s="75">
        <f t="shared" si="13"/>
        <v>0</v>
      </c>
    </row>
    <row r="331" spans="1:170" s="5" customFormat="1" ht="12" customHeight="1" x14ac:dyDescent="0.25">
      <c r="A331" s="44" t="s">
        <v>322</v>
      </c>
      <c r="B331" s="74">
        <f t="shared" si="15"/>
        <v>0</v>
      </c>
      <c r="C331" s="66">
        <v>1</v>
      </c>
      <c r="D331" s="68">
        <v>44963</v>
      </c>
      <c r="E331" s="110">
        <v>40.22</v>
      </c>
      <c r="F331" s="76">
        <f t="shared" si="14"/>
        <v>0</v>
      </c>
      <c r="G331" s="74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16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>
        <v>5</v>
      </c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  <c r="CR331" s="39"/>
      <c r="CS331" s="39"/>
      <c r="CT331" s="39"/>
      <c r="CU331" s="39"/>
      <c r="CV331" s="39"/>
      <c r="CW331" s="39"/>
      <c r="CX331" s="39"/>
      <c r="CY331" s="39"/>
      <c r="CZ331" s="39"/>
      <c r="DA331" s="39"/>
      <c r="DB331" s="39"/>
      <c r="DC331" s="39"/>
      <c r="DD331" s="39"/>
      <c r="DE331" s="39"/>
      <c r="DF331" s="39"/>
      <c r="DG331" s="39"/>
      <c r="DH331" s="39"/>
      <c r="DI331" s="39"/>
      <c r="DJ331" s="39"/>
      <c r="DK331" s="39"/>
      <c r="DL331" s="39"/>
      <c r="DM331" s="39"/>
      <c r="DN331" s="39"/>
      <c r="DO331" s="39"/>
      <c r="DP331" s="39"/>
      <c r="DQ331" s="39"/>
      <c r="DR331" s="39"/>
      <c r="DS331" s="39"/>
      <c r="DT331" s="39"/>
      <c r="DU331" s="39"/>
      <c r="DV331" s="39"/>
      <c r="DW331" s="39"/>
      <c r="DX331" s="39"/>
      <c r="DY331" s="39">
        <v>6</v>
      </c>
      <c r="DZ331" s="39"/>
      <c r="EA331" s="39"/>
      <c r="EB331" s="39"/>
      <c r="EC331" s="39"/>
      <c r="ED331" s="39"/>
      <c r="EE331" s="39"/>
      <c r="EF331" s="39"/>
      <c r="EG331" s="39"/>
      <c r="EH331" s="39"/>
      <c r="EI331" s="39"/>
      <c r="EJ331" s="39"/>
      <c r="EK331" s="39"/>
      <c r="EL331" s="39"/>
      <c r="EM331" s="39"/>
      <c r="EN331" s="39"/>
      <c r="EO331" s="39">
        <v>1</v>
      </c>
      <c r="EP331" s="39"/>
      <c r="EQ331" s="39"/>
      <c r="ER331" s="39"/>
      <c r="ES331" s="39"/>
      <c r="ET331" s="39"/>
      <c r="EU331" s="39"/>
      <c r="EV331" s="39"/>
      <c r="EW331" s="39"/>
      <c r="EX331" s="39"/>
      <c r="EY331" s="39"/>
      <c r="EZ331" s="39"/>
      <c r="FA331" s="39"/>
      <c r="FB331" s="39"/>
      <c r="FC331" s="39"/>
      <c r="FD331" s="39"/>
      <c r="FE331" s="39"/>
      <c r="FF331" s="39"/>
      <c r="FG331" s="39"/>
      <c r="FH331" s="39"/>
      <c r="FI331" s="39"/>
      <c r="FJ331" s="39"/>
      <c r="FK331" s="39"/>
      <c r="FL331" s="39"/>
      <c r="FM331" s="39"/>
      <c r="FN331" s="75">
        <f t="shared" si="13"/>
        <v>0</v>
      </c>
    </row>
    <row r="332" spans="1:170" s="5" customFormat="1" ht="12" customHeight="1" x14ac:dyDescent="0.25">
      <c r="A332" s="44" t="s">
        <v>291</v>
      </c>
      <c r="B332" s="74">
        <f t="shared" si="15"/>
        <v>0</v>
      </c>
      <c r="C332" s="66">
        <v>1</v>
      </c>
      <c r="D332" s="68">
        <v>44775</v>
      </c>
      <c r="E332" s="76">
        <v>41.59</v>
      </c>
      <c r="F332" s="76">
        <f t="shared" si="14"/>
        <v>0</v>
      </c>
      <c r="G332" s="74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16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  <c r="CR332" s="39"/>
      <c r="CS332" s="39"/>
      <c r="CT332" s="39"/>
      <c r="CU332" s="39"/>
      <c r="CV332" s="39"/>
      <c r="CW332" s="39"/>
      <c r="CX332" s="39"/>
      <c r="CY332" s="39"/>
      <c r="CZ332" s="39"/>
      <c r="DA332" s="39"/>
      <c r="DB332" s="39"/>
      <c r="DC332" s="39"/>
      <c r="DD332" s="39"/>
      <c r="DE332" s="39"/>
      <c r="DF332" s="39"/>
      <c r="DG332" s="39"/>
      <c r="DH332" s="39"/>
      <c r="DI332" s="39"/>
      <c r="DJ332" s="39"/>
      <c r="DK332" s="39"/>
      <c r="DL332" s="39"/>
      <c r="DM332" s="39"/>
      <c r="DN332" s="39"/>
      <c r="DO332" s="39"/>
      <c r="DP332" s="39"/>
      <c r="DQ332" s="39"/>
      <c r="DR332" s="39"/>
      <c r="DS332" s="39"/>
      <c r="DT332" s="39"/>
      <c r="DU332" s="39"/>
      <c r="DV332" s="39"/>
      <c r="DW332" s="39"/>
      <c r="DX332" s="39"/>
      <c r="DY332" s="39"/>
      <c r="DZ332" s="39"/>
      <c r="EA332" s="39"/>
      <c r="EB332" s="39"/>
      <c r="EC332" s="39"/>
      <c r="ED332" s="39"/>
      <c r="EE332" s="39"/>
      <c r="EF332" s="39"/>
      <c r="EG332" s="39"/>
      <c r="EH332" s="39"/>
      <c r="EI332" s="39"/>
      <c r="EJ332" s="39"/>
      <c r="EK332" s="39"/>
      <c r="EL332" s="39"/>
      <c r="EM332" s="39"/>
      <c r="EN332" s="39"/>
      <c r="EO332" s="39"/>
      <c r="EP332" s="39"/>
      <c r="EQ332" s="39"/>
      <c r="ER332" s="39"/>
      <c r="ES332" s="39"/>
      <c r="ET332" s="39"/>
      <c r="EU332" s="39"/>
      <c r="EV332" s="39"/>
      <c r="EW332" s="39"/>
      <c r="EX332" s="39"/>
      <c r="EY332" s="39"/>
      <c r="EZ332" s="39"/>
      <c r="FA332" s="39"/>
      <c r="FB332" s="39"/>
      <c r="FC332" s="39"/>
      <c r="FD332" s="39"/>
      <c r="FE332" s="39"/>
      <c r="FF332" s="39"/>
      <c r="FG332" s="39"/>
      <c r="FH332" s="39"/>
      <c r="FI332" s="39"/>
      <c r="FJ332" s="39"/>
      <c r="FK332" s="39"/>
      <c r="FL332" s="39"/>
      <c r="FM332" s="39"/>
      <c r="FN332" s="75">
        <f t="shared" si="13"/>
        <v>0</v>
      </c>
    </row>
    <row r="333" spans="1:170" s="5" customFormat="1" ht="12" customHeight="1" x14ac:dyDescent="0.25">
      <c r="A333" s="44" t="s">
        <v>309</v>
      </c>
      <c r="B333" s="74">
        <f t="shared" si="15"/>
        <v>8</v>
      </c>
      <c r="C333" s="66">
        <v>1</v>
      </c>
      <c r="D333" s="68">
        <v>44832</v>
      </c>
      <c r="E333" s="76">
        <v>35.58</v>
      </c>
      <c r="F333" s="76">
        <f t="shared" si="14"/>
        <v>284.64</v>
      </c>
      <c r="G333" s="74">
        <v>11</v>
      </c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16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>
        <v>1</v>
      </c>
      <c r="BL333" s="39">
        <v>1</v>
      </c>
      <c r="BM333" s="39"/>
      <c r="BN333" s="39">
        <v>8</v>
      </c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  <c r="CR333" s="39"/>
      <c r="CS333" s="39"/>
      <c r="CT333" s="39"/>
      <c r="CU333" s="39"/>
      <c r="CV333" s="39"/>
      <c r="CW333" s="39"/>
      <c r="CX333" s="39"/>
      <c r="CY333" s="39"/>
      <c r="CZ333" s="39"/>
      <c r="DA333" s="39"/>
      <c r="DB333" s="39"/>
      <c r="DC333" s="39"/>
      <c r="DD333" s="39"/>
      <c r="DE333" s="39"/>
      <c r="DF333" s="39"/>
      <c r="DG333" s="39"/>
      <c r="DH333" s="39"/>
      <c r="DI333" s="39"/>
      <c r="DJ333" s="39"/>
      <c r="DK333" s="39"/>
      <c r="DL333" s="39"/>
      <c r="DM333" s="39"/>
      <c r="DN333" s="39"/>
      <c r="DO333" s="39"/>
      <c r="DP333" s="39"/>
      <c r="DQ333" s="39"/>
      <c r="DR333" s="39"/>
      <c r="DS333" s="39"/>
      <c r="DT333" s="39"/>
      <c r="DU333" s="39"/>
      <c r="DV333" s="39"/>
      <c r="DW333" s="39"/>
      <c r="DX333" s="39"/>
      <c r="DY333" s="39"/>
      <c r="DZ333" s="39"/>
      <c r="EA333" s="39"/>
      <c r="EB333" s="39"/>
      <c r="EC333" s="39"/>
      <c r="ED333" s="39"/>
      <c r="EE333" s="39"/>
      <c r="EF333" s="39"/>
      <c r="EG333" s="39"/>
      <c r="EH333" s="39"/>
      <c r="EI333" s="39"/>
      <c r="EJ333" s="39"/>
      <c r="EK333" s="39"/>
      <c r="EL333" s="39"/>
      <c r="EM333" s="39"/>
      <c r="EN333" s="39"/>
      <c r="EO333" s="39"/>
      <c r="EP333" s="39"/>
      <c r="EQ333" s="39"/>
      <c r="ER333" s="39"/>
      <c r="ES333" s="39"/>
      <c r="ET333" s="39"/>
      <c r="EU333" s="39"/>
      <c r="EV333" s="39"/>
      <c r="EW333" s="39"/>
      <c r="EX333" s="39"/>
      <c r="EY333" s="39"/>
      <c r="EZ333" s="39"/>
      <c r="FA333" s="39"/>
      <c r="FB333" s="39"/>
      <c r="FC333" s="39"/>
      <c r="FD333" s="39"/>
      <c r="FE333" s="39"/>
      <c r="FF333" s="39"/>
      <c r="FG333" s="39"/>
      <c r="FH333" s="39">
        <v>1</v>
      </c>
      <c r="FI333" s="39"/>
      <c r="FJ333" s="39"/>
      <c r="FK333" s="39"/>
      <c r="FL333" s="39"/>
      <c r="FM333" s="39"/>
      <c r="FN333" s="75">
        <f t="shared" ref="FN333:FN397" si="17">$B333-SUMIF($G$3:$KB$3,"",$G333:$KB333)</f>
        <v>0</v>
      </c>
    </row>
    <row r="334" spans="1:170" s="5" customFormat="1" ht="12" customHeight="1" x14ac:dyDescent="0.25">
      <c r="A334" s="44" t="s">
        <v>506</v>
      </c>
      <c r="B334" s="74">
        <f t="shared" si="15"/>
        <v>12</v>
      </c>
      <c r="C334" s="66">
        <v>1</v>
      </c>
      <c r="D334" s="69">
        <v>44865</v>
      </c>
      <c r="E334" s="76">
        <v>88.97</v>
      </c>
      <c r="F334" s="76">
        <f t="shared" si="14"/>
        <v>1067.6399999999999</v>
      </c>
      <c r="G334" s="74">
        <v>12</v>
      </c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16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>
        <v>12</v>
      </c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  <c r="CR334" s="39"/>
      <c r="CS334" s="39"/>
      <c r="CT334" s="39"/>
      <c r="CU334" s="39"/>
      <c r="CV334" s="39"/>
      <c r="CW334" s="39"/>
      <c r="CX334" s="39"/>
      <c r="CY334" s="39"/>
      <c r="CZ334" s="39"/>
      <c r="DA334" s="39"/>
      <c r="DB334" s="39"/>
      <c r="DC334" s="39"/>
      <c r="DD334" s="39"/>
      <c r="DE334" s="39"/>
      <c r="DF334" s="39"/>
      <c r="DG334" s="39"/>
      <c r="DH334" s="39"/>
      <c r="DI334" s="39"/>
      <c r="DJ334" s="39"/>
      <c r="DK334" s="39"/>
      <c r="DL334" s="39"/>
      <c r="DM334" s="39"/>
      <c r="DN334" s="39"/>
      <c r="DO334" s="39"/>
      <c r="DP334" s="39"/>
      <c r="DQ334" s="39"/>
      <c r="DR334" s="39"/>
      <c r="DS334" s="39"/>
      <c r="DT334" s="39"/>
      <c r="DU334" s="39"/>
      <c r="DV334" s="39"/>
      <c r="DW334" s="39"/>
      <c r="DX334" s="39"/>
      <c r="DY334" s="39"/>
      <c r="DZ334" s="39"/>
      <c r="EA334" s="39"/>
      <c r="EB334" s="39"/>
      <c r="EC334" s="39"/>
      <c r="ED334" s="39"/>
      <c r="EE334" s="39"/>
      <c r="EF334" s="39"/>
      <c r="EG334" s="39"/>
      <c r="EH334" s="39"/>
      <c r="EI334" s="39"/>
      <c r="EJ334" s="39"/>
      <c r="EK334" s="39"/>
      <c r="EL334" s="39"/>
      <c r="EM334" s="39"/>
      <c r="EN334" s="39"/>
      <c r="EO334" s="39"/>
      <c r="EP334" s="39"/>
      <c r="EQ334" s="39"/>
      <c r="ER334" s="39"/>
      <c r="ES334" s="39"/>
      <c r="ET334" s="39"/>
      <c r="EU334" s="39"/>
      <c r="EV334" s="39"/>
      <c r="EW334" s="39"/>
      <c r="EX334" s="39"/>
      <c r="EY334" s="39"/>
      <c r="EZ334" s="39"/>
      <c r="FA334" s="39"/>
      <c r="FB334" s="39"/>
      <c r="FC334" s="39"/>
      <c r="FD334" s="39"/>
      <c r="FE334" s="39"/>
      <c r="FF334" s="39"/>
      <c r="FG334" s="39"/>
      <c r="FH334" s="39"/>
      <c r="FI334" s="39"/>
      <c r="FJ334" s="39"/>
      <c r="FK334" s="39"/>
      <c r="FL334" s="39"/>
      <c r="FM334" s="39"/>
      <c r="FN334" s="75">
        <f t="shared" si="17"/>
        <v>0</v>
      </c>
    </row>
    <row r="335" spans="1:170" s="5" customFormat="1" x14ac:dyDescent="0.25">
      <c r="A335" s="44" t="s">
        <v>264</v>
      </c>
      <c r="B335" s="74">
        <f t="shared" si="15"/>
        <v>0</v>
      </c>
      <c r="C335" s="66">
        <v>1</v>
      </c>
      <c r="D335" s="69">
        <v>44897</v>
      </c>
      <c r="E335" s="76">
        <v>96.72</v>
      </c>
      <c r="F335" s="76">
        <f t="shared" si="14"/>
        <v>0</v>
      </c>
      <c r="G335" s="74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16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  <c r="CR335" s="39"/>
      <c r="CS335" s="39"/>
      <c r="CT335" s="39"/>
      <c r="CU335" s="39"/>
      <c r="CV335" s="39"/>
      <c r="CW335" s="39"/>
      <c r="CX335" s="39"/>
      <c r="CY335" s="39"/>
      <c r="CZ335" s="39"/>
      <c r="DA335" s="39"/>
      <c r="DB335" s="39"/>
      <c r="DC335" s="39"/>
      <c r="DD335" s="39"/>
      <c r="DE335" s="39"/>
      <c r="DF335" s="39"/>
      <c r="DG335" s="39"/>
      <c r="DH335" s="39"/>
      <c r="DI335" s="39"/>
      <c r="DJ335" s="39"/>
      <c r="DK335" s="39"/>
      <c r="DL335" s="39"/>
      <c r="DM335" s="39"/>
      <c r="DN335" s="39"/>
      <c r="DO335" s="39"/>
      <c r="DP335" s="39"/>
      <c r="DQ335" s="39"/>
      <c r="DR335" s="39"/>
      <c r="DS335" s="39"/>
      <c r="DT335" s="39"/>
      <c r="DU335" s="39"/>
      <c r="DV335" s="39"/>
      <c r="DW335" s="39"/>
      <c r="DX335" s="39"/>
      <c r="DY335" s="39"/>
      <c r="DZ335" s="39"/>
      <c r="EA335" s="39"/>
      <c r="EB335" s="39"/>
      <c r="EC335" s="39"/>
      <c r="ED335" s="39"/>
      <c r="EE335" s="39"/>
      <c r="EF335" s="39"/>
      <c r="EG335" s="39"/>
      <c r="EH335" s="39"/>
      <c r="EI335" s="39"/>
      <c r="EJ335" s="39"/>
      <c r="EK335" s="39"/>
      <c r="EL335" s="39"/>
      <c r="EM335" s="39"/>
      <c r="EN335" s="39"/>
      <c r="EO335" s="39"/>
      <c r="EP335" s="39"/>
      <c r="EQ335" s="39"/>
      <c r="ER335" s="39"/>
      <c r="ES335" s="39"/>
      <c r="ET335" s="39"/>
      <c r="EU335" s="39"/>
      <c r="EV335" s="39"/>
      <c r="EW335" s="39"/>
      <c r="EX335" s="39"/>
      <c r="EY335" s="39"/>
      <c r="EZ335" s="39"/>
      <c r="FA335" s="39"/>
      <c r="FB335" s="39"/>
      <c r="FC335" s="39"/>
      <c r="FD335" s="39"/>
      <c r="FE335" s="39"/>
      <c r="FF335" s="39"/>
      <c r="FG335" s="39"/>
      <c r="FH335" s="39"/>
      <c r="FI335" s="39"/>
      <c r="FJ335" s="39"/>
      <c r="FK335" s="39"/>
      <c r="FL335" s="39"/>
      <c r="FM335" s="39"/>
      <c r="FN335" s="75">
        <f t="shared" si="17"/>
        <v>0</v>
      </c>
    </row>
    <row r="336" spans="1:170" s="5" customFormat="1" x14ac:dyDescent="0.25">
      <c r="A336" s="44" t="s">
        <v>505</v>
      </c>
      <c r="B336" s="74">
        <f t="shared" si="15"/>
        <v>0</v>
      </c>
      <c r="C336" s="66">
        <v>1</v>
      </c>
      <c r="D336" s="69">
        <v>44963</v>
      </c>
      <c r="E336" s="76">
        <v>75.42</v>
      </c>
      <c r="F336" s="76">
        <f t="shared" si="14"/>
        <v>0</v>
      </c>
      <c r="G336" s="74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16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>
        <v>1</v>
      </c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  <c r="CR336" s="39"/>
      <c r="CS336" s="39"/>
      <c r="CT336" s="39"/>
      <c r="CU336" s="39"/>
      <c r="CV336" s="39"/>
      <c r="CW336" s="39"/>
      <c r="CX336" s="39"/>
      <c r="CY336" s="39"/>
      <c r="CZ336" s="39"/>
      <c r="DA336" s="39"/>
      <c r="DB336" s="39"/>
      <c r="DC336" s="39"/>
      <c r="DD336" s="39"/>
      <c r="DE336" s="39"/>
      <c r="DF336" s="39"/>
      <c r="DG336" s="39"/>
      <c r="DH336" s="39"/>
      <c r="DI336" s="39"/>
      <c r="DJ336" s="39"/>
      <c r="DK336" s="39"/>
      <c r="DL336" s="39"/>
      <c r="DM336" s="39"/>
      <c r="DN336" s="39"/>
      <c r="DO336" s="39"/>
      <c r="DP336" s="39"/>
      <c r="DQ336" s="39"/>
      <c r="DR336" s="39"/>
      <c r="DS336" s="39"/>
      <c r="DT336" s="39"/>
      <c r="DU336" s="39"/>
      <c r="DV336" s="39"/>
      <c r="DW336" s="39"/>
      <c r="DX336" s="39"/>
      <c r="DY336" s="39">
        <v>1</v>
      </c>
      <c r="DZ336" s="39"/>
      <c r="EA336" s="39"/>
      <c r="EB336" s="39"/>
      <c r="EC336" s="39"/>
      <c r="ED336" s="39"/>
      <c r="EE336" s="39"/>
      <c r="EF336" s="39"/>
      <c r="EG336" s="39"/>
      <c r="EH336" s="39"/>
      <c r="EI336" s="39"/>
      <c r="EJ336" s="39"/>
      <c r="EK336" s="39"/>
      <c r="EL336" s="39"/>
      <c r="EM336" s="39"/>
      <c r="EN336" s="39"/>
      <c r="EO336" s="39"/>
      <c r="EP336" s="39"/>
      <c r="EQ336" s="39"/>
      <c r="ER336" s="39"/>
      <c r="ES336" s="39"/>
      <c r="ET336" s="39"/>
      <c r="EU336" s="39"/>
      <c r="EV336" s="39"/>
      <c r="EW336" s="39"/>
      <c r="EX336" s="39"/>
      <c r="EY336" s="39"/>
      <c r="EZ336" s="39"/>
      <c r="FA336" s="39"/>
      <c r="FB336" s="39"/>
      <c r="FC336" s="39"/>
      <c r="FD336" s="39"/>
      <c r="FE336" s="39"/>
      <c r="FF336" s="39"/>
      <c r="FG336" s="39"/>
      <c r="FH336" s="39"/>
      <c r="FI336" s="39"/>
      <c r="FJ336" s="39"/>
      <c r="FK336" s="39"/>
      <c r="FL336" s="39"/>
      <c r="FM336" s="39"/>
      <c r="FN336" s="75">
        <f t="shared" si="17"/>
        <v>0</v>
      </c>
    </row>
    <row r="337" spans="1:170" s="5" customFormat="1" ht="12" customHeight="1" x14ac:dyDescent="0.25">
      <c r="A337" s="44" t="s">
        <v>538</v>
      </c>
      <c r="B337" s="74">
        <f t="shared" si="15"/>
        <v>0</v>
      </c>
      <c r="C337" s="66">
        <v>1</v>
      </c>
      <c r="D337" s="68">
        <v>44914</v>
      </c>
      <c r="E337" s="76">
        <v>73.94</v>
      </c>
      <c r="F337" s="76">
        <f t="shared" si="14"/>
        <v>0</v>
      </c>
      <c r="G337" s="74">
        <v>1</v>
      </c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16"/>
      <c r="X337" s="39"/>
      <c r="Y337" s="39"/>
      <c r="Z337" s="39"/>
      <c r="AA337" s="39"/>
      <c r="AB337" s="39"/>
      <c r="AC337" s="39"/>
      <c r="AD337" s="39">
        <v>1</v>
      </c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  <c r="CR337" s="39"/>
      <c r="CS337" s="39"/>
      <c r="CT337" s="39"/>
      <c r="CU337" s="39"/>
      <c r="CV337" s="39"/>
      <c r="CW337" s="39"/>
      <c r="CX337" s="39"/>
      <c r="CY337" s="39"/>
      <c r="CZ337" s="39"/>
      <c r="DA337" s="39"/>
      <c r="DB337" s="39"/>
      <c r="DC337" s="39"/>
      <c r="DD337" s="39"/>
      <c r="DE337" s="39"/>
      <c r="DF337" s="39"/>
      <c r="DG337" s="39"/>
      <c r="DH337" s="39"/>
      <c r="DI337" s="39"/>
      <c r="DJ337" s="39"/>
      <c r="DK337" s="39"/>
      <c r="DL337" s="39"/>
      <c r="DM337" s="39"/>
      <c r="DN337" s="39"/>
      <c r="DO337" s="39"/>
      <c r="DP337" s="39"/>
      <c r="DQ337" s="39"/>
      <c r="DR337" s="39"/>
      <c r="DS337" s="39"/>
      <c r="DT337" s="39"/>
      <c r="DU337" s="39"/>
      <c r="DV337" s="39"/>
      <c r="DW337" s="39"/>
      <c r="DX337" s="39"/>
      <c r="DY337" s="39"/>
      <c r="DZ337" s="39"/>
      <c r="EA337" s="39"/>
      <c r="EB337" s="39"/>
      <c r="EC337" s="39"/>
      <c r="ED337" s="39"/>
      <c r="EE337" s="39"/>
      <c r="EF337" s="39"/>
      <c r="EG337" s="39"/>
      <c r="EH337" s="39"/>
      <c r="EI337" s="39"/>
      <c r="EJ337" s="39"/>
      <c r="EK337" s="39"/>
      <c r="EL337" s="39"/>
      <c r="EM337" s="39"/>
      <c r="EN337" s="39"/>
      <c r="EO337" s="39"/>
      <c r="EP337" s="39"/>
      <c r="EQ337" s="39"/>
      <c r="ER337" s="39"/>
      <c r="ES337" s="39"/>
      <c r="ET337" s="39"/>
      <c r="EU337" s="39"/>
      <c r="EV337" s="39"/>
      <c r="EW337" s="39"/>
      <c r="EX337" s="39"/>
      <c r="EY337" s="39"/>
      <c r="EZ337" s="39"/>
      <c r="FA337" s="39"/>
      <c r="FB337" s="39"/>
      <c r="FC337" s="39"/>
      <c r="FD337" s="39"/>
      <c r="FE337" s="39"/>
      <c r="FF337" s="39"/>
      <c r="FG337" s="39"/>
      <c r="FH337" s="39"/>
      <c r="FI337" s="39"/>
      <c r="FJ337" s="39"/>
      <c r="FK337" s="39"/>
      <c r="FL337" s="39"/>
      <c r="FM337" s="39"/>
      <c r="FN337" s="75">
        <f t="shared" si="17"/>
        <v>0</v>
      </c>
    </row>
    <row r="338" spans="1:170" s="5" customFormat="1" ht="12" customHeight="1" x14ac:dyDescent="0.25">
      <c r="A338" s="44" t="s">
        <v>360</v>
      </c>
      <c r="B338" s="74">
        <f t="shared" si="15"/>
        <v>0</v>
      </c>
      <c r="C338" s="66">
        <v>10</v>
      </c>
      <c r="D338" s="68">
        <v>44979</v>
      </c>
      <c r="E338" s="76">
        <v>25.2</v>
      </c>
      <c r="F338" s="76">
        <f t="shared" si="14"/>
        <v>0</v>
      </c>
      <c r="G338" s="74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16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  <c r="CR338" s="39"/>
      <c r="CS338" s="39"/>
      <c r="CT338" s="39"/>
      <c r="CU338" s="39"/>
      <c r="CV338" s="39"/>
      <c r="CW338" s="39"/>
      <c r="CX338" s="39"/>
      <c r="CY338" s="39"/>
      <c r="CZ338" s="39"/>
      <c r="DA338" s="39"/>
      <c r="DB338" s="39"/>
      <c r="DC338" s="39"/>
      <c r="DD338" s="39"/>
      <c r="DE338" s="39"/>
      <c r="DF338" s="39"/>
      <c r="DG338" s="39"/>
      <c r="DH338" s="39"/>
      <c r="DI338" s="39"/>
      <c r="DJ338" s="39"/>
      <c r="DK338" s="39"/>
      <c r="DL338" s="39"/>
      <c r="DM338" s="39"/>
      <c r="DN338" s="39"/>
      <c r="DO338" s="39"/>
      <c r="DP338" s="39"/>
      <c r="DQ338" s="39"/>
      <c r="DR338" s="39"/>
      <c r="DS338" s="39"/>
      <c r="DT338" s="39"/>
      <c r="DU338" s="39"/>
      <c r="DV338" s="39"/>
      <c r="DW338" s="39"/>
      <c r="DX338" s="39"/>
      <c r="DY338" s="39"/>
      <c r="DZ338" s="39"/>
      <c r="EA338" s="39"/>
      <c r="EB338" s="39"/>
      <c r="EC338" s="39"/>
      <c r="ED338" s="39"/>
      <c r="EE338" s="39"/>
      <c r="EF338" s="39"/>
      <c r="EG338" s="39"/>
      <c r="EH338" s="39"/>
      <c r="EI338" s="39"/>
      <c r="EJ338" s="39"/>
      <c r="EK338" s="39"/>
      <c r="EL338" s="39"/>
      <c r="EM338" s="39"/>
      <c r="EN338" s="39"/>
      <c r="EO338" s="39"/>
      <c r="EP338" s="39"/>
      <c r="EQ338" s="39"/>
      <c r="ER338" s="39"/>
      <c r="ES338" s="39"/>
      <c r="ET338" s="39"/>
      <c r="EU338" s="39"/>
      <c r="EV338" s="39"/>
      <c r="EW338" s="39"/>
      <c r="EX338" s="39">
        <v>200</v>
      </c>
      <c r="EY338" s="39"/>
      <c r="EZ338" s="39"/>
      <c r="FA338" s="39"/>
      <c r="FB338" s="39"/>
      <c r="FC338" s="39"/>
      <c r="FD338" s="39"/>
      <c r="FE338" s="39"/>
      <c r="FF338" s="39"/>
      <c r="FG338" s="39"/>
      <c r="FH338" s="39"/>
      <c r="FI338" s="39"/>
      <c r="FJ338" s="39">
        <v>200</v>
      </c>
      <c r="FK338" s="39"/>
      <c r="FL338" s="39"/>
      <c r="FM338" s="39"/>
      <c r="FN338" s="75">
        <f t="shared" si="17"/>
        <v>0</v>
      </c>
    </row>
    <row r="339" spans="1:170" s="5" customFormat="1" ht="12" customHeight="1" x14ac:dyDescent="0.25">
      <c r="A339" s="44" t="s">
        <v>315</v>
      </c>
      <c r="B339" s="74">
        <f t="shared" si="15"/>
        <v>1</v>
      </c>
      <c r="C339" s="66">
        <v>1</v>
      </c>
      <c r="D339" s="68">
        <v>44739</v>
      </c>
      <c r="E339" s="76">
        <v>59.59</v>
      </c>
      <c r="F339" s="76">
        <f t="shared" si="14"/>
        <v>59.59</v>
      </c>
      <c r="G339" s="74">
        <v>4</v>
      </c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16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>
        <v>1</v>
      </c>
      <c r="BI339" s="39"/>
      <c r="BJ339" s="39"/>
      <c r="BK339" s="39">
        <v>1</v>
      </c>
      <c r="BL339" s="39"/>
      <c r="BM339" s="39"/>
      <c r="BN339" s="39">
        <v>1</v>
      </c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  <c r="CR339" s="39"/>
      <c r="CS339" s="39"/>
      <c r="CT339" s="39"/>
      <c r="CU339" s="39"/>
      <c r="CV339" s="39"/>
      <c r="CW339" s="39"/>
      <c r="CX339" s="39"/>
      <c r="CY339" s="39"/>
      <c r="CZ339" s="39"/>
      <c r="DA339" s="39"/>
      <c r="DB339" s="39"/>
      <c r="DC339" s="39">
        <v>1</v>
      </c>
      <c r="DD339" s="39"/>
      <c r="DE339" s="39"/>
      <c r="DF339" s="39"/>
      <c r="DG339" s="39"/>
      <c r="DH339" s="39"/>
      <c r="DI339" s="39"/>
      <c r="DJ339" s="39"/>
      <c r="DK339" s="39"/>
      <c r="DL339" s="39"/>
      <c r="DM339" s="39"/>
      <c r="DN339" s="39"/>
      <c r="DO339" s="39"/>
      <c r="DP339" s="39"/>
      <c r="DQ339" s="39"/>
      <c r="DR339" s="39"/>
      <c r="DS339" s="39"/>
      <c r="DT339" s="39"/>
      <c r="DU339" s="39"/>
      <c r="DV339" s="39"/>
      <c r="DW339" s="39"/>
      <c r="DX339" s="39"/>
      <c r="DY339" s="39"/>
      <c r="DZ339" s="39"/>
      <c r="EA339" s="39"/>
      <c r="EB339" s="39"/>
      <c r="EC339" s="39"/>
      <c r="ED339" s="39"/>
      <c r="EE339" s="39"/>
      <c r="EF339" s="39"/>
      <c r="EG339" s="39"/>
      <c r="EH339" s="39"/>
      <c r="EI339" s="39"/>
      <c r="EJ339" s="39"/>
      <c r="EK339" s="39"/>
      <c r="EL339" s="39"/>
      <c r="EM339" s="39"/>
      <c r="EN339" s="39"/>
      <c r="EO339" s="39"/>
      <c r="EP339" s="39"/>
      <c r="EQ339" s="39"/>
      <c r="ER339" s="39"/>
      <c r="ES339" s="39"/>
      <c r="ET339" s="39"/>
      <c r="EU339" s="39"/>
      <c r="EV339" s="39"/>
      <c r="EW339" s="39"/>
      <c r="EX339" s="39"/>
      <c r="EY339" s="39"/>
      <c r="EZ339" s="39"/>
      <c r="FA339" s="39"/>
      <c r="FB339" s="39"/>
      <c r="FC339" s="39"/>
      <c r="FD339" s="39"/>
      <c r="FE339" s="39"/>
      <c r="FF339" s="39"/>
      <c r="FG339" s="39"/>
      <c r="FH339" s="39"/>
      <c r="FI339" s="39"/>
      <c r="FJ339" s="39"/>
      <c r="FK339" s="39"/>
      <c r="FL339" s="39"/>
      <c r="FM339" s="39"/>
      <c r="FN339" s="75">
        <f t="shared" si="17"/>
        <v>0</v>
      </c>
    </row>
    <row r="340" spans="1:170" s="5" customFormat="1" x14ac:dyDescent="0.25">
      <c r="A340" s="44" t="s">
        <v>315</v>
      </c>
      <c r="B340" s="74">
        <f t="shared" si="15"/>
        <v>3</v>
      </c>
      <c r="C340" s="66">
        <v>1</v>
      </c>
      <c r="D340" s="69">
        <v>44963</v>
      </c>
      <c r="E340" s="76">
        <v>90.5</v>
      </c>
      <c r="F340" s="76">
        <f t="shared" si="14"/>
        <v>271.5</v>
      </c>
      <c r="G340" s="74">
        <v>2</v>
      </c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16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>
        <v>3</v>
      </c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  <c r="CR340" s="39"/>
      <c r="CS340" s="39"/>
      <c r="CT340" s="39"/>
      <c r="CU340" s="39"/>
      <c r="CV340" s="39"/>
      <c r="CW340" s="39"/>
      <c r="CX340" s="39"/>
      <c r="CY340" s="39"/>
      <c r="CZ340" s="39"/>
      <c r="DA340" s="39"/>
      <c r="DB340" s="39"/>
      <c r="DC340" s="39">
        <v>2</v>
      </c>
      <c r="DD340" s="39"/>
      <c r="DE340" s="39"/>
      <c r="DF340" s="39"/>
      <c r="DG340" s="39"/>
      <c r="DH340" s="39"/>
      <c r="DI340" s="39"/>
      <c r="DJ340" s="39"/>
      <c r="DK340" s="39"/>
      <c r="DL340" s="39"/>
      <c r="DM340" s="39"/>
      <c r="DN340" s="39"/>
      <c r="DO340" s="39"/>
      <c r="DP340" s="39"/>
      <c r="DQ340" s="39"/>
      <c r="DR340" s="39"/>
      <c r="DS340" s="39"/>
      <c r="DT340" s="39"/>
      <c r="DU340" s="39"/>
      <c r="DV340" s="39"/>
      <c r="DW340" s="39"/>
      <c r="DX340" s="39"/>
      <c r="DY340" s="39">
        <v>3</v>
      </c>
      <c r="DZ340" s="39"/>
      <c r="EA340" s="39"/>
      <c r="EB340" s="39"/>
      <c r="EC340" s="39"/>
      <c r="ED340" s="39"/>
      <c r="EE340" s="39"/>
      <c r="EF340" s="39"/>
      <c r="EG340" s="39"/>
      <c r="EH340" s="39"/>
      <c r="EI340" s="39"/>
      <c r="EJ340" s="39"/>
      <c r="EK340" s="39"/>
      <c r="EL340" s="39"/>
      <c r="EM340" s="39"/>
      <c r="EN340" s="39"/>
      <c r="EO340" s="39"/>
      <c r="EP340" s="39"/>
      <c r="EQ340" s="39"/>
      <c r="ER340" s="39"/>
      <c r="ES340" s="39"/>
      <c r="ET340" s="39"/>
      <c r="EU340" s="39"/>
      <c r="EV340" s="39"/>
      <c r="EW340" s="39"/>
      <c r="EX340" s="39"/>
      <c r="EY340" s="39"/>
      <c r="EZ340" s="39"/>
      <c r="FA340" s="39"/>
      <c r="FB340" s="39"/>
      <c r="FC340" s="39"/>
      <c r="FD340" s="39"/>
      <c r="FE340" s="39"/>
      <c r="FF340" s="39"/>
      <c r="FG340" s="39"/>
      <c r="FH340" s="39"/>
      <c r="FI340" s="39"/>
      <c r="FJ340" s="39"/>
      <c r="FK340" s="39"/>
      <c r="FL340" s="39"/>
      <c r="FM340" s="39"/>
      <c r="FN340" s="75">
        <f t="shared" si="17"/>
        <v>0</v>
      </c>
    </row>
    <row r="341" spans="1:170" s="5" customFormat="1" x14ac:dyDescent="0.25">
      <c r="A341" s="44" t="s">
        <v>315</v>
      </c>
      <c r="B341" s="74">
        <f t="shared" si="15"/>
        <v>6</v>
      </c>
      <c r="C341" s="66">
        <v>1</v>
      </c>
      <c r="D341" s="69">
        <v>44775</v>
      </c>
      <c r="E341" s="76">
        <v>64.31</v>
      </c>
      <c r="F341" s="76">
        <f t="shared" si="14"/>
        <v>385.86</v>
      </c>
      <c r="G341" s="74">
        <v>6</v>
      </c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16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>
        <v>6</v>
      </c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  <c r="CR341" s="39"/>
      <c r="CS341" s="39"/>
      <c r="CT341" s="39"/>
      <c r="CU341" s="39"/>
      <c r="CV341" s="39"/>
      <c r="CW341" s="39"/>
      <c r="CX341" s="39"/>
      <c r="CY341" s="39"/>
      <c r="CZ341" s="39"/>
      <c r="DA341" s="39"/>
      <c r="DB341" s="39"/>
      <c r="DC341" s="39"/>
      <c r="DD341" s="39"/>
      <c r="DE341" s="39"/>
      <c r="DF341" s="39"/>
      <c r="DG341" s="39"/>
      <c r="DH341" s="39"/>
      <c r="DI341" s="39"/>
      <c r="DJ341" s="39"/>
      <c r="DK341" s="39"/>
      <c r="DL341" s="39"/>
      <c r="DM341" s="39"/>
      <c r="DN341" s="39"/>
      <c r="DO341" s="39"/>
      <c r="DP341" s="39"/>
      <c r="DQ341" s="39"/>
      <c r="DR341" s="39"/>
      <c r="DS341" s="39"/>
      <c r="DT341" s="39"/>
      <c r="DU341" s="39"/>
      <c r="DV341" s="39"/>
      <c r="DW341" s="39"/>
      <c r="DX341" s="39"/>
      <c r="DY341" s="39"/>
      <c r="DZ341" s="39"/>
      <c r="EA341" s="39"/>
      <c r="EB341" s="39"/>
      <c r="EC341" s="39"/>
      <c r="ED341" s="39"/>
      <c r="EE341" s="39"/>
      <c r="EF341" s="39"/>
      <c r="EG341" s="39"/>
      <c r="EH341" s="39"/>
      <c r="EI341" s="39"/>
      <c r="EJ341" s="39"/>
      <c r="EK341" s="39"/>
      <c r="EL341" s="39"/>
      <c r="EM341" s="39"/>
      <c r="EN341" s="39"/>
      <c r="EO341" s="39"/>
      <c r="EP341" s="39"/>
      <c r="EQ341" s="39"/>
      <c r="ER341" s="39"/>
      <c r="ES341" s="39"/>
      <c r="ET341" s="39"/>
      <c r="EU341" s="39"/>
      <c r="EV341" s="39"/>
      <c r="EW341" s="39"/>
      <c r="EX341" s="39"/>
      <c r="EY341" s="39"/>
      <c r="EZ341" s="39"/>
      <c r="FA341" s="39"/>
      <c r="FB341" s="39"/>
      <c r="FC341" s="39"/>
      <c r="FD341" s="39"/>
      <c r="FE341" s="39"/>
      <c r="FF341" s="39"/>
      <c r="FG341" s="39"/>
      <c r="FH341" s="39"/>
      <c r="FI341" s="39"/>
      <c r="FJ341" s="39"/>
      <c r="FK341" s="39"/>
      <c r="FL341" s="39"/>
      <c r="FM341" s="39"/>
      <c r="FN341" s="75">
        <f t="shared" si="17"/>
        <v>0</v>
      </c>
    </row>
    <row r="342" spans="1:170" s="5" customFormat="1" x14ac:dyDescent="0.25">
      <c r="A342" s="44" t="s">
        <v>452</v>
      </c>
      <c r="B342" s="74">
        <f t="shared" si="15"/>
        <v>0</v>
      </c>
      <c r="C342" s="66">
        <v>1</v>
      </c>
      <c r="D342" s="69">
        <v>44606</v>
      </c>
      <c r="E342" s="76">
        <v>33.79</v>
      </c>
      <c r="F342" s="76">
        <f t="shared" si="14"/>
        <v>0</v>
      </c>
      <c r="G342" s="74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16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  <c r="CR342" s="39"/>
      <c r="CS342" s="39"/>
      <c r="CT342" s="39"/>
      <c r="CU342" s="39"/>
      <c r="CV342" s="39"/>
      <c r="CW342" s="39"/>
      <c r="CX342" s="39"/>
      <c r="CY342" s="39"/>
      <c r="CZ342" s="39"/>
      <c r="DA342" s="39"/>
      <c r="DB342" s="39"/>
      <c r="DC342" s="39"/>
      <c r="DD342" s="39"/>
      <c r="DE342" s="39"/>
      <c r="DF342" s="39"/>
      <c r="DG342" s="39"/>
      <c r="DH342" s="39"/>
      <c r="DI342" s="39"/>
      <c r="DJ342" s="39"/>
      <c r="DK342" s="39"/>
      <c r="DL342" s="39"/>
      <c r="DM342" s="39"/>
      <c r="DN342" s="39"/>
      <c r="DO342" s="39"/>
      <c r="DP342" s="39"/>
      <c r="DQ342" s="39"/>
      <c r="DR342" s="39"/>
      <c r="DS342" s="39"/>
      <c r="DT342" s="39"/>
      <c r="DU342" s="39"/>
      <c r="DV342" s="39"/>
      <c r="DW342" s="39"/>
      <c r="DX342" s="39"/>
      <c r="DY342" s="39"/>
      <c r="DZ342" s="39"/>
      <c r="EA342" s="39"/>
      <c r="EB342" s="39"/>
      <c r="EC342" s="39"/>
      <c r="ED342" s="39"/>
      <c r="EE342" s="39"/>
      <c r="EF342" s="39"/>
      <c r="EG342" s="39"/>
      <c r="EH342" s="39"/>
      <c r="EI342" s="39"/>
      <c r="EJ342" s="39"/>
      <c r="EK342" s="39"/>
      <c r="EL342" s="39"/>
      <c r="EM342" s="39"/>
      <c r="EN342" s="39"/>
      <c r="EO342" s="39"/>
      <c r="EP342" s="39"/>
      <c r="EQ342" s="39"/>
      <c r="ER342" s="39"/>
      <c r="ES342" s="39"/>
      <c r="ET342" s="39"/>
      <c r="EU342" s="39"/>
      <c r="EV342" s="39"/>
      <c r="EW342" s="39"/>
      <c r="EX342" s="39"/>
      <c r="EY342" s="39"/>
      <c r="EZ342" s="39"/>
      <c r="FA342" s="39"/>
      <c r="FB342" s="39"/>
      <c r="FC342" s="39"/>
      <c r="FD342" s="39"/>
      <c r="FE342" s="39"/>
      <c r="FF342" s="39"/>
      <c r="FG342" s="39"/>
      <c r="FH342" s="39"/>
      <c r="FI342" s="39"/>
      <c r="FJ342" s="39"/>
      <c r="FK342" s="39"/>
      <c r="FL342" s="39"/>
      <c r="FM342" s="39"/>
      <c r="FN342" s="75">
        <f t="shared" si="17"/>
        <v>0</v>
      </c>
    </row>
    <row r="343" spans="1:170" s="5" customFormat="1" x14ac:dyDescent="0.25">
      <c r="A343" s="44" t="s">
        <v>297</v>
      </c>
      <c r="B343" s="74">
        <f t="shared" si="15"/>
        <v>0</v>
      </c>
      <c r="C343" s="66">
        <v>1</v>
      </c>
      <c r="D343" s="68">
        <v>44886</v>
      </c>
      <c r="E343" s="76">
        <v>58.33</v>
      </c>
      <c r="F343" s="76">
        <f t="shared" si="14"/>
        <v>0</v>
      </c>
      <c r="G343" s="74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16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  <c r="CR343" s="39"/>
      <c r="CS343" s="39"/>
      <c r="CT343" s="39"/>
      <c r="CU343" s="39"/>
      <c r="CV343" s="39"/>
      <c r="CW343" s="39"/>
      <c r="CX343" s="39"/>
      <c r="CY343" s="39"/>
      <c r="CZ343" s="39"/>
      <c r="DA343" s="39"/>
      <c r="DB343" s="39"/>
      <c r="DC343" s="39"/>
      <c r="DD343" s="39"/>
      <c r="DE343" s="39"/>
      <c r="DF343" s="39"/>
      <c r="DG343" s="39"/>
      <c r="DH343" s="39"/>
      <c r="DI343" s="39"/>
      <c r="DJ343" s="39"/>
      <c r="DK343" s="39"/>
      <c r="DL343" s="39"/>
      <c r="DM343" s="39"/>
      <c r="DN343" s="39"/>
      <c r="DO343" s="39"/>
      <c r="DP343" s="39"/>
      <c r="DQ343" s="39"/>
      <c r="DR343" s="39"/>
      <c r="DS343" s="39"/>
      <c r="DT343" s="39"/>
      <c r="DU343" s="39"/>
      <c r="DV343" s="39"/>
      <c r="DW343" s="39"/>
      <c r="DX343" s="39"/>
      <c r="DY343" s="39"/>
      <c r="DZ343" s="39"/>
      <c r="EA343" s="39"/>
      <c r="EB343" s="39"/>
      <c r="EC343" s="39"/>
      <c r="ED343" s="39"/>
      <c r="EE343" s="39"/>
      <c r="EF343" s="39"/>
      <c r="EG343" s="39"/>
      <c r="EH343" s="39"/>
      <c r="EI343" s="39"/>
      <c r="EJ343" s="39"/>
      <c r="EK343" s="39"/>
      <c r="EL343" s="39"/>
      <c r="EM343" s="39"/>
      <c r="EN343" s="39"/>
      <c r="EO343" s="39"/>
      <c r="EP343" s="39"/>
      <c r="EQ343" s="39"/>
      <c r="ER343" s="39"/>
      <c r="ES343" s="39"/>
      <c r="ET343" s="39"/>
      <c r="EU343" s="39"/>
      <c r="EV343" s="39"/>
      <c r="EW343" s="39"/>
      <c r="EX343" s="39"/>
      <c r="EY343" s="39"/>
      <c r="EZ343" s="39"/>
      <c r="FA343" s="39"/>
      <c r="FB343" s="39"/>
      <c r="FC343" s="39"/>
      <c r="FD343" s="39"/>
      <c r="FE343" s="39"/>
      <c r="FF343" s="39"/>
      <c r="FG343" s="39"/>
      <c r="FH343" s="39"/>
      <c r="FI343" s="39"/>
      <c r="FJ343" s="39"/>
      <c r="FK343" s="39"/>
      <c r="FL343" s="39"/>
      <c r="FM343" s="39"/>
      <c r="FN343" s="75">
        <f t="shared" si="17"/>
        <v>0</v>
      </c>
    </row>
    <row r="344" spans="1:170" s="5" customFormat="1" x14ac:dyDescent="0.25">
      <c r="A344" s="44" t="s">
        <v>487</v>
      </c>
      <c r="B344" s="74">
        <f t="shared" si="15"/>
        <v>0</v>
      </c>
      <c r="C344" s="66">
        <v>5</v>
      </c>
      <c r="D344" s="68">
        <v>44851</v>
      </c>
      <c r="E344" s="76">
        <v>167.08</v>
      </c>
      <c r="F344" s="76">
        <f t="shared" si="14"/>
        <v>0</v>
      </c>
      <c r="G344" s="74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16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  <c r="CR344" s="39"/>
      <c r="CS344" s="39"/>
      <c r="CT344" s="39"/>
      <c r="CU344" s="39"/>
      <c r="CV344" s="39"/>
      <c r="CW344" s="39"/>
      <c r="CX344" s="39"/>
      <c r="CY344" s="39"/>
      <c r="CZ344" s="39"/>
      <c r="DA344" s="39"/>
      <c r="DB344" s="39"/>
      <c r="DC344" s="39"/>
      <c r="DD344" s="39"/>
      <c r="DE344" s="39"/>
      <c r="DF344" s="39"/>
      <c r="DG344" s="39"/>
      <c r="DH344" s="39"/>
      <c r="DI344" s="39"/>
      <c r="DJ344" s="39"/>
      <c r="DK344" s="39"/>
      <c r="DL344" s="39"/>
      <c r="DM344" s="39"/>
      <c r="DN344" s="39"/>
      <c r="DO344" s="39"/>
      <c r="DP344" s="39"/>
      <c r="DQ344" s="39"/>
      <c r="DR344" s="39"/>
      <c r="DS344" s="39"/>
      <c r="DT344" s="39"/>
      <c r="DU344" s="39"/>
      <c r="DV344" s="39"/>
      <c r="DW344" s="39"/>
      <c r="DX344" s="39"/>
      <c r="DY344" s="39"/>
      <c r="DZ344" s="39"/>
      <c r="EA344" s="39"/>
      <c r="EB344" s="39"/>
      <c r="EC344" s="39"/>
      <c r="ED344" s="39"/>
      <c r="EE344" s="39"/>
      <c r="EF344" s="39"/>
      <c r="EG344" s="39"/>
      <c r="EH344" s="39"/>
      <c r="EI344" s="39"/>
      <c r="EJ344" s="39"/>
      <c r="EK344" s="39"/>
      <c r="EL344" s="39"/>
      <c r="EM344" s="39"/>
      <c r="EN344" s="39"/>
      <c r="EO344" s="39"/>
      <c r="EP344" s="39"/>
      <c r="EQ344" s="39"/>
      <c r="ER344" s="39"/>
      <c r="ES344" s="39"/>
      <c r="ET344" s="39"/>
      <c r="EU344" s="39"/>
      <c r="EV344" s="39"/>
      <c r="EW344" s="39"/>
      <c r="EX344" s="39"/>
      <c r="EY344" s="39"/>
      <c r="EZ344" s="39"/>
      <c r="FA344" s="39"/>
      <c r="FB344" s="39"/>
      <c r="FC344" s="39"/>
      <c r="FD344" s="39"/>
      <c r="FE344" s="39"/>
      <c r="FF344" s="39"/>
      <c r="FG344" s="39"/>
      <c r="FH344" s="39"/>
      <c r="FI344" s="39"/>
      <c r="FJ344" s="39"/>
      <c r="FK344" s="39"/>
      <c r="FL344" s="39"/>
      <c r="FM344" s="39"/>
      <c r="FN344" s="75">
        <f t="shared" si="17"/>
        <v>0</v>
      </c>
    </row>
    <row r="345" spans="1:170" s="5" customFormat="1" ht="12" customHeight="1" x14ac:dyDescent="0.25">
      <c r="A345" s="44" t="s">
        <v>471</v>
      </c>
      <c r="B345" s="74">
        <f t="shared" si="15"/>
        <v>0</v>
      </c>
      <c r="C345" s="66">
        <v>1</v>
      </c>
      <c r="D345" s="68">
        <v>44914</v>
      </c>
      <c r="E345" s="76">
        <v>39.68</v>
      </c>
      <c r="F345" s="76">
        <f t="shared" ref="F345:F351" si="18">E345*B345</f>
        <v>0</v>
      </c>
      <c r="G345" s="74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16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  <c r="CR345" s="39"/>
      <c r="CS345" s="39"/>
      <c r="CT345" s="39"/>
      <c r="CU345" s="39"/>
      <c r="CV345" s="39"/>
      <c r="CW345" s="39"/>
      <c r="CX345" s="39"/>
      <c r="CY345" s="39"/>
      <c r="CZ345" s="39"/>
      <c r="DA345" s="39"/>
      <c r="DB345" s="39"/>
      <c r="DC345" s="39"/>
      <c r="DD345" s="39"/>
      <c r="DE345" s="39"/>
      <c r="DF345" s="39"/>
      <c r="DG345" s="39"/>
      <c r="DH345" s="39"/>
      <c r="DI345" s="39"/>
      <c r="DJ345" s="39"/>
      <c r="DK345" s="39"/>
      <c r="DL345" s="39"/>
      <c r="DM345" s="39"/>
      <c r="DN345" s="39"/>
      <c r="DO345" s="39"/>
      <c r="DP345" s="39"/>
      <c r="DQ345" s="39"/>
      <c r="DR345" s="39"/>
      <c r="DS345" s="39"/>
      <c r="DT345" s="39"/>
      <c r="DU345" s="39"/>
      <c r="DV345" s="39"/>
      <c r="DW345" s="39"/>
      <c r="DX345" s="39"/>
      <c r="DY345" s="39"/>
      <c r="DZ345" s="39"/>
      <c r="EA345" s="39"/>
      <c r="EB345" s="39"/>
      <c r="EC345" s="39"/>
      <c r="ED345" s="39"/>
      <c r="EE345" s="39"/>
      <c r="EF345" s="39"/>
      <c r="EG345" s="39"/>
      <c r="EH345" s="39"/>
      <c r="EI345" s="39"/>
      <c r="EJ345" s="39"/>
      <c r="EK345" s="39"/>
      <c r="EL345" s="39"/>
      <c r="EM345" s="39"/>
      <c r="EN345" s="39"/>
      <c r="EO345" s="39"/>
      <c r="EP345" s="39"/>
      <c r="EQ345" s="39"/>
      <c r="ER345" s="39"/>
      <c r="ES345" s="39"/>
      <c r="ET345" s="39"/>
      <c r="EU345" s="39"/>
      <c r="EV345" s="39"/>
      <c r="EW345" s="39"/>
      <c r="EX345" s="39"/>
      <c r="EY345" s="39"/>
      <c r="EZ345" s="39"/>
      <c r="FA345" s="39"/>
      <c r="FB345" s="39"/>
      <c r="FC345" s="39"/>
      <c r="FD345" s="39"/>
      <c r="FE345" s="39"/>
      <c r="FF345" s="39"/>
      <c r="FG345" s="39"/>
      <c r="FH345" s="39"/>
      <c r="FI345" s="39"/>
      <c r="FJ345" s="39"/>
      <c r="FK345" s="39"/>
      <c r="FL345" s="39"/>
      <c r="FM345" s="39"/>
      <c r="FN345" s="75">
        <f t="shared" si="17"/>
        <v>0</v>
      </c>
    </row>
    <row r="346" spans="1:170" s="5" customFormat="1" ht="12" customHeight="1" x14ac:dyDescent="0.25">
      <c r="A346" s="44" t="s">
        <v>484</v>
      </c>
      <c r="B346" s="74">
        <f t="shared" si="15"/>
        <v>0</v>
      </c>
      <c r="C346" s="66">
        <v>1</v>
      </c>
      <c r="D346" s="68">
        <v>44886</v>
      </c>
      <c r="E346" s="76">
        <v>33.22</v>
      </c>
      <c r="F346" s="76">
        <f t="shared" si="18"/>
        <v>0</v>
      </c>
      <c r="G346" s="74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16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  <c r="CR346" s="39"/>
      <c r="CS346" s="39"/>
      <c r="CT346" s="39"/>
      <c r="CU346" s="39"/>
      <c r="CV346" s="39"/>
      <c r="CW346" s="39"/>
      <c r="CX346" s="39"/>
      <c r="CY346" s="39"/>
      <c r="CZ346" s="39"/>
      <c r="DA346" s="39"/>
      <c r="DB346" s="39"/>
      <c r="DC346" s="39"/>
      <c r="DD346" s="39"/>
      <c r="DE346" s="39"/>
      <c r="DF346" s="39"/>
      <c r="DG346" s="39"/>
      <c r="DH346" s="39"/>
      <c r="DI346" s="39"/>
      <c r="DJ346" s="39"/>
      <c r="DK346" s="39"/>
      <c r="DL346" s="39"/>
      <c r="DM346" s="39"/>
      <c r="DN346" s="39"/>
      <c r="DO346" s="39"/>
      <c r="DP346" s="39"/>
      <c r="DQ346" s="39"/>
      <c r="DR346" s="39"/>
      <c r="DS346" s="39"/>
      <c r="DT346" s="39"/>
      <c r="DU346" s="39"/>
      <c r="DV346" s="39"/>
      <c r="DW346" s="39"/>
      <c r="DX346" s="39"/>
      <c r="DY346" s="39"/>
      <c r="DZ346" s="39"/>
      <c r="EA346" s="39"/>
      <c r="EB346" s="39"/>
      <c r="EC346" s="39"/>
      <c r="ED346" s="39"/>
      <c r="EE346" s="39"/>
      <c r="EF346" s="39"/>
      <c r="EG346" s="39"/>
      <c r="EH346" s="39"/>
      <c r="EI346" s="39"/>
      <c r="EJ346" s="39"/>
      <c r="EK346" s="39"/>
      <c r="EL346" s="39"/>
      <c r="EM346" s="39"/>
      <c r="EN346" s="39"/>
      <c r="EO346" s="39"/>
      <c r="EP346" s="39"/>
      <c r="EQ346" s="39"/>
      <c r="ER346" s="39"/>
      <c r="ES346" s="39"/>
      <c r="ET346" s="39"/>
      <c r="EU346" s="39"/>
      <c r="EV346" s="39"/>
      <c r="EW346" s="39"/>
      <c r="EX346" s="39"/>
      <c r="EY346" s="39"/>
      <c r="EZ346" s="39"/>
      <c r="FA346" s="39"/>
      <c r="FB346" s="39"/>
      <c r="FC346" s="39"/>
      <c r="FD346" s="39"/>
      <c r="FE346" s="39"/>
      <c r="FF346" s="39"/>
      <c r="FG346" s="39"/>
      <c r="FH346" s="39"/>
      <c r="FI346" s="39"/>
      <c r="FJ346" s="39"/>
      <c r="FK346" s="39"/>
      <c r="FL346" s="39"/>
      <c r="FM346" s="39"/>
      <c r="FN346" s="75">
        <f t="shared" si="17"/>
        <v>0</v>
      </c>
    </row>
    <row r="347" spans="1:170" s="5" customFormat="1" ht="12" customHeight="1" x14ac:dyDescent="0.25">
      <c r="A347" s="44" t="s">
        <v>180</v>
      </c>
      <c r="B347" s="74">
        <f t="shared" ref="B347:B378" si="19">SUMIF(G$3:FM$3,"прих",G347:FM347)-SUMIF(G$3:FM$3,"отгр",G347:FM347)</f>
        <v>0</v>
      </c>
      <c r="C347" s="66">
        <v>1</v>
      </c>
      <c r="D347" s="68">
        <v>44809</v>
      </c>
      <c r="E347" s="76">
        <v>53.51</v>
      </c>
      <c r="F347" s="76">
        <f t="shared" si="18"/>
        <v>0</v>
      </c>
      <c r="G347" s="74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16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  <c r="CR347" s="39"/>
      <c r="CS347" s="39"/>
      <c r="CT347" s="39"/>
      <c r="CU347" s="39"/>
      <c r="CV347" s="39"/>
      <c r="CW347" s="39"/>
      <c r="CX347" s="39"/>
      <c r="CY347" s="39"/>
      <c r="CZ347" s="39"/>
      <c r="DA347" s="39"/>
      <c r="DB347" s="39"/>
      <c r="DC347" s="39"/>
      <c r="DD347" s="39"/>
      <c r="DE347" s="39"/>
      <c r="DF347" s="39"/>
      <c r="DG347" s="39"/>
      <c r="DH347" s="39"/>
      <c r="DI347" s="39"/>
      <c r="DJ347" s="39"/>
      <c r="DK347" s="39"/>
      <c r="DL347" s="39"/>
      <c r="DM347" s="39"/>
      <c r="DN347" s="39"/>
      <c r="DO347" s="39"/>
      <c r="DP347" s="39"/>
      <c r="DQ347" s="39"/>
      <c r="DR347" s="39"/>
      <c r="DS347" s="39"/>
      <c r="DT347" s="39"/>
      <c r="DU347" s="39"/>
      <c r="DV347" s="39"/>
      <c r="DW347" s="39"/>
      <c r="DX347" s="39"/>
      <c r="DY347" s="39"/>
      <c r="DZ347" s="39"/>
      <c r="EA347" s="39"/>
      <c r="EB347" s="39"/>
      <c r="EC347" s="39"/>
      <c r="ED347" s="39"/>
      <c r="EE347" s="39"/>
      <c r="EF347" s="39"/>
      <c r="EG347" s="39"/>
      <c r="EH347" s="39"/>
      <c r="EI347" s="39"/>
      <c r="EJ347" s="39"/>
      <c r="EK347" s="39"/>
      <c r="EL347" s="39"/>
      <c r="EM347" s="39"/>
      <c r="EN347" s="39"/>
      <c r="EO347" s="39"/>
      <c r="EP347" s="39"/>
      <c r="EQ347" s="39"/>
      <c r="ER347" s="39"/>
      <c r="ES347" s="39"/>
      <c r="ET347" s="39"/>
      <c r="EU347" s="39"/>
      <c r="EV347" s="39"/>
      <c r="EW347" s="39"/>
      <c r="EX347" s="39"/>
      <c r="EY347" s="39"/>
      <c r="EZ347" s="39"/>
      <c r="FA347" s="39"/>
      <c r="FB347" s="39"/>
      <c r="FC347" s="39"/>
      <c r="FD347" s="39"/>
      <c r="FE347" s="39"/>
      <c r="FF347" s="39"/>
      <c r="FG347" s="39"/>
      <c r="FH347" s="39"/>
      <c r="FI347" s="39"/>
      <c r="FJ347" s="39"/>
      <c r="FK347" s="39"/>
      <c r="FL347" s="39"/>
      <c r="FM347" s="39"/>
      <c r="FN347" s="75">
        <f t="shared" si="17"/>
        <v>0</v>
      </c>
    </row>
    <row r="348" spans="1:170" s="5" customFormat="1" ht="12" customHeight="1" x14ac:dyDescent="0.25">
      <c r="A348" s="44" t="s">
        <v>525</v>
      </c>
      <c r="B348" s="74">
        <f t="shared" si="19"/>
        <v>0</v>
      </c>
      <c r="C348" s="66">
        <v>5</v>
      </c>
      <c r="D348" s="68">
        <v>44979</v>
      </c>
      <c r="E348" s="76">
        <v>58.73</v>
      </c>
      <c r="F348" s="76">
        <f>E348*B348</f>
        <v>0</v>
      </c>
      <c r="G348" s="74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16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>
        <v>5</v>
      </c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  <c r="CR348" s="39"/>
      <c r="CS348" s="39"/>
      <c r="CT348" s="39"/>
      <c r="CU348" s="39"/>
      <c r="CV348" s="39"/>
      <c r="CW348" s="39"/>
      <c r="CX348" s="39"/>
      <c r="CY348" s="39"/>
      <c r="CZ348" s="39"/>
      <c r="DA348" s="39"/>
      <c r="DB348" s="39"/>
      <c r="DC348" s="39"/>
      <c r="DD348" s="39"/>
      <c r="DE348" s="39"/>
      <c r="DF348" s="39"/>
      <c r="DG348" s="39"/>
      <c r="DH348" s="39"/>
      <c r="DI348" s="39"/>
      <c r="DJ348" s="39"/>
      <c r="DK348" s="39"/>
      <c r="DL348" s="39"/>
      <c r="DM348" s="39"/>
      <c r="DN348" s="39"/>
      <c r="DO348" s="39"/>
      <c r="DP348" s="39"/>
      <c r="DQ348" s="39"/>
      <c r="DR348" s="39"/>
      <c r="DS348" s="39"/>
      <c r="DT348" s="39"/>
      <c r="DU348" s="39"/>
      <c r="DV348" s="39"/>
      <c r="DW348" s="39"/>
      <c r="DX348" s="39"/>
      <c r="DY348" s="39"/>
      <c r="DZ348" s="39"/>
      <c r="EA348" s="39"/>
      <c r="EB348" s="39"/>
      <c r="EC348" s="39"/>
      <c r="ED348" s="39"/>
      <c r="EE348" s="39"/>
      <c r="EF348" s="39"/>
      <c r="EG348" s="39"/>
      <c r="EH348" s="39"/>
      <c r="EI348" s="39"/>
      <c r="EJ348" s="39"/>
      <c r="EK348" s="39"/>
      <c r="EL348" s="39"/>
      <c r="EM348" s="39"/>
      <c r="EN348" s="39"/>
      <c r="EO348" s="39"/>
      <c r="EP348" s="39"/>
      <c r="EQ348" s="39"/>
      <c r="ER348" s="39"/>
      <c r="ES348" s="39"/>
      <c r="ET348" s="39"/>
      <c r="EU348" s="39"/>
      <c r="EV348" s="39"/>
      <c r="EW348" s="39"/>
      <c r="EX348" s="39">
        <v>5</v>
      </c>
      <c r="EY348" s="39"/>
      <c r="EZ348" s="39"/>
      <c r="FA348" s="39"/>
      <c r="FB348" s="39"/>
      <c r="FC348" s="39"/>
      <c r="FD348" s="39"/>
      <c r="FE348" s="39"/>
      <c r="FF348" s="39"/>
      <c r="FG348" s="39"/>
      <c r="FH348" s="39"/>
      <c r="FI348" s="39"/>
      <c r="FJ348" s="39"/>
      <c r="FK348" s="39"/>
      <c r="FL348" s="39"/>
      <c r="FM348" s="39"/>
      <c r="FN348" s="75">
        <f t="shared" si="17"/>
        <v>0</v>
      </c>
    </row>
    <row r="349" spans="1:170" s="5" customFormat="1" ht="12" customHeight="1" x14ac:dyDescent="0.25">
      <c r="A349" s="44" t="s">
        <v>472</v>
      </c>
      <c r="B349" s="74">
        <f t="shared" si="19"/>
        <v>0</v>
      </c>
      <c r="C349" s="66">
        <v>1</v>
      </c>
      <c r="D349" s="68">
        <v>44979</v>
      </c>
      <c r="E349" s="76">
        <v>38.89</v>
      </c>
      <c r="F349" s="76">
        <f t="shared" si="18"/>
        <v>0</v>
      </c>
      <c r="G349" s="74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16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>
        <v>5</v>
      </c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  <c r="CR349" s="39"/>
      <c r="CS349" s="39"/>
      <c r="CT349" s="39"/>
      <c r="CU349" s="39"/>
      <c r="CV349" s="39"/>
      <c r="CW349" s="39"/>
      <c r="CX349" s="39"/>
      <c r="CY349" s="39"/>
      <c r="CZ349" s="39"/>
      <c r="DA349" s="39"/>
      <c r="DB349" s="39"/>
      <c r="DC349" s="39"/>
      <c r="DD349" s="39"/>
      <c r="DE349" s="39"/>
      <c r="DF349" s="39"/>
      <c r="DG349" s="39"/>
      <c r="DH349" s="39"/>
      <c r="DI349" s="39"/>
      <c r="DJ349" s="39"/>
      <c r="DK349" s="39"/>
      <c r="DL349" s="39"/>
      <c r="DM349" s="39"/>
      <c r="DN349" s="39"/>
      <c r="DO349" s="39"/>
      <c r="DP349" s="39"/>
      <c r="DQ349" s="39"/>
      <c r="DR349" s="39"/>
      <c r="DS349" s="39"/>
      <c r="DT349" s="39"/>
      <c r="DU349" s="39"/>
      <c r="DV349" s="39"/>
      <c r="DW349" s="39"/>
      <c r="DX349" s="39"/>
      <c r="DY349" s="39"/>
      <c r="DZ349" s="39"/>
      <c r="EA349" s="39"/>
      <c r="EB349" s="39"/>
      <c r="EC349" s="39"/>
      <c r="ED349" s="39"/>
      <c r="EE349" s="39"/>
      <c r="EF349" s="39"/>
      <c r="EG349" s="39"/>
      <c r="EH349" s="39"/>
      <c r="EI349" s="39"/>
      <c r="EJ349" s="39"/>
      <c r="EK349" s="39"/>
      <c r="EL349" s="39"/>
      <c r="EM349" s="39"/>
      <c r="EN349" s="39"/>
      <c r="EO349" s="39"/>
      <c r="EP349" s="39"/>
      <c r="EQ349" s="39"/>
      <c r="ER349" s="39"/>
      <c r="ES349" s="39"/>
      <c r="ET349" s="39"/>
      <c r="EU349" s="39"/>
      <c r="EV349" s="39"/>
      <c r="EW349" s="39"/>
      <c r="EX349" s="39">
        <v>5</v>
      </c>
      <c r="EY349" s="39"/>
      <c r="EZ349" s="39"/>
      <c r="FA349" s="39"/>
      <c r="FB349" s="39"/>
      <c r="FC349" s="39"/>
      <c r="FD349" s="39"/>
      <c r="FE349" s="39"/>
      <c r="FF349" s="39"/>
      <c r="FG349" s="39"/>
      <c r="FH349" s="39"/>
      <c r="FI349" s="39"/>
      <c r="FJ349" s="39"/>
      <c r="FK349" s="39"/>
      <c r="FL349" s="39"/>
      <c r="FM349" s="39"/>
      <c r="FN349" s="75">
        <f t="shared" si="17"/>
        <v>0</v>
      </c>
    </row>
    <row r="350" spans="1:170" s="5" customFormat="1" ht="12" customHeight="1" x14ac:dyDescent="0.25">
      <c r="A350" s="44" t="s">
        <v>485</v>
      </c>
      <c r="B350" s="74">
        <f t="shared" si="19"/>
        <v>0</v>
      </c>
      <c r="C350" s="66">
        <v>1</v>
      </c>
      <c r="D350" s="68">
        <v>44897</v>
      </c>
      <c r="E350" s="76">
        <v>33.39</v>
      </c>
      <c r="F350" s="76">
        <f t="shared" si="18"/>
        <v>0</v>
      </c>
      <c r="G350" s="74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16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  <c r="CR350" s="39"/>
      <c r="CS350" s="39"/>
      <c r="CT350" s="39"/>
      <c r="CU350" s="39"/>
      <c r="CV350" s="39"/>
      <c r="CW350" s="39"/>
      <c r="CX350" s="39"/>
      <c r="CY350" s="39"/>
      <c r="CZ350" s="39"/>
      <c r="DA350" s="39"/>
      <c r="DB350" s="39"/>
      <c r="DC350" s="39"/>
      <c r="DD350" s="39"/>
      <c r="DE350" s="39"/>
      <c r="DF350" s="39"/>
      <c r="DG350" s="39"/>
      <c r="DH350" s="39"/>
      <c r="DI350" s="39"/>
      <c r="DJ350" s="39"/>
      <c r="DK350" s="39"/>
      <c r="DL350" s="39"/>
      <c r="DM350" s="39"/>
      <c r="DN350" s="39"/>
      <c r="DO350" s="39"/>
      <c r="DP350" s="39"/>
      <c r="DQ350" s="39"/>
      <c r="DR350" s="39"/>
      <c r="DS350" s="39"/>
      <c r="DT350" s="39"/>
      <c r="DU350" s="39"/>
      <c r="DV350" s="39"/>
      <c r="DW350" s="39"/>
      <c r="DX350" s="39"/>
      <c r="DY350" s="39"/>
      <c r="DZ350" s="39"/>
      <c r="EA350" s="39"/>
      <c r="EB350" s="39"/>
      <c r="EC350" s="39"/>
      <c r="ED350" s="39"/>
      <c r="EE350" s="39"/>
      <c r="EF350" s="39"/>
      <c r="EG350" s="39"/>
      <c r="EH350" s="39"/>
      <c r="EI350" s="39"/>
      <c r="EJ350" s="39"/>
      <c r="EK350" s="39"/>
      <c r="EL350" s="39"/>
      <c r="EM350" s="39"/>
      <c r="EN350" s="39"/>
      <c r="EO350" s="39"/>
      <c r="EP350" s="39"/>
      <c r="EQ350" s="39"/>
      <c r="ER350" s="39"/>
      <c r="ES350" s="39"/>
      <c r="ET350" s="39"/>
      <c r="EU350" s="39"/>
      <c r="EV350" s="39"/>
      <c r="EW350" s="39"/>
      <c r="EX350" s="39"/>
      <c r="EY350" s="39"/>
      <c r="EZ350" s="39"/>
      <c r="FA350" s="39"/>
      <c r="FB350" s="39"/>
      <c r="FC350" s="39"/>
      <c r="FD350" s="39"/>
      <c r="FE350" s="39"/>
      <c r="FF350" s="39"/>
      <c r="FG350" s="39"/>
      <c r="FH350" s="39"/>
      <c r="FI350" s="39"/>
      <c r="FJ350" s="39"/>
      <c r="FK350" s="39"/>
      <c r="FL350" s="39"/>
      <c r="FM350" s="39"/>
      <c r="FN350" s="75">
        <f t="shared" si="17"/>
        <v>0</v>
      </c>
    </row>
    <row r="351" spans="1:170" s="5" customFormat="1" ht="12" customHeight="1" x14ac:dyDescent="0.25">
      <c r="A351" s="44" t="s">
        <v>453</v>
      </c>
      <c r="B351" s="74">
        <f t="shared" si="19"/>
        <v>0</v>
      </c>
      <c r="C351" s="66">
        <v>1</v>
      </c>
      <c r="D351" s="68">
        <v>44979</v>
      </c>
      <c r="E351" s="76">
        <v>38.89</v>
      </c>
      <c r="F351" s="76">
        <f t="shared" si="18"/>
        <v>0</v>
      </c>
      <c r="G351" s="74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16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  <c r="CR351" s="39"/>
      <c r="CS351" s="39"/>
      <c r="CT351" s="39"/>
      <c r="CU351" s="39"/>
      <c r="CV351" s="39"/>
      <c r="CW351" s="39"/>
      <c r="CX351" s="39"/>
      <c r="CY351" s="39"/>
      <c r="CZ351" s="39"/>
      <c r="DA351" s="39"/>
      <c r="DB351" s="39"/>
      <c r="DC351" s="39"/>
      <c r="DD351" s="39"/>
      <c r="DE351" s="39"/>
      <c r="DF351" s="39"/>
      <c r="DG351" s="39"/>
      <c r="DH351" s="39"/>
      <c r="DI351" s="39"/>
      <c r="DJ351" s="39"/>
      <c r="DK351" s="39"/>
      <c r="DL351" s="39"/>
      <c r="DM351" s="39"/>
      <c r="DN351" s="39"/>
      <c r="DO351" s="39"/>
      <c r="DP351" s="39"/>
      <c r="DQ351" s="39"/>
      <c r="DR351" s="39"/>
      <c r="DS351" s="39"/>
      <c r="DT351" s="39"/>
      <c r="DU351" s="39"/>
      <c r="DV351" s="39"/>
      <c r="DW351" s="39"/>
      <c r="DX351" s="39"/>
      <c r="DY351" s="39"/>
      <c r="DZ351" s="39"/>
      <c r="EA351" s="39"/>
      <c r="EB351" s="39"/>
      <c r="EC351" s="39"/>
      <c r="ED351" s="39"/>
      <c r="EE351" s="39"/>
      <c r="EF351" s="39"/>
      <c r="EG351" s="39"/>
      <c r="EH351" s="39"/>
      <c r="EI351" s="39"/>
      <c r="EJ351" s="39"/>
      <c r="EK351" s="39"/>
      <c r="EL351" s="39"/>
      <c r="EM351" s="39"/>
      <c r="EN351" s="39"/>
      <c r="EO351" s="39"/>
      <c r="EP351" s="39"/>
      <c r="EQ351" s="39"/>
      <c r="ER351" s="39"/>
      <c r="ES351" s="39"/>
      <c r="ET351" s="39"/>
      <c r="EU351" s="39"/>
      <c r="EV351" s="39"/>
      <c r="EW351" s="39"/>
      <c r="EX351" s="39">
        <v>1</v>
      </c>
      <c r="EY351" s="39"/>
      <c r="EZ351" s="39"/>
      <c r="FA351" s="39"/>
      <c r="FB351" s="39"/>
      <c r="FC351" s="39">
        <v>1</v>
      </c>
      <c r="FD351" s="39"/>
      <c r="FE351" s="39"/>
      <c r="FF351" s="39"/>
      <c r="FG351" s="39"/>
      <c r="FH351" s="39"/>
      <c r="FI351" s="39"/>
      <c r="FJ351" s="39"/>
      <c r="FK351" s="39"/>
      <c r="FL351" s="39"/>
      <c r="FM351" s="39"/>
      <c r="FN351" s="75">
        <f t="shared" si="17"/>
        <v>0</v>
      </c>
    </row>
    <row r="352" spans="1:170" s="5" customFormat="1" ht="12" customHeight="1" x14ac:dyDescent="0.25">
      <c r="A352" s="44" t="s">
        <v>313</v>
      </c>
      <c r="B352" s="74">
        <f t="shared" si="19"/>
        <v>0</v>
      </c>
      <c r="C352" s="66">
        <v>1</v>
      </c>
      <c r="D352" s="68">
        <v>44897</v>
      </c>
      <c r="E352" s="76">
        <v>42.79</v>
      </c>
      <c r="F352" s="76">
        <f t="shared" si="14"/>
        <v>0</v>
      </c>
      <c r="G352" s="74">
        <v>2</v>
      </c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16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>
        <v>1</v>
      </c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  <c r="CR352" s="39"/>
      <c r="CS352" s="39"/>
      <c r="CT352" s="39"/>
      <c r="CU352" s="39"/>
      <c r="CV352" s="39"/>
      <c r="CW352" s="39"/>
      <c r="CX352" s="39"/>
      <c r="CY352" s="39"/>
      <c r="CZ352" s="39"/>
      <c r="DA352" s="39"/>
      <c r="DB352" s="39"/>
      <c r="DC352" s="39"/>
      <c r="DD352" s="39"/>
      <c r="DE352" s="39"/>
      <c r="DF352" s="39"/>
      <c r="DG352" s="39"/>
      <c r="DH352" s="39"/>
      <c r="DI352" s="39"/>
      <c r="DJ352" s="39"/>
      <c r="DK352" s="39"/>
      <c r="DL352" s="39"/>
      <c r="DM352" s="39"/>
      <c r="DN352" s="39"/>
      <c r="DO352" s="39"/>
      <c r="DP352" s="39"/>
      <c r="DQ352" s="39"/>
      <c r="DR352" s="39"/>
      <c r="DS352" s="39"/>
      <c r="DT352" s="39"/>
      <c r="DU352" s="39"/>
      <c r="DV352" s="39"/>
      <c r="DW352" s="39"/>
      <c r="DX352" s="39"/>
      <c r="DY352" s="39"/>
      <c r="DZ352" s="39"/>
      <c r="EA352" s="39"/>
      <c r="EB352" s="39"/>
      <c r="EC352" s="39"/>
      <c r="ED352" s="39"/>
      <c r="EE352" s="39"/>
      <c r="EF352" s="39"/>
      <c r="EG352" s="39"/>
      <c r="EH352" s="39"/>
      <c r="EI352" s="39"/>
      <c r="EJ352" s="39"/>
      <c r="EK352" s="39"/>
      <c r="EL352" s="39"/>
      <c r="EM352" s="39"/>
      <c r="EN352" s="39"/>
      <c r="EO352" s="39"/>
      <c r="EP352" s="39"/>
      <c r="EQ352" s="39"/>
      <c r="ER352" s="39"/>
      <c r="ES352" s="39"/>
      <c r="ET352" s="39"/>
      <c r="EU352" s="39"/>
      <c r="EV352" s="39"/>
      <c r="EW352" s="39"/>
      <c r="EX352" s="39"/>
      <c r="EY352" s="39"/>
      <c r="EZ352" s="39"/>
      <c r="FA352" s="39"/>
      <c r="FB352" s="39"/>
      <c r="FC352" s="39"/>
      <c r="FD352" s="39"/>
      <c r="FE352" s="39"/>
      <c r="FF352" s="39"/>
      <c r="FG352" s="39"/>
      <c r="FH352" s="39">
        <v>1</v>
      </c>
      <c r="FI352" s="39"/>
      <c r="FJ352" s="39"/>
      <c r="FK352" s="39"/>
      <c r="FL352" s="39"/>
      <c r="FM352" s="39"/>
      <c r="FN352" s="75">
        <f t="shared" si="17"/>
        <v>0</v>
      </c>
    </row>
    <row r="353" spans="1:170" s="5" customFormat="1" ht="12" customHeight="1" x14ac:dyDescent="0.25">
      <c r="A353" s="44" t="s">
        <v>441</v>
      </c>
      <c r="B353" s="74">
        <f t="shared" si="19"/>
        <v>0</v>
      </c>
      <c r="C353" s="66">
        <v>1</v>
      </c>
      <c r="D353" s="68">
        <v>44624</v>
      </c>
      <c r="E353" s="76">
        <v>402.2</v>
      </c>
      <c r="F353" s="76">
        <f t="shared" si="14"/>
        <v>0</v>
      </c>
      <c r="G353" s="74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16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  <c r="CR353" s="39"/>
      <c r="CS353" s="39"/>
      <c r="CT353" s="39"/>
      <c r="CU353" s="39"/>
      <c r="CV353" s="39"/>
      <c r="CW353" s="39"/>
      <c r="CX353" s="39"/>
      <c r="CY353" s="39"/>
      <c r="CZ353" s="39"/>
      <c r="DA353" s="39"/>
      <c r="DB353" s="39"/>
      <c r="DC353" s="39"/>
      <c r="DD353" s="39"/>
      <c r="DE353" s="39"/>
      <c r="DF353" s="39"/>
      <c r="DG353" s="39"/>
      <c r="DH353" s="39"/>
      <c r="DI353" s="39"/>
      <c r="DJ353" s="39"/>
      <c r="DK353" s="39"/>
      <c r="DL353" s="39"/>
      <c r="DM353" s="39"/>
      <c r="DN353" s="39"/>
      <c r="DO353" s="39"/>
      <c r="DP353" s="39"/>
      <c r="DQ353" s="39"/>
      <c r="DR353" s="39"/>
      <c r="DS353" s="39"/>
      <c r="DT353" s="39"/>
      <c r="DU353" s="39"/>
      <c r="DV353" s="39"/>
      <c r="DW353" s="39"/>
      <c r="DX353" s="39"/>
      <c r="DY353" s="39"/>
      <c r="DZ353" s="39"/>
      <c r="EA353" s="39"/>
      <c r="EB353" s="39"/>
      <c r="EC353" s="39"/>
      <c r="ED353" s="39"/>
      <c r="EE353" s="39"/>
      <c r="EF353" s="39"/>
      <c r="EG353" s="39"/>
      <c r="EH353" s="39"/>
      <c r="EI353" s="39"/>
      <c r="EJ353" s="39"/>
      <c r="EK353" s="39"/>
      <c r="EL353" s="39"/>
      <c r="EM353" s="39"/>
      <c r="EN353" s="39"/>
      <c r="EO353" s="39"/>
      <c r="EP353" s="39"/>
      <c r="EQ353" s="39"/>
      <c r="ER353" s="39"/>
      <c r="ES353" s="39"/>
      <c r="ET353" s="39"/>
      <c r="EU353" s="39"/>
      <c r="EV353" s="39"/>
      <c r="EW353" s="39"/>
      <c r="EX353" s="39"/>
      <c r="EY353" s="39"/>
      <c r="EZ353" s="39"/>
      <c r="FA353" s="39"/>
      <c r="FB353" s="39"/>
      <c r="FC353" s="39"/>
      <c r="FD353" s="39"/>
      <c r="FE353" s="39"/>
      <c r="FF353" s="39"/>
      <c r="FG353" s="39"/>
      <c r="FH353" s="39"/>
      <c r="FI353" s="39"/>
      <c r="FJ353" s="39"/>
      <c r="FK353" s="39"/>
      <c r="FL353" s="39"/>
      <c r="FM353" s="39"/>
      <c r="FN353" s="75">
        <f t="shared" si="17"/>
        <v>0</v>
      </c>
    </row>
    <row r="354" spans="1:170" s="5" customFormat="1" ht="12" customHeight="1" x14ac:dyDescent="0.25">
      <c r="A354" s="44" t="s">
        <v>289</v>
      </c>
      <c r="B354" s="74">
        <f t="shared" si="19"/>
        <v>0</v>
      </c>
      <c r="C354" s="66">
        <v>1</v>
      </c>
      <c r="D354" s="68">
        <v>44753</v>
      </c>
      <c r="E354" s="76">
        <v>60.41</v>
      </c>
      <c r="F354" s="76">
        <f t="shared" si="14"/>
        <v>0</v>
      </c>
      <c r="G354" s="74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16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  <c r="CR354" s="39"/>
      <c r="CS354" s="39"/>
      <c r="CT354" s="39"/>
      <c r="CU354" s="39"/>
      <c r="CV354" s="39"/>
      <c r="CW354" s="39"/>
      <c r="CX354" s="39"/>
      <c r="CY354" s="39"/>
      <c r="CZ354" s="39"/>
      <c r="DA354" s="39"/>
      <c r="DB354" s="39"/>
      <c r="DC354" s="39"/>
      <c r="DD354" s="39"/>
      <c r="DE354" s="39"/>
      <c r="DF354" s="39"/>
      <c r="DG354" s="39"/>
      <c r="DH354" s="39"/>
      <c r="DI354" s="39"/>
      <c r="DJ354" s="39"/>
      <c r="DK354" s="39"/>
      <c r="DL354" s="39"/>
      <c r="DM354" s="39"/>
      <c r="DN354" s="39"/>
      <c r="DO354" s="39"/>
      <c r="DP354" s="39"/>
      <c r="DQ354" s="39"/>
      <c r="DR354" s="39"/>
      <c r="DS354" s="39"/>
      <c r="DT354" s="39"/>
      <c r="DU354" s="39"/>
      <c r="DV354" s="39"/>
      <c r="DW354" s="39"/>
      <c r="DX354" s="39"/>
      <c r="DY354" s="39"/>
      <c r="DZ354" s="39"/>
      <c r="EA354" s="39"/>
      <c r="EB354" s="39"/>
      <c r="EC354" s="39"/>
      <c r="ED354" s="39"/>
      <c r="EE354" s="39"/>
      <c r="EF354" s="39"/>
      <c r="EG354" s="39"/>
      <c r="EH354" s="39"/>
      <c r="EI354" s="39"/>
      <c r="EJ354" s="39"/>
      <c r="EK354" s="39"/>
      <c r="EL354" s="39"/>
      <c r="EM354" s="39"/>
      <c r="EN354" s="39"/>
      <c r="EO354" s="39"/>
      <c r="EP354" s="39"/>
      <c r="EQ354" s="39"/>
      <c r="ER354" s="39"/>
      <c r="ES354" s="39"/>
      <c r="ET354" s="39"/>
      <c r="EU354" s="39"/>
      <c r="EV354" s="39"/>
      <c r="EW354" s="39"/>
      <c r="EX354" s="39"/>
      <c r="EY354" s="39"/>
      <c r="EZ354" s="39"/>
      <c r="FA354" s="39"/>
      <c r="FB354" s="39"/>
      <c r="FC354" s="39"/>
      <c r="FD354" s="39"/>
      <c r="FE354" s="39"/>
      <c r="FF354" s="39"/>
      <c r="FG354" s="39"/>
      <c r="FH354" s="39"/>
      <c r="FI354" s="39"/>
      <c r="FJ354" s="39"/>
      <c r="FK354" s="39"/>
      <c r="FL354" s="39"/>
      <c r="FM354" s="39"/>
      <c r="FN354" s="75">
        <f t="shared" si="17"/>
        <v>0</v>
      </c>
    </row>
    <row r="355" spans="1:170" s="5" customFormat="1" ht="12" customHeight="1" x14ac:dyDescent="0.25">
      <c r="A355" s="44" t="s">
        <v>263</v>
      </c>
      <c r="B355" s="74">
        <f t="shared" si="19"/>
        <v>0</v>
      </c>
      <c r="C355" s="66">
        <v>1</v>
      </c>
      <c r="D355" s="68">
        <v>44739</v>
      </c>
      <c r="E355" s="76">
        <v>26.94</v>
      </c>
      <c r="F355" s="76">
        <f t="shared" si="14"/>
        <v>0</v>
      </c>
      <c r="G355" s="74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16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  <c r="CR355" s="39"/>
      <c r="CS355" s="39"/>
      <c r="CT355" s="39"/>
      <c r="CU355" s="39"/>
      <c r="CV355" s="39"/>
      <c r="CW355" s="39"/>
      <c r="CX355" s="39"/>
      <c r="CY355" s="39"/>
      <c r="CZ355" s="39"/>
      <c r="DA355" s="39"/>
      <c r="DB355" s="39"/>
      <c r="DC355" s="39"/>
      <c r="DD355" s="39"/>
      <c r="DE355" s="39"/>
      <c r="DF355" s="39"/>
      <c r="DG355" s="39"/>
      <c r="DH355" s="39"/>
      <c r="DI355" s="39"/>
      <c r="DJ355" s="39"/>
      <c r="DK355" s="39"/>
      <c r="DL355" s="39"/>
      <c r="DM355" s="39"/>
      <c r="DN355" s="39"/>
      <c r="DO355" s="39"/>
      <c r="DP355" s="39"/>
      <c r="DQ355" s="39"/>
      <c r="DR355" s="39"/>
      <c r="DS355" s="39"/>
      <c r="DT355" s="39"/>
      <c r="DU355" s="39"/>
      <c r="DV355" s="39"/>
      <c r="DW355" s="39"/>
      <c r="DX355" s="39"/>
      <c r="DY355" s="39"/>
      <c r="DZ355" s="39"/>
      <c r="EA355" s="39"/>
      <c r="EB355" s="39"/>
      <c r="EC355" s="39"/>
      <c r="ED355" s="39"/>
      <c r="EE355" s="39"/>
      <c r="EF355" s="39"/>
      <c r="EG355" s="39"/>
      <c r="EH355" s="39"/>
      <c r="EI355" s="39"/>
      <c r="EJ355" s="39"/>
      <c r="EK355" s="39"/>
      <c r="EL355" s="39"/>
      <c r="EM355" s="39"/>
      <c r="EN355" s="39"/>
      <c r="EO355" s="39"/>
      <c r="EP355" s="39"/>
      <c r="EQ355" s="39"/>
      <c r="ER355" s="39"/>
      <c r="ES355" s="39"/>
      <c r="ET355" s="39"/>
      <c r="EU355" s="39"/>
      <c r="EV355" s="39"/>
      <c r="EW355" s="39"/>
      <c r="EX355" s="39"/>
      <c r="EY355" s="39"/>
      <c r="EZ355" s="39"/>
      <c r="FA355" s="39"/>
      <c r="FB355" s="39"/>
      <c r="FC355" s="39"/>
      <c r="FD355" s="39"/>
      <c r="FE355" s="39"/>
      <c r="FF355" s="39"/>
      <c r="FG355" s="39"/>
      <c r="FH355" s="39"/>
      <c r="FI355" s="39"/>
      <c r="FJ355" s="39"/>
      <c r="FK355" s="39"/>
      <c r="FL355" s="39"/>
      <c r="FM355" s="39"/>
      <c r="FN355" s="75">
        <f t="shared" si="17"/>
        <v>0</v>
      </c>
    </row>
    <row r="356" spans="1:170" s="5" customFormat="1" ht="12" customHeight="1" x14ac:dyDescent="0.25">
      <c r="A356" s="44" t="s">
        <v>198</v>
      </c>
      <c r="B356" s="74">
        <f t="shared" si="19"/>
        <v>48</v>
      </c>
      <c r="C356" s="66">
        <v>1</v>
      </c>
      <c r="D356" s="68">
        <v>44844</v>
      </c>
      <c r="E356" s="76">
        <v>30.67</v>
      </c>
      <c r="F356" s="76">
        <f t="shared" si="14"/>
        <v>1472.16</v>
      </c>
      <c r="G356" s="74">
        <v>81</v>
      </c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16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>
        <v>2</v>
      </c>
      <c r="BO356" s="39"/>
      <c r="BP356" s="39"/>
      <c r="BQ356" s="39"/>
      <c r="BR356" s="39">
        <v>5</v>
      </c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>
        <v>5</v>
      </c>
      <c r="CZ356" s="39"/>
      <c r="DA356" s="39"/>
      <c r="DB356" s="39"/>
      <c r="DC356" s="39"/>
      <c r="DD356" s="39"/>
      <c r="DE356" s="39"/>
      <c r="DF356" s="39"/>
      <c r="DG356" s="39"/>
      <c r="DH356" s="39"/>
      <c r="DI356" s="39"/>
      <c r="DJ356" s="39"/>
      <c r="DK356" s="39"/>
      <c r="DL356" s="39"/>
      <c r="DM356" s="39"/>
      <c r="DN356" s="39"/>
      <c r="DO356" s="39"/>
      <c r="DP356" s="39"/>
      <c r="DQ356" s="39"/>
      <c r="DR356" s="39"/>
      <c r="DS356" s="39"/>
      <c r="DT356" s="39"/>
      <c r="DU356" s="39"/>
      <c r="DV356" s="39"/>
      <c r="DW356" s="39"/>
      <c r="DX356" s="39"/>
      <c r="DY356" s="39"/>
      <c r="DZ356" s="39"/>
      <c r="EA356" s="39"/>
      <c r="EB356" s="39"/>
      <c r="EC356" s="39"/>
      <c r="ED356" s="39">
        <v>2</v>
      </c>
      <c r="EE356" s="39"/>
      <c r="EF356" s="39"/>
      <c r="EG356" s="39"/>
      <c r="EH356" s="39"/>
      <c r="EI356" s="39"/>
      <c r="EJ356" s="39"/>
      <c r="EK356" s="39"/>
      <c r="EL356" s="39">
        <v>15</v>
      </c>
      <c r="EM356" s="39"/>
      <c r="EN356" s="39"/>
      <c r="EO356" s="39"/>
      <c r="EP356" s="39"/>
      <c r="EQ356" s="39"/>
      <c r="ER356" s="39"/>
      <c r="ES356" s="39"/>
      <c r="ET356" s="39"/>
      <c r="EU356" s="39">
        <v>5</v>
      </c>
      <c r="EV356" s="39"/>
      <c r="EW356" s="39"/>
      <c r="EX356" s="39"/>
      <c r="EY356" s="39"/>
      <c r="EZ356" s="39"/>
      <c r="FA356" s="39"/>
      <c r="FB356" s="39"/>
      <c r="FC356" s="39"/>
      <c r="FD356" s="39"/>
      <c r="FE356" s="39"/>
      <c r="FF356" s="39"/>
      <c r="FG356" s="39"/>
      <c r="FH356" s="39">
        <v>1</v>
      </c>
      <c r="FI356" s="39"/>
      <c r="FJ356" s="39"/>
      <c r="FK356" s="39"/>
      <c r="FL356" s="39"/>
      <c r="FM356" s="39">
        <v>46</v>
      </c>
      <c r="FN356" s="75">
        <f t="shared" si="17"/>
        <v>0</v>
      </c>
    </row>
    <row r="357" spans="1:170" s="5" customFormat="1" ht="12" customHeight="1" x14ac:dyDescent="0.25">
      <c r="A357" s="44" t="s">
        <v>577</v>
      </c>
      <c r="B357" s="74">
        <f t="shared" si="19"/>
        <v>0</v>
      </c>
      <c r="C357" s="66">
        <v>1</v>
      </c>
      <c r="D357" s="68">
        <v>44963</v>
      </c>
      <c r="E357" s="76">
        <v>67.040000000000006</v>
      </c>
      <c r="F357" s="76">
        <f t="shared" si="14"/>
        <v>0</v>
      </c>
      <c r="G357" s="74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>
        <v>4</v>
      </c>
      <c r="T357" s="39"/>
      <c r="U357" s="39"/>
      <c r="V357" s="39"/>
      <c r="W357" s="16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  <c r="CR357" s="39"/>
      <c r="CS357" s="39"/>
      <c r="CT357" s="39"/>
      <c r="CU357" s="39"/>
      <c r="CV357" s="39"/>
      <c r="CW357" s="39"/>
      <c r="CX357" s="39"/>
      <c r="CY357" s="39"/>
      <c r="CZ357" s="39"/>
      <c r="DA357" s="39"/>
      <c r="DB357" s="39"/>
      <c r="DC357" s="39"/>
      <c r="DD357" s="39"/>
      <c r="DE357" s="39"/>
      <c r="DF357" s="39"/>
      <c r="DG357" s="39"/>
      <c r="DH357" s="39"/>
      <c r="DI357" s="39"/>
      <c r="DJ357" s="39"/>
      <c r="DK357" s="39"/>
      <c r="DL357" s="39"/>
      <c r="DM357" s="39"/>
      <c r="DN357" s="39"/>
      <c r="DO357" s="39"/>
      <c r="DP357" s="39"/>
      <c r="DQ357" s="39"/>
      <c r="DR357" s="39"/>
      <c r="DS357" s="39"/>
      <c r="DT357" s="39"/>
      <c r="DU357" s="39"/>
      <c r="DV357" s="39"/>
      <c r="DW357" s="39"/>
      <c r="DX357" s="39"/>
      <c r="DY357" s="39">
        <v>4</v>
      </c>
      <c r="DZ357" s="39"/>
      <c r="EA357" s="39"/>
      <c r="EB357" s="39"/>
      <c r="EC357" s="39"/>
      <c r="ED357" s="39"/>
      <c r="EE357" s="39"/>
      <c r="EF357" s="39"/>
      <c r="EG357" s="39"/>
      <c r="EH357" s="39"/>
      <c r="EI357" s="39"/>
      <c r="EJ357" s="39"/>
      <c r="EK357" s="39"/>
      <c r="EL357" s="39"/>
      <c r="EM357" s="39"/>
      <c r="EN357" s="39"/>
      <c r="EO357" s="39"/>
      <c r="EP357" s="39"/>
      <c r="EQ357" s="39"/>
      <c r="ER357" s="39"/>
      <c r="ES357" s="39"/>
      <c r="ET357" s="39"/>
      <c r="EU357" s="39"/>
      <c r="EV357" s="39"/>
      <c r="EW357" s="39"/>
      <c r="EX357" s="39"/>
      <c r="EY357" s="39"/>
      <c r="EZ357" s="39"/>
      <c r="FA357" s="39"/>
      <c r="FB357" s="39"/>
      <c r="FC357" s="39"/>
      <c r="FD357" s="39"/>
      <c r="FE357" s="39"/>
      <c r="FF357" s="39"/>
      <c r="FG357" s="39"/>
      <c r="FH357" s="39"/>
      <c r="FI357" s="39"/>
      <c r="FJ357" s="39"/>
      <c r="FK357" s="39"/>
      <c r="FL357" s="39"/>
      <c r="FM357" s="39"/>
      <c r="FN357" s="75">
        <f t="shared" si="17"/>
        <v>0</v>
      </c>
    </row>
    <row r="358" spans="1:170" s="5" customFormat="1" x14ac:dyDescent="0.25">
      <c r="A358" s="55" t="s">
        <v>124</v>
      </c>
      <c r="B358" s="74">
        <f t="shared" si="19"/>
        <v>5</v>
      </c>
      <c r="C358" s="66">
        <v>5</v>
      </c>
      <c r="D358" s="68">
        <v>44963</v>
      </c>
      <c r="E358" s="76">
        <v>74.739999999999995</v>
      </c>
      <c r="F358" s="76">
        <f t="shared" si="14"/>
        <v>373.7</v>
      </c>
      <c r="G358" s="74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16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>
        <v>10</v>
      </c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>
        <v>5</v>
      </c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  <c r="CR358" s="39"/>
      <c r="CS358" s="39"/>
      <c r="CT358" s="39"/>
      <c r="CU358" s="39"/>
      <c r="CV358" s="39"/>
      <c r="CW358" s="39"/>
      <c r="CX358" s="39"/>
      <c r="CY358" s="39"/>
      <c r="CZ358" s="39"/>
      <c r="DA358" s="39"/>
      <c r="DB358" s="39"/>
      <c r="DC358" s="39"/>
      <c r="DD358" s="39"/>
      <c r="DE358" s="39"/>
      <c r="DF358" s="39"/>
      <c r="DG358" s="39"/>
      <c r="DH358" s="39"/>
      <c r="DI358" s="39"/>
      <c r="DJ358" s="39"/>
      <c r="DK358" s="39"/>
      <c r="DL358" s="39"/>
      <c r="DM358" s="39"/>
      <c r="DN358" s="39"/>
      <c r="DO358" s="39"/>
      <c r="DP358" s="39"/>
      <c r="DQ358" s="39"/>
      <c r="DR358" s="39"/>
      <c r="DS358" s="39"/>
      <c r="DT358" s="39"/>
      <c r="DU358" s="39"/>
      <c r="DV358" s="39"/>
      <c r="DW358" s="39"/>
      <c r="DX358" s="39"/>
      <c r="DY358" s="39">
        <v>30</v>
      </c>
      <c r="DZ358" s="39"/>
      <c r="EA358" s="39"/>
      <c r="EB358" s="39"/>
      <c r="EC358" s="39"/>
      <c r="ED358" s="39"/>
      <c r="EE358" s="39"/>
      <c r="EF358" s="39"/>
      <c r="EG358" s="39"/>
      <c r="EH358" s="39"/>
      <c r="EI358" s="39"/>
      <c r="EJ358" s="39"/>
      <c r="EK358" s="39"/>
      <c r="EL358" s="39"/>
      <c r="EM358" s="39"/>
      <c r="EN358" s="39"/>
      <c r="EO358" s="39"/>
      <c r="EP358" s="39"/>
      <c r="EQ358" s="39"/>
      <c r="ER358" s="39"/>
      <c r="ES358" s="39"/>
      <c r="ET358" s="39"/>
      <c r="EU358" s="39"/>
      <c r="EV358" s="39"/>
      <c r="EW358" s="39"/>
      <c r="EX358" s="39"/>
      <c r="EY358" s="39"/>
      <c r="EZ358" s="39"/>
      <c r="FA358" s="39"/>
      <c r="FB358" s="39">
        <v>5</v>
      </c>
      <c r="FC358" s="39"/>
      <c r="FD358" s="39"/>
      <c r="FE358" s="39"/>
      <c r="FF358" s="39"/>
      <c r="FG358" s="39">
        <v>5</v>
      </c>
      <c r="FH358" s="39"/>
      <c r="FI358" s="39"/>
      <c r="FJ358" s="39"/>
      <c r="FK358" s="39"/>
      <c r="FL358" s="39"/>
      <c r="FM358" s="39">
        <v>5</v>
      </c>
      <c r="FN358" s="75">
        <f t="shared" si="17"/>
        <v>0</v>
      </c>
    </row>
    <row r="359" spans="1:170" s="5" customFormat="1" x14ac:dyDescent="0.25">
      <c r="A359" s="55" t="s">
        <v>328</v>
      </c>
      <c r="B359" s="74">
        <f t="shared" si="19"/>
        <v>0</v>
      </c>
      <c r="C359" s="66">
        <v>1</v>
      </c>
      <c r="D359" s="68">
        <v>44665</v>
      </c>
      <c r="E359" s="76">
        <v>84.88</v>
      </c>
      <c r="F359" s="76">
        <f t="shared" si="14"/>
        <v>0</v>
      </c>
      <c r="G359" s="74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16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  <c r="CR359" s="39"/>
      <c r="CS359" s="39"/>
      <c r="CT359" s="39"/>
      <c r="CU359" s="39"/>
      <c r="CV359" s="39"/>
      <c r="CW359" s="39"/>
      <c r="CX359" s="39"/>
      <c r="CY359" s="39"/>
      <c r="CZ359" s="39"/>
      <c r="DA359" s="39"/>
      <c r="DB359" s="39"/>
      <c r="DC359" s="39"/>
      <c r="DD359" s="39"/>
      <c r="DE359" s="39"/>
      <c r="DF359" s="39"/>
      <c r="DG359" s="39"/>
      <c r="DH359" s="39"/>
      <c r="DI359" s="39"/>
      <c r="DJ359" s="39"/>
      <c r="DK359" s="39"/>
      <c r="DL359" s="39"/>
      <c r="DM359" s="39"/>
      <c r="DN359" s="39"/>
      <c r="DO359" s="39"/>
      <c r="DP359" s="39"/>
      <c r="DQ359" s="39"/>
      <c r="DR359" s="39"/>
      <c r="DS359" s="39"/>
      <c r="DT359" s="39"/>
      <c r="DU359" s="39"/>
      <c r="DV359" s="39"/>
      <c r="DW359" s="39"/>
      <c r="DX359" s="39"/>
      <c r="DY359" s="39"/>
      <c r="DZ359" s="39"/>
      <c r="EA359" s="39"/>
      <c r="EB359" s="39"/>
      <c r="EC359" s="39"/>
      <c r="ED359" s="39"/>
      <c r="EE359" s="39"/>
      <c r="EF359" s="39"/>
      <c r="EG359" s="39"/>
      <c r="EH359" s="39"/>
      <c r="EI359" s="39"/>
      <c r="EJ359" s="39"/>
      <c r="EK359" s="39"/>
      <c r="EL359" s="39"/>
      <c r="EM359" s="39"/>
      <c r="EN359" s="39"/>
      <c r="EO359" s="39"/>
      <c r="EP359" s="39"/>
      <c r="EQ359" s="39"/>
      <c r="ER359" s="39"/>
      <c r="ES359" s="39"/>
      <c r="ET359" s="39"/>
      <c r="EU359" s="39"/>
      <c r="EV359" s="39"/>
      <c r="EW359" s="39"/>
      <c r="EX359" s="39"/>
      <c r="EY359" s="39"/>
      <c r="EZ359" s="39"/>
      <c r="FA359" s="39"/>
      <c r="FB359" s="39"/>
      <c r="FC359" s="39"/>
      <c r="FD359" s="39"/>
      <c r="FE359" s="39"/>
      <c r="FF359" s="39"/>
      <c r="FG359" s="39"/>
      <c r="FH359" s="39"/>
      <c r="FI359" s="39"/>
      <c r="FJ359" s="39"/>
      <c r="FK359" s="39"/>
      <c r="FL359" s="39"/>
      <c r="FM359" s="39"/>
      <c r="FN359" s="75">
        <f t="shared" si="17"/>
        <v>0</v>
      </c>
    </row>
    <row r="360" spans="1:170" s="5" customFormat="1" x14ac:dyDescent="0.25">
      <c r="A360" s="55" t="s">
        <v>436</v>
      </c>
      <c r="B360" s="74">
        <f t="shared" si="19"/>
        <v>10</v>
      </c>
      <c r="C360" s="66">
        <v>5</v>
      </c>
      <c r="D360" s="68">
        <v>44914</v>
      </c>
      <c r="E360" s="76">
        <v>63.16</v>
      </c>
      <c r="F360" s="76">
        <f t="shared" ref="F360:F402" si="20">E360*B360</f>
        <v>631.59999999999991</v>
      </c>
      <c r="G360" s="74">
        <v>10</v>
      </c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16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  <c r="CR360" s="39"/>
      <c r="CS360" s="39"/>
      <c r="CT360" s="39"/>
      <c r="CU360" s="39"/>
      <c r="CV360" s="39"/>
      <c r="CW360" s="39">
        <v>10</v>
      </c>
      <c r="CX360" s="39"/>
      <c r="CY360" s="39"/>
      <c r="CZ360" s="39"/>
      <c r="DA360" s="39"/>
      <c r="DB360" s="39"/>
      <c r="DC360" s="39"/>
      <c r="DD360" s="39"/>
      <c r="DE360" s="39"/>
      <c r="DF360" s="39"/>
      <c r="DG360" s="39"/>
      <c r="DH360" s="39"/>
      <c r="DI360" s="39"/>
      <c r="DJ360" s="39"/>
      <c r="DK360" s="39"/>
      <c r="DL360" s="39"/>
      <c r="DM360" s="39"/>
      <c r="DN360" s="39"/>
      <c r="DO360" s="39"/>
      <c r="DP360" s="39"/>
      <c r="DQ360" s="39"/>
      <c r="DR360" s="39"/>
      <c r="DS360" s="39"/>
      <c r="DT360" s="39"/>
      <c r="DU360" s="39"/>
      <c r="DV360" s="39"/>
      <c r="DW360" s="39"/>
      <c r="DX360" s="39"/>
      <c r="DY360" s="39"/>
      <c r="DZ360" s="39"/>
      <c r="EA360" s="39"/>
      <c r="EB360" s="39"/>
      <c r="EC360" s="39"/>
      <c r="ED360" s="39"/>
      <c r="EE360" s="39"/>
      <c r="EF360" s="39"/>
      <c r="EG360" s="39"/>
      <c r="EH360" s="39"/>
      <c r="EI360" s="39"/>
      <c r="EJ360" s="39"/>
      <c r="EK360" s="39"/>
      <c r="EL360" s="39"/>
      <c r="EM360" s="39"/>
      <c r="EN360" s="39"/>
      <c r="EO360" s="39"/>
      <c r="EP360" s="39"/>
      <c r="EQ360" s="39"/>
      <c r="ER360" s="39"/>
      <c r="ES360" s="39"/>
      <c r="ET360" s="39"/>
      <c r="EU360" s="39"/>
      <c r="EV360" s="39"/>
      <c r="EW360" s="39"/>
      <c r="EX360" s="39"/>
      <c r="EY360" s="39"/>
      <c r="EZ360" s="39"/>
      <c r="FA360" s="39"/>
      <c r="FB360" s="39"/>
      <c r="FC360" s="39"/>
      <c r="FD360" s="39"/>
      <c r="FE360" s="39"/>
      <c r="FF360" s="39"/>
      <c r="FG360" s="39"/>
      <c r="FH360" s="39"/>
      <c r="FI360" s="39"/>
      <c r="FJ360" s="39"/>
      <c r="FK360" s="39"/>
      <c r="FL360" s="39"/>
      <c r="FM360" s="39"/>
      <c r="FN360" s="75">
        <f t="shared" si="17"/>
        <v>0</v>
      </c>
    </row>
    <row r="361" spans="1:170" s="5" customFormat="1" x14ac:dyDescent="0.25">
      <c r="A361" s="55" t="s">
        <v>483</v>
      </c>
      <c r="B361" s="74">
        <f t="shared" si="19"/>
        <v>0</v>
      </c>
      <c r="C361" s="66">
        <v>5</v>
      </c>
      <c r="D361" s="68">
        <v>44809</v>
      </c>
      <c r="E361" s="76">
        <v>57.01</v>
      </c>
      <c r="F361" s="76">
        <f t="shared" si="20"/>
        <v>0</v>
      </c>
      <c r="G361" s="74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16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  <c r="CR361" s="39"/>
      <c r="CS361" s="39"/>
      <c r="CT361" s="39"/>
      <c r="CU361" s="39"/>
      <c r="CV361" s="39"/>
      <c r="CW361" s="39"/>
      <c r="CX361" s="39"/>
      <c r="CY361" s="39"/>
      <c r="CZ361" s="39"/>
      <c r="DA361" s="39"/>
      <c r="DB361" s="39"/>
      <c r="DC361" s="39"/>
      <c r="DD361" s="39"/>
      <c r="DE361" s="39"/>
      <c r="DF361" s="39"/>
      <c r="DG361" s="39"/>
      <c r="DH361" s="39"/>
      <c r="DI361" s="39"/>
      <c r="DJ361" s="39"/>
      <c r="DK361" s="39"/>
      <c r="DL361" s="39"/>
      <c r="DM361" s="39"/>
      <c r="DN361" s="39"/>
      <c r="DO361" s="39"/>
      <c r="DP361" s="39"/>
      <c r="DQ361" s="39"/>
      <c r="DR361" s="39"/>
      <c r="DS361" s="39"/>
      <c r="DT361" s="39"/>
      <c r="DU361" s="39"/>
      <c r="DV361" s="39"/>
      <c r="DW361" s="39"/>
      <c r="DX361" s="39"/>
      <c r="DY361" s="39"/>
      <c r="DZ361" s="39"/>
      <c r="EA361" s="39"/>
      <c r="EB361" s="39"/>
      <c r="EC361" s="39"/>
      <c r="ED361" s="39"/>
      <c r="EE361" s="39"/>
      <c r="EF361" s="39"/>
      <c r="EG361" s="39"/>
      <c r="EH361" s="39"/>
      <c r="EI361" s="39"/>
      <c r="EJ361" s="39"/>
      <c r="EK361" s="39"/>
      <c r="EL361" s="39"/>
      <c r="EM361" s="39"/>
      <c r="EN361" s="39"/>
      <c r="EO361" s="39"/>
      <c r="EP361" s="39"/>
      <c r="EQ361" s="39"/>
      <c r="ER361" s="39"/>
      <c r="ES361" s="39"/>
      <c r="ET361" s="39"/>
      <c r="EU361" s="39"/>
      <c r="EV361" s="39"/>
      <c r="EW361" s="39"/>
      <c r="EX361" s="39"/>
      <c r="EY361" s="39"/>
      <c r="EZ361" s="39"/>
      <c r="FA361" s="39"/>
      <c r="FB361" s="39"/>
      <c r="FC361" s="39"/>
      <c r="FD361" s="39"/>
      <c r="FE361" s="39"/>
      <c r="FF361" s="39"/>
      <c r="FG361" s="39"/>
      <c r="FH361" s="39"/>
      <c r="FI361" s="39"/>
      <c r="FJ361" s="39"/>
      <c r="FK361" s="39"/>
      <c r="FL361" s="39"/>
      <c r="FM361" s="39"/>
      <c r="FN361" s="75">
        <f t="shared" si="17"/>
        <v>0</v>
      </c>
    </row>
    <row r="362" spans="1:170" s="5" customFormat="1" x14ac:dyDescent="0.25">
      <c r="A362" s="55" t="s">
        <v>121</v>
      </c>
      <c r="B362" s="74">
        <f t="shared" si="19"/>
        <v>0</v>
      </c>
      <c r="C362" s="66">
        <v>5</v>
      </c>
      <c r="D362" s="69">
        <v>44725</v>
      </c>
      <c r="E362" s="76">
        <v>219.35</v>
      </c>
      <c r="F362" s="76">
        <f t="shared" si="20"/>
        <v>0</v>
      </c>
      <c r="G362" s="74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16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  <c r="CR362" s="39"/>
      <c r="CS362" s="39"/>
      <c r="CT362" s="39"/>
      <c r="CU362" s="39"/>
      <c r="CV362" s="39"/>
      <c r="CW362" s="39"/>
      <c r="CX362" s="39"/>
      <c r="CY362" s="39"/>
      <c r="CZ362" s="39"/>
      <c r="DA362" s="39"/>
      <c r="DB362" s="39"/>
      <c r="DC362" s="39"/>
      <c r="DD362" s="39"/>
      <c r="DE362" s="39"/>
      <c r="DF362" s="39"/>
      <c r="DG362" s="39"/>
      <c r="DH362" s="39"/>
      <c r="DI362" s="39"/>
      <c r="DJ362" s="39"/>
      <c r="DK362" s="39"/>
      <c r="DL362" s="39"/>
      <c r="DM362" s="39"/>
      <c r="DN362" s="39"/>
      <c r="DO362" s="39"/>
      <c r="DP362" s="39"/>
      <c r="DQ362" s="39"/>
      <c r="DR362" s="39"/>
      <c r="DS362" s="39"/>
      <c r="DT362" s="39"/>
      <c r="DU362" s="39"/>
      <c r="DV362" s="39"/>
      <c r="DW362" s="39"/>
      <c r="DX362" s="39"/>
      <c r="DY362" s="39"/>
      <c r="DZ362" s="39"/>
      <c r="EA362" s="39"/>
      <c r="EB362" s="39"/>
      <c r="EC362" s="39"/>
      <c r="ED362" s="39"/>
      <c r="EE362" s="39"/>
      <c r="EF362" s="39"/>
      <c r="EG362" s="39"/>
      <c r="EH362" s="39"/>
      <c r="EI362" s="39"/>
      <c r="EJ362" s="39"/>
      <c r="EK362" s="39"/>
      <c r="EL362" s="39"/>
      <c r="EM362" s="39"/>
      <c r="EN362" s="39"/>
      <c r="EO362" s="39"/>
      <c r="EP362" s="39"/>
      <c r="EQ362" s="39"/>
      <c r="ER362" s="39"/>
      <c r="ES362" s="39"/>
      <c r="ET362" s="39"/>
      <c r="EU362" s="39"/>
      <c r="EV362" s="39"/>
      <c r="EW362" s="39"/>
      <c r="EX362" s="39"/>
      <c r="EY362" s="39"/>
      <c r="EZ362" s="39"/>
      <c r="FA362" s="39"/>
      <c r="FB362" s="39"/>
      <c r="FC362" s="39"/>
      <c r="FD362" s="39"/>
      <c r="FE362" s="39"/>
      <c r="FF362" s="39"/>
      <c r="FG362" s="39"/>
      <c r="FH362" s="39"/>
      <c r="FI362" s="39"/>
      <c r="FJ362" s="39"/>
      <c r="FK362" s="39"/>
      <c r="FL362" s="39"/>
      <c r="FM362" s="39"/>
      <c r="FN362" s="75">
        <f t="shared" si="17"/>
        <v>0</v>
      </c>
    </row>
    <row r="363" spans="1:170" s="5" customFormat="1" ht="12" customHeight="1" x14ac:dyDescent="0.25">
      <c r="A363" s="44" t="s">
        <v>199</v>
      </c>
      <c r="B363" s="74">
        <f t="shared" si="19"/>
        <v>10</v>
      </c>
      <c r="C363" s="66">
        <v>5</v>
      </c>
      <c r="D363" s="69">
        <v>44914</v>
      </c>
      <c r="E363" s="76">
        <v>56.66</v>
      </c>
      <c r="F363" s="76">
        <f t="shared" si="20"/>
        <v>566.59999999999991</v>
      </c>
      <c r="G363" s="74">
        <v>10</v>
      </c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16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  <c r="CR363" s="39"/>
      <c r="CS363" s="39"/>
      <c r="CT363" s="39"/>
      <c r="CU363" s="39"/>
      <c r="CV363" s="39"/>
      <c r="CW363" s="39">
        <v>10</v>
      </c>
      <c r="CX363" s="39"/>
      <c r="CY363" s="39"/>
      <c r="CZ363" s="39"/>
      <c r="DA363" s="39"/>
      <c r="DB363" s="39"/>
      <c r="DC363" s="39"/>
      <c r="DD363" s="39"/>
      <c r="DE363" s="39"/>
      <c r="DF363" s="39"/>
      <c r="DG363" s="39"/>
      <c r="DH363" s="39"/>
      <c r="DI363" s="39"/>
      <c r="DJ363" s="39"/>
      <c r="DK363" s="39"/>
      <c r="DL363" s="39"/>
      <c r="DM363" s="39"/>
      <c r="DN363" s="39"/>
      <c r="DO363" s="39"/>
      <c r="DP363" s="39"/>
      <c r="DQ363" s="39"/>
      <c r="DR363" s="39"/>
      <c r="DS363" s="39"/>
      <c r="DT363" s="39"/>
      <c r="DU363" s="39"/>
      <c r="DV363" s="39"/>
      <c r="DW363" s="39"/>
      <c r="DX363" s="39"/>
      <c r="DY363" s="39"/>
      <c r="DZ363" s="39"/>
      <c r="EA363" s="39"/>
      <c r="EB363" s="39"/>
      <c r="EC363" s="39"/>
      <c r="ED363" s="39"/>
      <c r="EE363" s="39"/>
      <c r="EF363" s="39"/>
      <c r="EG363" s="39"/>
      <c r="EH363" s="39"/>
      <c r="EI363" s="39"/>
      <c r="EJ363" s="39"/>
      <c r="EK363" s="39"/>
      <c r="EL363" s="39"/>
      <c r="EM363" s="39"/>
      <c r="EN363" s="39"/>
      <c r="EO363" s="39"/>
      <c r="EP363" s="39"/>
      <c r="EQ363" s="39"/>
      <c r="ER363" s="39"/>
      <c r="ES363" s="39"/>
      <c r="ET363" s="39"/>
      <c r="EU363" s="39"/>
      <c r="EV363" s="39"/>
      <c r="EW363" s="39"/>
      <c r="EX363" s="39"/>
      <c r="EY363" s="39"/>
      <c r="EZ363" s="39"/>
      <c r="FA363" s="39"/>
      <c r="FB363" s="39"/>
      <c r="FC363" s="39"/>
      <c r="FD363" s="39"/>
      <c r="FE363" s="39"/>
      <c r="FF363" s="39"/>
      <c r="FG363" s="39"/>
      <c r="FH363" s="39"/>
      <c r="FI363" s="39"/>
      <c r="FJ363" s="39"/>
      <c r="FK363" s="39"/>
      <c r="FL363" s="39"/>
      <c r="FM363" s="39"/>
      <c r="FN363" s="75">
        <f t="shared" si="17"/>
        <v>0</v>
      </c>
    </row>
    <row r="364" spans="1:170" s="5" customFormat="1" ht="12" customHeight="1" x14ac:dyDescent="0.25">
      <c r="A364" s="44" t="s">
        <v>199</v>
      </c>
      <c r="B364" s="74">
        <f t="shared" si="19"/>
        <v>0</v>
      </c>
      <c r="C364" s="66">
        <v>1</v>
      </c>
      <c r="D364" s="69">
        <v>44979</v>
      </c>
      <c r="E364" s="76">
        <v>62.79</v>
      </c>
      <c r="F364" s="76">
        <f t="shared" si="20"/>
        <v>0</v>
      </c>
      <c r="G364" s="74">
        <v>10</v>
      </c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16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  <c r="CR364" s="39"/>
      <c r="CS364" s="39"/>
      <c r="CT364" s="39"/>
      <c r="CU364" s="39">
        <v>10</v>
      </c>
      <c r="CV364" s="39"/>
      <c r="CW364" s="39"/>
      <c r="CX364" s="39"/>
      <c r="CY364" s="39"/>
      <c r="CZ364" s="39"/>
      <c r="DA364" s="39"/>
      <c r="DB364" s="39"/>
      <c r="DC364" s="39"/>
      <c r="DD364" s="39"/>
      <c r="DE364" s="39"/>
      <c r="DF364" s="39"/>
      <c r="DG364" s="39"/>
      <c r="DH364" s="39"/>
      <c r="DI364" s="39"/>
      <c r="DJ364" s="39"/>
      <c r="DK364" s="39"/>
      <c r="DL364" s="39"/>
      <c r="DM364" s="39"/>
      <c r="DN364" s="39"/>
      <c r="DO364" s="39"/>
      <c r="DP364" s="39"/>
      <c r="DQ364" s="39"/>
      <c r="DR364" s="39"/>
      <c r="DS364" s="39"/>
      <c r="DT364" s="39"/>
      <c r="DU364" s="39"/>
      <c r="DV364" s="39"/>
      <c r="DW364" s="39"/>
      <c r="DX364" s="39"/>
      <c r="DY364" s="39"/>
      <c r="DZ364" s="39"/>
      <c r="EA364" s="39"/>
      <c r="EB364" s="39"/>
      <c r="EC364" s="39"/>
      <c r="ED364" s="39"/>
      <c r="EE364" s="39"/>
      <c r="EF364" s="39"/>
      <c r="EG364" s="39"/>
      <c r="EH364" s="39"/>
      <c r="EI364" s="39"/>
      <c r="EJ364" s="39"/>
      <c r="EK364" s="39"/>
      <c r="EL364" s="39"/>
      <c r="EM364" s="39"/>
      <c r="EN364" s="39"/>
      <c r="EO364" s="39"/>
      <c r="EP364" s="39"/>
      <c r="EQ364" s="39"/>
      <c r="ER364" s="39"/>
      <c r="ES364" s="39"/>
      <c r="ET364" s="39"/>
      <c r="EU364" s="39"/>
      <c r="EV364" s="39"/>
      <c r="EW364" s="39"/>
      <c r="EX364" s="39">
        <v>2</v>
      </c>
      <c r="EY364" s="39"/>
      <c r="EZ364" s="39"/>
      <c r="FA364" s="39"/>
      <c r="FB364" s="39"/>
      <c r="FC364" s="39"/>
      <c r="FD364" s="39">
        <v>2</v>
      </c>
      <c r="FE364" s="39"/>
      <c r="FF364" s="39"/>
      <c r="FG364" s="39"/>
      <c r="FH364" s="39"/>
      <c r="FI364" s="39"/>
      <c r="FJ364" s="39"/>
      <c r="FK364" s="39"/>
      <c r="FL364" s="39"/>
      <c r="FM364" s="39"/>
      <c r="FN364" s="75">
        <f t="shared" si="17"/>
        <v>0</v>
      </c>
    </row>
    <row r="365" spans="1:170" s="5" customFormat="1" ht="12" customHeight="1" x14ac:dyDescent="0.25">
      <c r="A365" s="44" t="s">
        <v>447</v>
      </c>
      <c r="B365" s="74">
        <f t="shared" si="19"/>
        <v>0</v>
      </c>
      <c r="C365" s="66">
        <v>5</v>
      </c>
      <c r="D365" s="69">
        <v>44963</v>
      </c>
      <c r="E365" s="76">
        <v>71.02</v>
      </c>
      <c r="F365" s="76">
        <f t="shared" si="20"/>
        <v>0</v>
      </c>
      <c r="G365" s="74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16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>
        <v>10</v>
      </c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  <c r="CR365" s="39"/>
      <c r="CS365" s="39"/>
      <c r="CT365" s="39"/>
      <c r="CU365" s="39"/>
      <c r="CV365" s="39"/>
      <c r="CW365" s="39"/>
      <c r="CX365" s="39"/>
      <c r="CY365" s="39"/>
      <c r="CZ365" s="39"/>
      <c r="DA365" s="39"/>
      <c r="DB365" s="39"/>
      <c r="DC365" s="39"/>
      <c r="DD365" s="39"/>
      <c r="DE365" s="39"/>
      <c r="DF365" s="39"/>
      <c r="DG365" s="39"/>
      <c r="DH365" s="39"/>
      <c r="DI365" s="39"/>
      <c r="DJ365" s="39"/>
      <c r="DK365" s="39"/>
      <c r="DL365" s="39"/>
      <c r="DM365" s="39"/>
      <c r="DN365" s="39"/>
      <c r="DO365" s="39"/>
      <c r="DP365" s="39"/>
      <c r="DQ365" s="39"/>
      <c r="DR365" s="39"/>
      <c r="DS365" s="39"/>
      <c r="DT365" s="39"/>
      <c r="DU365" s="39"/>
      <c r="DV365" s="39"/>
      <c r="DW365" s="39"/>
      <c r="DX365" s="39"/>
      <c r="DY365" s="39">
        <v>10</v>
      </c>
      <c r="DZ365" s="39"/>
      <c r="EA365" s="39"/>
      <c r="EB365" s="39"/>
      <c r="EC365" s="39"/>
      <c r="ED365" s="39"/>
      <c r="EE365" s="39"/>
      <c r="EF365" s="39"/>
      <c r="EG365" s="39"/>
      <c r="EH365" s="39"/>
      <c r="EI365" s="39"/>
      <c r="EJ365" s="39"/>
      <c r="EK365" s="39"/>
      <c r="EL365" s="39"/>
      <c r="EM365" s="39"/>
      <c r="EN365" s="39"/>
      <c r="EO365" s="39"/>
      <c r="EP365" s="39"/>
      <c r="EQ365" s="39"/>
      <c r="ER365" s="39"/>
      <c r="ES365" s="39"/>
      <c r="ET365" s="39"/>
      <c r="EU365" s="39"/>
      <c r="EV365" s="39"/>
      <c r="EW365" s="39"/>
      <c r="EX365" s="39"/>
      <c r="EY365" s="39"/>
      <c r="EZ365" s="39"/>
      <c r="FA365" s="39"/>
      <c r="FB365" s="39"/>
      <c r="FC365" s="39"/>
      <c r="FD365" s="39"/>
      <c r="FE365" s="39"/>
      <c r="FF365" s="39"/>
      <c r="FG365" s="39"/>
      <c r="FH365" s="39"/>
      <c r="FI365" s="39"/>
      <c r="FJ365" s="39"/>
      <c r="FK365" s="39"/>
      <c r="FL365" s="39"/>
      <c r="FM365" s="39"/>
      <c r="FN365" s="75">
        <f t="shared" si="17"/>
        <v>0</v>
      </c>
    </row>
    <row r="366" spans="1:170" s="5" customFormat="1" x14ac:dyDescent="0.25">
      <c r="A366" s="55" t="s">
        <v>100</v>
      </c>
      <c r="B366" s="74">
        <f t="shared" si="19"/>
        <v>0</v>
      </c>
      <c r="C366" s="66">
        <v>1</v>
      </c>
      <c r="D366" s="68">
        <v>44718</v>
      </c>
      <c r="E366" s="110">
        <v>43.8</v>
      </c>
      <c r="F366" s="76">
        <f t="shared" si="20"/>
        <v>0</v>
      </c>
      <c r="G366" s="74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16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  <c r="CR366" s="39"/>
      <c r="CS366" s="39"/>
      <c r="CT366" s="39"/>
      <c r="CU366" s="39"/>
      <c r="CV366" s="39"/>
      <c r="CW366" s="39"/>
      <c r="CX366" s="39"/>
      <c r="CY366" s="39"/>
      <c r="CZ366" s="39"/>
      <c r="DA366" s="39"/>
      <c r="DB366" s="39"/>
      <c r="DC366" s="39"/>
      <c r="DD366" s="39"/>
      <c r="DE366" s="39"/>
      <c r="DF366" s="39"/>
      <c r="DG366" s="39"/>
      <c r="DH366" s="39"/>
      <c r="DI366" s="39"/>
      <c r="DJ366" s="39"/>
      <c r="DK366" s="39"/>
      <c r="DL366" s="39"/>
      <c r="DM366" s="39"/>
      <c r="DN366" s="39"/>
      <c r="DO366" s="39"/>
      <c r="DP366" s="39"/>
      <c r="DQ366" s="39"/>
      <c r="DR366" s="39"/>
      <c r="DS366" s="39"/>
      <c r="DT366" s="39"/>
      <c r="DU366" s="39"/>
      <c r="DV366" s="39"/>
      <c r="DW366" s="39"/>
      <c r="DX366" s="39"/>
      <c r="DY366" s="39"/>
      <c r="DZ366" s="39"/>
      <c r="EA366" s="39"/>
      <c r="EB366" s="39"/>
      <c r="EC366" s="39"/>
      <c r="ED366" s="39"/>
      <c r="EE366" s="39"/>
      <c r="EF366" s="39"/>
      <c r="EG366" s="39"/>
      <c r="EH366" s="39"/>
      <c r="EI366" s="39"/>
      <c r="EJ366" s="39"/>
      <c r="EK366" s="39"/>
      <c r="EL366" s="39"/>
      <c r="EM366" s="39"/>
      <c r="EN366" s="39"/>
      <c r="EO366" s="39"/>
      <c r="EP366" s="39"/>
      <c r="EQ366" s="39"/>
      <c r="ER366" s="39"/>
      <c r="ES366" s="39"/>
      <c r="ET366" s="39"/>
      <c r="EU366" s="39"/>
      <c r="EV366" s="39"/>
      <c r="EW366" s="39"/>
      <c r="EX366" s="39"/>
      <c r="EY366" s="39"/>
      <c r="EZ366" s="39"/>
      <c r="FA366" s="39"/>
      <c r="FB366" s="39"/>
      <c r="FC366" s="39"/>
      <c r="FD366" s="39"/>
      <c r="FE366" s="39"/>
      <c r="FF366" s="39"/>
      <c r="FG366" s="39"/>
      <c r="FH366" s="39"/>
      <c r="FI366" s="39"/>
      <c r="FJ366" s="39"/>
      <c r="FK366" s="39"/>
      <c r="FL366" s="39"/>
      <c r="FM366" s="39"/>
      <c r="FN366" s="75">
        <f t="shared" si="17"/>
        <v>0</v>
      </c>
    </row>
    <row r="367" spans="1:170" s="5" customFormat="1" x14ac:dyDescent="0.25">
      <c r="A367" s="55" t="s">
        <v>486</v>
      </c>
      <c r="B367" s="74">
        <f t="shared" si="19"/>
        <v>0</v>
      </c>
      <c r="C367" s="66">
        <v>1</v>
      </c>
      <c r="D367" s="68">
        <v>44697</v>
      </c>
      <c r="E367" s="110">
        <v>72.989999999999995</v>
      </c>
      <c r="F367" s="76">
        <f t="shared" si="20"/>
        <v>0</v>
      </c>
      <c r="G367" s="74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16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  <c r="CR367" s="39"/>
      <c r="CS367" s="39"/>
      <c r="CT367" s="39"/>
      <c r="CU367" s="39"/>
      <c r="CV367" s="39"/>
      <c r="CW367" s="39"/>
      <c r="CX367" s="39"/>
      <c r="CY367" s="39"/>
      <c r="CZ367" s="39"/>
      <c r="DA367" s="39"/>
      <c r="DB367" s="39"/>
      <c r="DC367" s="39"/>
      <c r="DD367" s="39"/>
      <c r="DE367" s="39"/>
      <c r="DF367" s="39"/>
      <c r="DG367" s="39"/>
      <c r="DH367" s="39"/>
      <c r="DI367" s="39"/>
      <c r="DJ367" s="39"/>
      <c r="DK367" s="39"/>
      <c r="DL367" s="39"/>
      <c r="DM367" s="39"/>
      <c r="DN367" s="39"/>
      <c r="DO367" s="39"/>
      <c r="DP367" s="39"/>
      <c r="DQ367" s="39"/>
      <c r="DR367" s="39"/>
      <c r="DS367" s="39"/>
      <c r="DT367" s="39"/>
      <c r="DU367" s="39"/>
      <c r="DV367" s="39"/>
      <c r="DW367" s="39"/>
      <c r="DX367" s="39"/>
      <c r="DY367" s="39"/>
      <c r="DZ367" s="39"/>
      <c r="EA367" s="39"/>
      <c r="EB367" s="39"/>
      <c r="EC367" s="39"/>
      <c r="ED367" s="39"/>
      <c r="EE367" s="39"/>
      <c r="EF367" s="39"/>
      <c r="EG367" s="39"/>
      <c r="EH367" s="39"/>
      <c r="EI367" s="39"/>
      <c r="EJ367" s="39"/>
      <c r="EK367" s="39"/>
      <c r="EL367" s="39"/>
      <c r="EM367" s="39"/>
      <c r="EN367" s="39"/>
      <c r="EO367" s="39"/>
      <c r="EP367" s="39"/>
      <c r="EQ367" s="39"/>
      <c r="ER367" s="39"/>
      <c r="ES367" s="39"/>
      <c r="ET367" s="39"/>
      <c r="EU367" s="39"/>
      <c r="EV367" s="39"/>
      <c r="EW367" s="39"/>
      <c r="EX367" s="39"/>
      <c r="EY367" s="39"/>
      <c r="EZ367" s="39"/>
      <c r="FA367" s="39"/>
      <c r="FB367" s="39"/>
      <c r="FC367" s="39"/>
      <c r="FD367" s="39"/>
      <c r="FE367" s="39"/>
      <c r="FF367" s="39"/>
      <c r="FG367" s="39"/>
      <c r="FH367" s="39"/>
      <c r="FI367" s="39"/>
      <c r="FJ367" s="39"/>
      <c r="FK367" s="39"/>
      <c r="FL367" s="39"/>
      <c r="FM367" s="39"/>
      <c r="FN367" s="75">
        <f t="shared" si="17"/>
        <v>0</v>
      </c>
    </row>
    <row r="368" spans="1:170" s="5" customFormat="1" x14ac:dyDescent="0.25">
      <c r="A368" s="55" t="s">
        <v>499</v>
      </c>
      <c r="B368" s="74">
        <f t="shared" si="19"/>
        <v>0</v>
      </c>
      <c r="C368" s="66">
        <v>5</v>
      </c>
      <c r="D368" s="68">
        <v>44725</v>
      </c>
      <c r="E368" s="110">
        <v>40.94</v>
      </c>
      <c r="F368" s="76">
        <f t="shared" si="20"/>
        <v>0</v>
      </c>
      <c r="G368" s="74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16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  <c r="CR368" s="39"/>
      <c r="CS368" s="39"/>
      <c r="CT368" s="39"/>
      <c r="CU368" s="39"/>
      <c r="CV368" s="39"/>
      <c r="CW368" s="39"/>
      <c r="CX368" s="39"/>
      <c r="CY368" s="39"/>
      <c r="CZ368" s="39"/>
      <c r="DA368" s="39"/>
      <c r="DB368" s="39"/>
      <c r="DC368" s="39"/>
      <c r="DD368" s="39"/>
      <c r="DE368" s="39"/>
      <c r="DF368" s="39"/>
      <c r="DG368" s="39"/>
      <c r="DH368" s="39"/>
      <c r="DI368" s="39"/>
      <c r="DJ368" s="39"/>
      <c r="DK368" s="39"/>
      <c r="DL368" s="39"/>
      <c r="DM368" s="39"/>
      <c r="DN368" s="39"/>
      <c r="DO368" s="39"/>
      <c r="DP368" s="39"/>
      <c r="DQ368" s="39"/>
      <c r="DR368" s="39"/>
      <c r="DS368" s="39"/>
      <c r="DT368" s="39"/>
      <c r="DU368" s="39"/>
      <c r="DV368" s="39"/>
      <c r="DW368" s="39"/>
      <c r="DX368" s="39"/>
      <c r="DY368" s="39"/>
      <c r="DZ368" s="39"/>
      <c r="EA368" s="39"/>
      <c r="EB368" s="39"/>
      <c r="EC368" s="39"/>
      <c r="ED368" s="39"/>
      <c r="EE368" s="39"/>
      <c r="EF368" s="39"/>
      <c r="EG368" s="39"/>
      <c r="EH368" s="39"/>
      <c r="EI368" s="39"/>
      <c r="EJ368" s="39"/>
      <c r="EK368" s="39"/>
      <c r="EL368" s="39"/>
      <c r="EM368" s="39"/>
      <c r="EN368" s="39"/>
      <c r="EO368" s="39"/>
      <c r="EP368" s="39"/>
      <c r="EQ368" s="39"/>
      <c r="ER368" s="39"/>
      <c r="ES368" s="39"/>
      <c r="ET368" s="39"/>
      <c r="EU368" s="39"/>
      <c r="EV368" s="39"/>
      <c r="EW368" s="39"/>
      <c r="EX368" s="39"/>
      <c r="EY368" s="39"/>
      <c r="EZ368" s="39"/>
      <c r="FA368" s="39"/>
      <c r="FB368" s="39"/>
      <c r="FC368" s="39"/>
      <c r="FD368" s="39"/>
      <c r="FE368" s="39"/>
      <c r="FF368" s="39"/>
      <c r="FG368" s="39"/>
      <c r="FH368" s="39"/>
      <c r="FI368" s="39"/>
      <c r="FJ368" s="39"/>
      <c r="FK368" s="39"/>
      <c r="FL368" s="39"/>
      <c r="FM368" s="39"/>
      <c r="FN368" s="75">
        <f t="shared" si="17"/>
        <v>0</v>
      </c>
    </row>
    <row r="369" spans="1:170" s="5" customFormat="1" x14ac:dyDescent="0.25">
      <c r="A369" s="44" t="s">
        <v>178</v>
      </c>
      <c r="B369" s="74">
        <f t="shared" si="19"/>
        <v>0</v>
      </c>
      <c r="C369" s="66">
        <v>1</v>
      </c>
      <c r="D369" s="68">
        <v>44979</v>
      </c>
      <c r="E369" s="76">
        <v>150.57</v>
      </c>
      <c r="F369" s="76">
        <f t="shared" si="20"/>
        <v>0</v>
      </c>
      <c r="G369" s="74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16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  <c r="CR369" s="39"/>
      <c r="CS369" s="39"/>
      <c r="CT369" s="39"/>
      <c r="CU369" s="39"/>
      <c r="CV369" s="39"/>
      <c r="CW369" s="39"/>
      <c r="CX369" s="39"/>
      <c r="CY369" s="39"/>
      <c r="CZ369" s="39"/>
      <c r="DA369" s="39"/>
      <c r="DB369" s="39"/>
      <c r="DC369" s="39"/>
      <c r="DD369" s="39"/>
      <c r="DE369" s="39"/>
      <c r="DF369" s="39"/>
      <c r="DG369" s="39"/>
      <c r="DH369" s="39"/>
      <c r="DI369" s="39"/>
      <c r="DJ369" s="39"/>
      <c r="DK369" s="39"/>
      <c r="DL369" s="39"/>
      <c r="DM369" s="39"/>
      <c r="DN369" s="39"/>
      <c r="DO369" s="39"/>
      <c r="DP369" s="39"/>
      <c r="DQ369" s="39"/>
      <c r="DR369" s="39"/>
      <c r="DS369" s="39"/>
      <c r="DT369" s="39"/>
      <c r="DU369" s="39"/>
      <c r="DV369" s="39"/>
      <c r="DW369" s="39"/>
      <c r="DX369" s="39"/>
      <c r="DY369" s="39">
        <v>1</v>
      </c>
      <c r="DZ369" s="39"/>
      <c r="EA369" s="39"/>
      <c r="EB369" s="39"/>
      <c r="EC369" s="39"/>
      <c r="ED369" s="39"/>
      <c r="EE369" s="39">
        <v>1</v>
      </c>
      <c r="EF369" s="39"/>
      <c r="EG369" s="39"/>
      <c r="EH369" s="39"/>
      <c r="EI369" s="39"/>
      <c r="EJ369" s="39"/>
      <c r="EK369" s="39"/>
      <c r="EL369" s="39"/>
      <c r="EM369" s="39"/>
      <c r="EN369" s="39"/>
      <c r="EO369" s="39"/>
      <c r="EP369" s="39"/>
      <c r="EQ369" s="39"/>
      <c r="ER369" s="39"/>
      <c r="ES369" s="39"/>
      <c r="ET369" s="39"/>
      <c r="EU369" s="39"/>
      <c r="EV369" s="39"/>
      <c r="EW369" s="39"/>
      <c r="EX369" s="39">
        <v>2</v>
      </c>
      <c r="EY369" s="39"/>
      <c r="EZ369" s="39"/>
      <c r="FA369" s="39"/>
      <c r="FB369" s="39"/>
      <c r="FC369" s="39"/>
      <c r="FD369" s="39">
        <v>2</v>
      </c>
      <c r="FE369" s="39"/>
      <c r="FF369" s="39"/>
      <c r="FG369" s="39"/>
      <c r="FH369" s="39"/>
      <c r="FI369" s="39"/>
      <c r="FJ369" s="39"/>
      <c r="FK369" s="39"/>
      <c r="FL369" s="39"/>
      <c r="FM369" s="39"/>
      <c r="FN369" s="75">
        <f t="shared" si="17"/>
        <v>0</v>
      </c>
    </row>
    <row r="370" spans="1:170" s="5" customFormat="1" x14ac:dyDescent="0.25">
      <c r="A370" s="55" t="s">
        <v>99</v>
      </c>
      <c r="B370" s="74">
        <f t="shared" si="19"/>
        <v>0</v>
      </c>
      <c r="C370" s="66">
        <v>1</v>
      </c>
      <c r="D370" s="68">
        <v>44809</v>
      </c>
      <c r="E370" s="76">
        <v>25.74</v>
      </c>
      <c r="F370" s="76">
        <f t="shared" si="20"/>
        <v>0</v>
      </c>
      <c r="G370" s="74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16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  <c r="CR370" s="39"/>
      <c r="CS370" s="39"/>
      <c r="CT370" s="39"/>
      <c r="CU370" s="39"/>
      <c r="CV370" s="39"/>
      <c r="CW370" s="39"/>
      <c r="CX370" s="39"/>
      <c r="CY370" s="39"/>
      <c r="CZ370" s="39"/>
      <c r="DA370" s="39"/>
      <c r="DB370" s="39"/>
      <c r="DC370" s="39"/>
      <c r="DD370" s="39"/>
      <c r="DE370" s="39"/>
      <c r="DF370" s="39"/>
      <c r="DG370" s="39"/>
      <c r="DH370" s="39"/>
      <c r="DI370" s="39"/>
      <c r="DJ370" s="39"/>
      <c r="DK370" s="39"/>
      <c r="DL370" s="39"/>
      <c r="DM370" s="39"/>
      <c r="DN370" s="39"/>
      <c r="DO370" s="39"/>
      <c r="DP370" s="39"/>
      <c r="DQ370" s="39"/>
      <c r="DR370" s="39"/>
      <c r="DS370" s="39"/>
      <c r="DT370" s="39"/>
      <c r="DU370" s="39"/>
      <c r="DV370" s="39"/>
      <c r="DW370" s="39"/>
      <c r="DX370" s="39"/>
      <c r="DY370" s="39"/>
      <c r="DZ370" s="39"/>
      <c r="EA370" s="39"/>
      <c r="EB370" s="39"/>
      <c r="EC370" s="39"/>
      <c r="ED370" s="39"/>
      <c r="EE370" s="39"/>
      <c r="EF370" s="39"/>
      <c r="EG370" s="39"/>
      <c r="EH370" s="39"/>
      <c r="EI370" s="39"/>
      <c r="EJ370" s="39"/>
      <c r="EK370" s="39"/>
      <c r="EL370" s="39"/>
      <c r="EM370" s="39"/>
      <c r="EN370" s="39"/>
      <c r="EO370" s="39"/>
      <c r="EP370" s="39"/>
      <c r="EQ370" s="39"/>
      <c r="ER370" s="39"/>
      <c r="ES370" s="39"/>
      <c r="ET370" s="39"/>
      <c r="EU370" s="39"/>
      <c r="EV370" s="39"/>
      <c r="EW370" s="39"/>
      <c r="EX370" s="39"/>
      <c r="EY370" s="39"/>
      <c r="EZ370" s="39"/>
      <c r="FA370" s="39"/>
      <c r="FB370" s="39"/>
      <c r="FC370" s="39"/>
      <c r="FD370" s="39"/>
      <c r="FE370" s="39"/>
      <c r="FF370" s="39"/>
      <c r="FG370" s="39"/>
      <c r="FH370" s="39"/>
      <c r="FI370" s="39"/>
      <c r="FJ370" s="39"/>
      <c r="FK370" s="39"/>
      <c r="FL370" s="39"/>
      <c r="FM370" s="39"/>
      <c r="FN370" s="75">
        <f t="shared" si="17"/>
        <v>0</v>
      </c>
    </row>
    <row r="371" spans="1:170" s="5" customFormat="1" x14ac:dyDescent="0.25">
      <c r="A371" s="55" t="s">
        <v>98</v>
      </c>
      <c r="B371" s="74">
        <f t="shared" si="19"/>
        <v>0</v>
      </c>
      <c r="C371" s="66">
        <v>1</v>
      </c>
      <c r="D371" s="67">
        <v>44979</v>
      </c>
      <c r="E371" s="76">
        <v>75.11</v>
      </c>
      <c r="F371" s="76">
        <f t="shared" si="20"/>
        <v>0</v>
      </c>
      <c r="G371" s="74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16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  <c r="CR371" s="39"/>
      <c r="CS371" s="39"/>
      <c r="CT371" s="39"/>
      <c r="CU371" s="39"/>
      <c r="CV371" s="39"/>
      <c r="CW371" s="39"/>
      <c r="CX371" s="39"/>
      <c r="CY371" s="39"/>
      <c r="CZ371" s="39"/>
      <c r="DA371" s="39"/>
      <c r="DB371" s="39"/>
      <c r="DC371" s="39"/>
      <c r="DD371" s="39"/>
      <c r="DE371" s="39"/>
      <c r="DF371" s="39"/>
      <c r="DG371" s="39"/>
      <c r="DH371" s="39"/>
      <c r="DI371" s="39"/>
      <c r="DJ371" s="39"/>
      <c r="DK371" s="39"/>
      <c r="DL371" s="39"/>
      <c r="DM371" s="39"/>
      <c r="DN371" s="39"/>
      <c r="DO371" s="39"/>
      <c r="DP371" s="39"/>
      <c r="DQ371" s="39"/>
      <c r="DR371" s="39"/>
      <c r="DS371" s="39"/>
      <c r="DT371" s="39"/>
      <c r="DU371" s="39"/>
      <c r="DV371" s="39"/>
      <c r="DW371" s="39"/>
      <c r="DX371" s="39"/>
      <c r="DY371" s="39"/>
      <c r="DZ371" s="39"/>
      <c r="EA371" s="39"/>
      <c r="EB371" s="39"/>
      <c r="EC371" s="39"/>
      <c r="ED371" s="39"/>
      <c r="EE371" s="39"/>
      <c r="EF371" s="39"/>
      <c r="EG371" s="39"/>
      <c r="EH371" s="39"/>
      <c r="EI371" s="39"/>
      <c r="EJ371" s="39"/>
      <c r="EK371" s="39"/>
      <c r="EL371" s="39"/>
      <c r="EM371" s="39"/>
      <c r="EN371" s="39"/>
      <c r="EO371" s="39"/>
      <c r="EP371" s="39"/>
      <c r="EQ371" s="39"/>
      <c r="ER371" s="39"/>
      <c r="ES371" s="39"/>
      <c r="ET371" s="39"/>
      <c r="EU371" s="39"/>
      <c r="EV371" s="39"/>
      <c r="EW371" s="39"/>
      <c r="EX371" s="39">
        <v>1</v>
      </c>
      <c r="EY371" s="39"/>
      <c r="EZ371" s="39"/>
      <c r="FA371" s="39"/>
      <c r="FB371" s="39"/>
      <c r="FC371" s="39"/>
      <c r="FD371" s="39"/>
      <c r="FE371" s="39"/>
      <c r="FF371" s="39"/>
      <c r="FG371" s="39"/>
      <c r="FH371" s="39"/>
      <c r="FI371" s="39"/>
      <c r="FJ371" s="39"/>
      <c r="FK371" s="39"/>
      <c r="FL371" s="39">
        <v>1</v>
      </c>
      <c r="FM371" s="39"/>
      <c r="FN371" s="75">
        <f t="shared" si="17"/>
        <v>0</v>
      </c>
    </row>
    <row r="372" spans="1:170" s="5" customFormat="1" x14ac:dyDescent="0.25">
      <c r="A372" s="55" t="s">
        <v>97</v>
      </c>
      <c r="B372" s="74">
        <f t="shared" si="19"/>
        <v>0</v>
      </c>
      <c r="C372" s="66">
        <v>1</v>
      </c>
      <c r="D372" s="67">
        <v>44795</v>
      </c>
      <c r="E372" s="76">
        <v>61.81</v>
      </c>
      <c r="F372" s="76">
        <f t="shared" si="20"/>
        <v>0</v>
      </c>
      <c r="G372" s="74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16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  <c r="CR372" s="39"/>
      <c r="CS372" s="39"/>
      <c r="CT372" s="39"/>
      <c r="CU372" s="39"/>
      <c r="CV372" s="39"/>
      <c r="CW372" s="39"/>
      <c r="CX372" s="39"/>
      <c r="CY372" s="39"/>
      <c r="CZ372" s="39"/>
      <c r="DA372" s="39"/>
      <c r="DB372" s="39"/>
      <c r="DC372" s="39"/>
      <c r="DD372" s="39"/>
      <c r="DE372" s="39"/>
      <c r="DF372" s="39"/>
      <c r="DG372" s="39"/>
      <c r="DH372" s="39"/>
      <c r="DI372" s="39"/>
      <c r="DJ372" s="39"/>
      <c r="DK372" s="39"/>
      <c r="DL372" s="39"/>
      <c r="DM372" s="39"/>
      <c r="DN372" s="39"/>
      <c r="DO372" s="39"/>
      <c r="DP372" s="39"/>
      <c r="DQ372" s="39"/>
      <c r="DR372" s="39"/>
      <c r="DS372" s="39"/>
      <c r="DT372" s="39"/>
      <c r="DU372" s="39"/>
      <c r="DV372" s="39"/>
      <c r="DW372" s="39"/>
      <c r="DX372" s="39"/>
      <c r="DY372" s="39"/>
      <c r="DZ372" s="39"/>
      <c r="EA372" s="39"/>
      <c r="EB372" s="39"/>
      <c r="EC372" s="39"/>
      <c r="ED372" s="39"/>
      <c r="EE372" s="39"/>
      <c r="EF372" s="39"/>
      <c r="EG372" s="39"/>
      <c r="EH372" s="39"/>
      <c r="EI372" s="39"/>
      <c r="EJ372" s="39"/>
      <c r="EK372" s="39"/>
      <c r="EL372" s="39"/>
      <c r="EM372" s="39"/>
      <c r="EN372" s="39"/>
      <c r="EO372" s="39"/>
      <c r="EP372" s="39"/>
      <c r="EQ372" s="39"/>
      <c r="ER372" s="39"/>
      <c r="ES372" s="39"/>
      <c r="ET372" s="39"/>
      <c r="EU372" s="39"/>
      <c r="EV372" s="39"/>
      <c r="EW372" s="39"/>
      <c r="EX372" s="39"/>
      <c r="EY372" s="39"/>
      <c r="EZ372" s="39"/>
      <c r="FA372" s="39"/>
      <c r="FB372" s="39"/>
      <c r="FC372" s="39"/>
      <c r="FD372" s="39"/>
      <c r="FE372" s="39"/>
      <c r="FF372" s="39"/>
      <c r="FG372" s="39"/>
      <c r="FH372" s="39"/>
      <c r="FI372" s="39"/>
      <c r="FJ372" s="39"/>
      <c r="FK372" s="39"/>
      <c r="FL372" s="39"/>
      <c r="FM372" s="39"/>
      <c r="FN372" s="75">
        <f t="shared" si="17"/>
        <v>0</v>
      </c>
    </row>
    <row r="373" spans="1:170" s="5" customFormat="1" x14ac:dyDescent="0.25">
      <c r="A373" s="55" t="s">
        <v>454</v>
      </c>
      <c r="B373" s="74">
        <f t="shared" si="19"/>
        <v>10</v>
      </c>
      <c r="C373" s="66">
        <v>10</v>
      </c>
      <c r="D373" s="67">
        <v>44914</v>
      </c>
      <c r="E373" s="76">
        <v>49.91</v>
      </c>
      <c r="F373" s="76">
        <f t="shared" si="20"/>
        <v>499.09999999999997</v>
      </c>
      <c r="G373" s="74">
        <v>10</v>
      </c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16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  <c r="CR373" s="39"/>
      <c r="CS373" s="39"/>
      <c r="CT373" s="39"/>
      <c r="CU373" s="39"/>
      <c r="CV373" s="39"/>
      <c r="CW373" s="39">
        <v>10</v>
      </c>
      <c r="CX373" s="39"/>
      <c r="CY373" s="39"/>
      <c r="CZ373" s="39"/>
      <c r="DA373" s="39"/>
      <c r="DB373" s="39"/>
      <c r="DC373" s="39"/>
      <c r="DD373" s="39"/>
      <c r="DE373" s="39"/>
      <c r="DF373" s="39"/>
      <c r="DG373" s="39"/>
      <c r="DH373" s="39"/>
      <c r="DI373" s="39"/>
      <c r="DJ373" s="39"/>
      <c r="DK373" s="39"/>
      <c r="DL373" s="39"/>
      <c r="DM373" s="39"/>
      <c r="DN373" s="39"/>
      <c r="DO373" s="39"/>
      <c r="DP373" s="39"/>
      <c r="DQ373" s="39"/>
      <c r="DR373" s="39"/>
      <c r="DS373" s="39"/>
      <c r="DT373" s="39"/>
      <c r="DU373" s="39"/>
      <c r="DV373" s="39"/>
      <c r="DW373" s="39"/>
      <c r="DX373" s="39"/>
      <c r="DY373" s="39"/>
      <c r="DZ373" s="39"/>
      <c r="EA373" s="39"/>
      <c r="EB373" s="39"/>
      <c r="EC373" s="39"/>
      <c r="ED373" s="39"/>
      <c r="EE373" s="39"/>
      <c r="EF373" s="39"/>
      <c r="EG373" s="39"/>
      <c r="EH373" s="39"/>
      <c r="EI373" s="39"/>
      <c r="EJ373" s="39"/>
      <c r="EK373" s="39"/>
      <c r="EL373" s="39"/>
      <c r="EM373" s="39"/>
      <c r="EN373" s="39"/>
      <c r="EO373" s="39"/>
      <c r="EP373" s="39"/>
      <c r="EQ373" s="39"/>
      <c r="ER373" s="39"/>
      <c r="ES373" s="39"/>
      <c r="ET373" s="39"/>
      <c r="EU373" s="39"/>
      <c r="EV373" s="39"/>
      <c r="EW373" s="39"/>
      <c r="EX373" s="39"/>
      <c r="EY373" s="39"/>
      <c r="EZ373" s="39"/>
      <c r="FA373" s="39"/>
      <c r="FB373" s="39"/>
      <c r="FC373" s="39"/>
      <c r="FD373" s="39"/>
      <c r="FE373" s="39"/>
      <c r="FF373" s="39"/>
      <c r="FG373" s="39"/>
      <c r="FH373" s="39"/>
      <c r="FI373" s="39"/>
      <c r="FJ373" s="39"/>
      <c r="FK373" s="39"/>
      <c r="FL373" s="39"/>
      <c r="FM373" s="39"/>
      <c r="FN373" s="75">
        <f t="shared" si="17"/>
        <v>0</v>
      </c>
    </row>
    <row r="374" spans="1:170" s="5" customFormat="1" x14ac:dyDescent="0.25">
      <c r="A374" s="55" t="s">
        <v>286</v>
      </c>
      <c r="B374" s="74">
        <f t="shared" si="19"/>
        <v>0</v>
      </c>
      <c r="C374" s="66">
        <v>5</v>
      </c>
      <c r="D374" s="67">
        <v>44865</v>
      </c>
      <c r="E374" s="76">
        <v>117.43</v>
      </c>
      <c r="F374" s="76">
        <f t="shared" si="20"/>
        <v>0</v>
      </c>
      <c r="G374" s="74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16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  <c r="CR374" s="39"/>
      <c r="CS374" s="39"/>
      <c r="CT374" s="39"/>
      <c r="CU374" s="39"/>
      <c r="CV374" s="39"/>
      <c r="CW374" s="39"/>
      <c r="CX374" s="39"/>
      <c r="CY374" s="39"/>
      <c r="CZ374" s="39"/>
      <c r="DA374" s="39"/>
      <c r="DB374" s="39"/>
      <c r="DC374" s="39"/>
      <c r="DD374" s="39"/>
      <c r="DE374" s="39"/>
      <c r="DF374" s="39"/>
      <c r="DG374" s="39"/>
      <c r="DH374" s="39"/>
      <c r="DI374" s="39"/>
      <c r="DJ374" s="39"/>
      <c r="DK374" s="39"/>
      <c r="DL374" s="39"/>
      <c r="DM374" s="39"/>
      <c r="DN374" s="39"/>
      <c r="DO374" s="39"/>
      <c r="DP374" s="39"/>
      <c r="DQ374" s="39"/>
      <c r="DR374" s="39"/>
      <c r="DS374" s="39"/>
      <c r="DT374" s="39"/>
      <c r="DU374" s="39"/>
      <c r="DV374" s="39"/>
      <c r="DW374" s="39"/>
      <c r="DX374" s="39"/>
      <c r="DY374" s="39"/>
      <c r="DZ374" s="39"/>
      <c r="EA374" s="39"/>
      <c r="EB374" s="39"/>
      <c r="EC374" s="39"/>
      <c r="ED374" s="39"/>
      <c r="EE374" s="39"/>
      <c r="EF374" s="39"/>
      <c r="EG374" s="39"/>
      <c r="EH374" s="39"/>
      <c r="EI374" s="39"/>
      <c r="EJ374" s="39"/>
      <c r="EK374" s="39"/>
      <c r="EL374" s="39"/>
      <c r="EM374" s="39"/>
      <c r="EN374" s="39"/>
      <c r="EO374" s="39"/>
      <c r="EP374" s="39"/>
      <c r="EQ374" s="39"/>
      <c r="ER374" s="39"/>
      <c r="ES374" s="39"/>
      <c r="ET374" s="39"/>
      <c r="EU374" s="39"/>
      <c r="EV374" s="39"/>
      <c r="EW374" s="39"/>
      <c r="EX374" s="39"/>
      <c r="EY374" s="39"/>
      <c r="EZ374" s="39"/>
      <c r="FA374" s="39"/>
      <c r="FB374" s="39"/>
      <c r="FC374" s="39"/>
      <c r="FD374" s="39"/>
      <c r="FE374" s="39"/>
      <c r="FF374" s="39"/>
      <c r="FG374" s="39"/>
      <c r="FH374" s="39"/>
      <c r="FI374" s="39"/>
      <c r="FJ374" s="39"/>
      <c r="FK374" s="39"/>
      <c r="FL374" s="39"/>
      <c r="FM374" s="39"/>
      <c r="FN374" s="75">
        <f t="shared" si="17"/>
        <v>0</v>
      </c>
    </row>
    <row r="375" spans="1:170" s="5" customFormat="1" x14ac:dyDescent="0.25">
      <c r="A375" s="55" t="s">
        <v>114</v>
      </c>
      <c r="B375" s="74">
        <f t="shared" si="19"/>
        <v>0</v>
      </c>
      <c r="C375" s="66">
        <v>1</v>
      </c>
      <c r="D375" s="67">
        <v>44979</v>
      </c>
      <c r="E375" s="76">
        <v>57.02</v>
      </c>
      <c r="F375" s="76">
        <f t="shared" si="20"/>
        <v>0</v>
      </c>
      <c r="G375" s="74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16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  <c r="CR375" s="39"/>
      <c r="CS375" s="39"/>
      <c r="CT375" s="39"/>
      <c r="CU375" s="39"/>
      <c r="CV375" s="39"/>
      <c r="CW375" s="39"/>
      <c r="CX375" s="39"/>
      <c r="CY375" s="39"/>
      <c r="CZ375" s="39"/>
      <c r="DA375" s="39"/>
      <c r="DB375" s="39"/>
      <c r="DC375" s="39"/>
      <c r="DD375" s="39"/>
      <c r="DE375" s="39"/>
      <c r="DF375" s="39"/>
      <c r="DG375" s="39"/>
      <c r="DH375" s="39"/>
      <c r="DI375" s="39"/>
      <c r="DJ375" s="39"/>
      <c r="DK375" s="39"/>
      <c r="DL375" s="39"/>
      <c r="DM375" s="39"/>
      <c r="DN375" s="39"/>
      <c r="DO375" s="39"/>
      <c r="DP375" s="39"/>
      <c r="DQ375" s="39"/>
      <c r="DR375" s="39"/>
      <c r="DS375" s="39"/>
      <c r="DT375" s="39"/>
      <c r="DU375" s="39"/>
      <c r="DV375" s="39"/>
      <c r="DW375" s="39"/>
      <c r="DX375" s="39"/>
      <c r="DY375" s="39"/>
      <c r="DZ375" s="39"/>
      <c r="EA375" s="39"/>
      <c r="EB375" s="39"/>
      <c r="EC375" s="39"/>
      <c r="ED375" s="39"/>
      <c r="EE375" s="39"/>
      <c r="EF375" s="39"/>
      <c r="EG375" s="39"/>
      <c r="EH375" s="39"/>
      <c r="EI375" s="39"/>
      <c r="EJ375" s="39"/>
      <c r="EK375" s="39"/>
      <c r="EL375" s="39"/>
      <c r="EM375" s="39"/>
      <c r="EN375" s="39"/>
      <c r="EO375" s="39"/>
      <c r="EP375" s="39"/>
      <c r="EQ375" s="39"/>
      <c r="ER375" s="39"/>
      <c r="ES375" s="39"/>
      <c r="ET375" s="39"/>
      <c r="EU375" s="39"/>
      <c r="EV375" s="39"/>
      <c r="EW375" s="39"/>
      <c r="EX375" s="39">
        <v>1</v>
      </c>
      <c r="EY375" s="39"/>
      <c r="EZ375" s="39"/>
      <c r="FA375" s="39"/>
      <c r="FB375" s="39"/>
      <c r="FC375" s="39"/>
      <c r="FD375" s="39"/>
      <c r="FE375" s="39"/>
      <c r="FF375" s="39"/>
      <c r="FG375" s="39"/>
      <c r="FH375" s="39"/>
      <c r="FI375" s="39"/>
      <c r="FJ375" s="39"/>
      <c r="FK375" s="39"/>
      <c r="FL375" s="39">
        <v>1</v>
      </c>
      <c r="FM375" s="39"/>
      <c r="FN375" s="75">
        <f t="shared" si="17"/>
        <v>0</v>
      </c>
    </row>
    <row r="376" spans="1:170" s="5" customFormat="1" x14ac:dyDescent="0.25">
      <c r="A376" s="55" t="s">
        <v>96</v>
      </c>
      <c r="B376" s="74">
        <f t="shared" si="19"/>
        <v>0</v>
      </c>
      <c r="C376" s="66">
        <v>1</v>
      </c>
      <c r="D376" s="67">
        <v>44979</v>
      </c>
      <c r="E376" s="76">
        <v>68.63</v>
      </c>
      <c r="F376" s="76">
        <f t="shared" si="20"/>
        <v>0</v>
      </c>
      <c r="G376" s="74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16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  <c r="CR376" s="39"/>
      <c r="CS376" s="39"/>
      <c r="CT376" s="39"/>
      <c r="CU376" s="39"/>
      <c r="CV376" s="39"/>
      <c r="CW376" s="39"/>
      <c r="CX376" s="39"/>
      <c r="CY376" s="39"/>
      <c r="CZ376" s="39"/>
      <c r="DA376" s="39"/>
      <c r="DB376" s="39"/>
      <c r="DC376" s="39"/>
      <c r="DD376" s="39"/>
      <c r="DE376" s="39"/>
      <c r="DF376" s="39"/>
      <c r="DG376" s="39"/>
      <c r="DH376" s="39"/>
      <c r="DI376" s="39"/>
      <c r="DJ376" s="39"/>
      <c r="DK376" s="39"/>
      <c r="DL376" s="39"/>
      <c r="DM376" s="39"/>
      <c r="DN376" s="39"/>
      <c r="DO376" s="39"/>
      <c r="DP376" s="39"/>
      <c r="DQ376" s="39"/>
      <c r="DR376" s="39"/>
      <c r="DS376" s="39"/>
      <c r="DT376" s="39"/>
      <c r="DU376" s="39"/>
      <c r="DV376" s="39"/>
      <c r="DW376" s="39"/>
      <c r="DX376" s="39"/>
      <c r="DY376" s="39">
        <v>1</v>
      </c>
      <c r="DZ376" s="39"/>
      <c r="EA376" s="39"/>
      <c r="EB376" s="39"/>
      <c r="EC376" s="39"/>
      <c r="ED376" s="39"/>
      <c r="EE376" s="39">
        <v>1</v>
      </c>
      <c r="EF376" s="39"/>
      <c r="EG376" s="39"/>
      <c r="EH376" s="39"/>
      <c r="EI376" s="39"/>
      <c r="EJ376" s="39"/>
      <c r="EK376" s="39"/>
      <c r="EL376" s="39"/>
      <c r="EM376" s="39"/>
      <c r="EN376" s="39"/>
      <c r="EO376" s="39"/>
      <c r="EP376" s="39"/>
      <c r="EQ376" s="39"/>
      <c r="ER376" s="39"/>
      <c r="ES376" s="39"/>
      <c r="ET376" s="39"/>
      <c r="EU376" s="39"/>
      <c r="EV376" s="39"/>
      <c r="EW376" s="39"/>
      <c r="EX376" s="39">
        <v>2</v>
      </c>
      <c r="EY376" s="39"/>
      <c r="EZ376" s="39"/>
      <c r="FA376" s="39"/>
      <c r="FB376" s="39"/>
      <c r="FC376" s="39"/>
      <c r="FD376" s="39">
        <v>2</v>
      </c>
      <c r="FE376" s="39"/>
      <c r="FF376" s="39"/>
      <c r="FG376" s="39"/>
      <c r="FH376" s="39"/>
      <c r="FI376" s="39"/>
      <c r="FJ376" s="39"/>
      <c r="FK376" s="39"/>
      <c r="FL376" s="39"/>
      <c r="FM376" s="39"/>
      <c r="FN376" s="75">
        <f t="shared" si="17"/>
        <v>0</v>
      </c>
    </row>
    <row r="377" spans="1:170" s="5" customFormat="1" ht="12" customHeight="1" x14ac:dyDescent="0.25">
      <c r="A377" s="44" t="s">
        <v>376</v>
      </c>
      <c r="B377" s="74">
        <f t="shared" si="19"/>
        <v>0</v>
      </c>
      <c r="C377" s="66">
        <v>1</v>
      </c>
      <c r="D377" s="68">
        <v>44809</v>
      </c>
      <c r="E377" s="76">
        <v>480.51</v>
      </c>
      <c r="F377" s="76">
        <f t="shared" si="20"/>
        <v>0</v>
      </c>
      <c r="G377" s="74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16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  <c r="CR377" s="39"/>
      <c r="CS377" s="39"/>
      <c r="CT377" s="39"/>
      <c r="CU377" s="39"/>
      <c r="CV377" s="39"/>
      <c r="CW377" s="39"/>
      <c r="CX377" s="39"/>
      <c r="CY377" s="39"/>
      <c r="CZ377" s="39"/>
      <c r="DA377" s="39"/>
      <c r="DB377" s="39"/>
      <c r="DC377" s="39"/>
      <c r="DD377" s="39"/>
      <c r="DE377" s="39"/>
      <c r="DF377" s="39"/>
      <c r="DG377" s="39"/>
      <c r="DH377" s="39"/>
      <c r="DI377" s="39"/>
      <c r="DJ377" s="39"/>
      <c r="DK377" s="39"/>
      <c r="DL377" s="39"/>
      <c r="DM377" s="39"/>
      <c r="DN377" s="39"/>
      <c r="DO377" s="39"/>
      <c r="DP377" s="39"/>
      <c r="DQ377" s="39"/>
      <c r="DR377" s="39"/>
      <c r="DS377" s="39"/>
      <c r="DT377" s="39"/>
      <c r="DU377" s="39"/>
      <c r="DV377" s="39"/>
      <c r="DW377" s="39"/>
      <c r="DX377" s="39"/>
      <c r="DY377" s="39"/>
      <c r="DZ377" s="39"/>
      <c r="EA377" s="39"/>
      <c r="EB377" s="39"/>
      <c r="EC377" s="39"/>
      <c r="ED377" s="39"/>
      <c r="EE377" s="39"/>
      <c r="EF377" s="39"/>
      <c r="EG377" s="39"/>
      <c r="EH377" s="39"/>
      <c r="EI377" s="39"/>
      <c r="EJ377" s="39"/>
      <c r="EK377" s="39"/>
      <c r="EL377" s="39"/>
      <c r="EM377" s="39"/>
      <c r="EN377" s="39"/>
      <c r="EO377" s="39"/>
      <c r="EP377" s="39"/>
      <c r="EQ377" s="39"/>
      <c r="ER377" s="39"/>
      <c r="ES377" s="39"/>
      <c r="ET377" s="39"/>
      <c r="EU377" s="39"/>
      <c r="EV377" s="39"/>
      <c r="EW377" s="39"/>
      <c r="EX377" s="39"/>
      <c r="EY377" s="39"/>
      <c r="EZ377" s="39"/>
      <c r="FA377" s="39"/>
      <c r="FB377" s="39"/>
      <c r="FC377" s="39"/>
      <c r="FD377" s="39"/>
      <c r="FE377" s="39"/>
      <c r="FF377" s="39"/>
      <c r="FG377" s="39"/>
      <c r="FH377" s="39"/>
      <c r="FI377" s="39"/>
      <c r="FJ377" s="39"/>
      <c r="FK377" s="39"/>
      <c r="FL377" s="39"/>
      <c r="FM377" s="39"/>
      <c r="FN377" s="75">
        <f t="shared" si="17"/>
        <v>0</v>
      </c>
    </row>
    <row r="378" spans="1:170" s="5" customFormat="1" x14ac:dyDescent="0.25">
      <c r="A378" s="55" t="s">
        <v>368</v>
      </c>
      <c r="B378" s="74">
        <f t="shared" si="19"/>
        <v>0</v>
      </c>
      <c r="C378" s="66">
        <v>25</v>
      </c>
      <c r="D378" s="67">
        <v>44963</v>
      </c>
      <c r="E378" s="76">
        <v>20.45</v>
      </c>
      <c r="F378" s="76">
        <f t="shared" si="20"/>
        <v>0</v>
      </c>
      <c r="G378" s="74"/>
      <c r="H378" s="39"/>
      <c r="I378" s="39"/>
      <c r="J378" s="39"/>
      <c r="K378" s="39"/>
      <c r="L378" s="39"/>
      <c r="M378" s="39"/>
      <c r="N378" s="39"/>
      <c r="O378" s="39"/>
      <c r="P378" s="39">
        <v>50</v>
      </c>
      <c r="Q378" s="39"/>
      <c r="R378" s="39"/>
      <c r="S378" s="39"/>
      <c r="T378" s="39"/>
      <c r="U378" s="39"/>
      <c r="V378" s="39"/>
      <c r="W378" s="16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  <c r="CR378" s="39"/>
      <c r="CS378" s="39"/>
      <c r="CT378" s="39"/>
      <c r="CU378" s="39"/>
      <c r="CV378" s="39"/>
      <c r="CW378" s="39"/>
      <c r="CX378" s="39"/>
      <c r="CY378" s="39"/>
      <c r="CZ378" s="39"/>
      <c r="DA378" s="39"/>
      <c r="DB378" s="39"/>
      <c r="DC378" s="39"/>
      <c r="DD378" s="39"/>
      <c r="DE378" s="39"/>
      <c r="DF378" s="39"/>
      <c r="DG378" s="39"/>
      <c r="DH378" s="39"/>
      <c r="DI378" s="39"/>
      <c r="DJ378" s="39"/>
      <c r="DK378" s="39"/>
      <c r="DL378" s="39"/>
      <c r="DM378" s="39"/>
      <c r="DN378" s="39"/>
      <c r="DO378" s="39"/>
      <c r="DP378" s="39"/>
      <c r="DQ378" s="39"/>
      <c r="DR378" s="39"/>
      <c r="DS378" s="39"/>
      <c r="DT378" s="39"/>
      <c r="DU378" s="39"/>
      <c r="DV378" s="39"/>
      <c r="DW378" s="39"/>
      <c r="DX378" s="39"/>
      <c r="DY378" s="39">
        <v>50</v>
      </c>
      <c r="DZ378" s="39"/>
      <c r="EA378" s="39"/>
      <c r="EB378" s="39"/>
      <c r="EC378" s="39"/>
      <c r="ED378" s="39"/>
      <c r="EE378" s="39"/>
      <c r="EF378" s="39"/>
      <c r="EG378" s="39"/>
      <c r="EH378" s="39"/>
      <c r="EI378" s="39"/>
      <c r="EJ378" s="39"/>
      <c r="EK378" s="39"/>
      <c r="EL378" s="39"/>
      <c r="EM378" s="39"/>
      <c r="EN378" s="39"/>
      <c r="EO378" s="39"/>
      <c r="EP378" s="39"/>
      <c r="EQ378" s="39"/>
      <c r="ER378" s="39"/>
      <c r="ES378" s="39"/>
      <c r="ET378" s="39"/>
      <c r="EU378" s="39"/>
      <c r="EV378" s="39"/>
      <c r="EW378" s="39"/>
      <c r="EX378" s="39"/>
      <c r="EY378" s="39"/>
      <c r="EZ378" s="39"/>
      <c r="FA378" s="39"/>
      <c r="FB378" s="39"/>
      <c r="FC378" s="39"/>
      <c r="FD378" s="39"/>
      <c r="FE378" s="39"/>
      <c r="FF378" s="39"/>
      <c r="FG378" s="39"/>
      <c r="FH378" s="39"/>
      <c r="FI378" s="39"/>
      <c r="FJ378" s="39"/>
      <c r="FK378" s="39"/>
      <c r="FL378" s="39"/>
      <c r="FM378" s="39"/>
      <c r="FN378" s="75">
        <f t="shared" si="17"/>
        <v>0</v>
      </c>
    </row>
    <row r="379" spans="1:170" s="5" customFormat="1" ht="12" customHeight="1" x14ac:dyDescent="0.25">
      <c r="A379" s="119" t="s">
        <v>44</v>
      </c>
      <c r="B379" s="74">
        <f t="shared" ref="B379:B393" si="21">SUMIF(G$3:FM$3,"прих",G379:FM379)-SUMIF(G$3:FM$3,"отгр",G379:FM379)</f>
        <v>48</v>
      </c>
      <c r="C379" s="66">
        <v>12</v>
      </c>
      <c r="D379" s="69" t="s">
        <v>588</v>
      </c>
      <c r="E379" s="76">
        <v>8.39</v>
      </c>
      <c r="F379" s="76">
        <f t="shared" si="20"/>
        <v>402.72</v>
      </c>
      <c r="G379" s="74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16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>
        <v>48</v>
      </c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  <c r="CR379" s="39"/>
      <c r="CS379" s="39"/>
      <c r="CT379" s="39"/>
      <c r="CU379" s="39"/>
      <c r="CV379" s="39"/>
      <c r="CW379" s="39"/>
      <c r="CX379" s="39"/>
      <c r="CY379" s="39"/>
      <c r="CZ379" s="39"/>
      <c r="DA379" s="39"/>
      <c r="DB379" s="39"/>
      <c r="DC379" s="39"/>
      <c r="DD379" s="39"/>
      <c r="DE379" s="39"/>
      <c r="DF379" s="39"/>
      <c r="DG379" s="39"/>
      <c r="DH379" s="39"/>
      <c r="DI379" s="39"/>
      <c r="DJ379" s="39"/>
      <c r="DK379" s="39"/>
      <c r="DL379" s="39"/>
      <c r="DM379" s="39"/>
      <c r="DN379" s="39"/>
      <c r="DO379" s="39"/>
      <c r="DP379" s="39"/>
      <c r="DQ379" s="39">
        <v>24</v>
      </c>
      <c r="DR379" s="39"/>
      <c r="DS379" s="39"/>
      <c r="DT379" s="39"/>
      <c r="DU379" s="39"/>
      <c r="DV379" s="39"/>
      <c r="DW379" s="39"/>
      <c r="DX379" s="39"/>
      <c r="DY379" s="39"/>
      <c r="DZ379" s="39"/>
      <c r="EA379" s="39"/>
      <c r="EB379" s="39"/>
      <c r="EC379" s="39"/>
      <c r="ED379" s="39"/>
      <c r="EE379" s="39"/>
      <c r="EF379" s="39">
        <v>24</v>
      </c>
      <c r="EG379" s="39"/>
      <c r="EH379" s="39"/>
      <c r="EI379" s="39"/>
      <c r="EJ379" s="39"/>
      <c r="EK379" s="39"/>
      <c r="EL379" s="39"/>
      <c r="EM379" s="39"/>
      <c r="EN379" s="39"/>
      <c r="EO379" s="39"/>
      <c r="EP379" s="39"/>
      <c r="EQ379" s="39"/>
      <c r="ER379" s="39"/>
      <c r="ES379" s="39"/>
      <c r="ET379" s="39"/>
      <c r="EU379" s="39"/>
      <c r="EV379" s="39"/>
      <c r="EW379" s="39"/>
      <c r="EX379" s="39"/>
      <c r="EY379" s="39"/>
      <c r="EZ379" s="39"/>
      <c r="FA379" s="39"/>
      <c r="FB379" s="39"/>
      <c r="FC379" s="39"/>
      <c r="FD379" s="39"/>
      <c r="FE379" s="39"/>
      <c r="FF379" s="39"/>
      <c r="FG379" s="39"/>
      <c r="FH379" s="39"/>
      <c r="FI379" s="39"/>
      <c r="FJ379" s="39"/>
      <c r="FK379" s="39"/>
      <c r="FL379" s="39"/>
      <c r="FM379" s="39"/>
      <c r="FN379" s="75">
        <f t="shared" si="17"/>
        <v>0</v>
      </c>
    </row>
    <row r="380" spans="1:170" s="5" customFormat="1" ht="12" customHeight="1" x14ac:dyDescent="0.25">
      <c r="A380" s="119" t="s">
        <v>44</v>
      </c>
      <c r="B380" s="74">
        <f t="shared" si="21"/>
        <v>0</v>
      </c>
      <c r="C380" s="66">
        <v>12</v>
      </c>
      <c r="D380" s="69">
        <v>44979</v>
      </c>
      <c r="E380" s="76">
        <v>8.26</v>
      </c>
      <c r="F380" s="76">
        <f t="shared" si="20"/>
        <v>0</v>
      </c>
      <c r="G380" s="74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16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>
        <v>84</v>
      </c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  <c r="CR380" s="39"/>
      <c r="CS380" s="39"/>
      <c r="CT380" s="39"/>
      <c r="CU380" s="39"/>
      <c r="CV380" s="39"/>
      <c r="CW380" s="39"/>
      <c r="CX380" s="39"/>
      <c r="CY380" s="39"/>
      <c r="CZ380" s="39"/>
      <c r="DA380" s="39"/>
      <c r="DB380" s="39"/>
      <c r="DC380" s="39"/>
      <c r="DD380" s="39"/>
      <c r="DE380" s="39"/>
      <c r="DF380" s="39"/>
      <c r="DG380" s="39"/>
      <c r="DH380" s="39"/>
      <c r="DI380" s="39"/>
      <c r="DJ380" s="39"/>
      <c r="DK380" s="39"/>
      <c r="DL380" s="39"/>
      <c r="DM380" s="39"/>
      <c r="DN380" s="39"/>
      <c r="DO380" s="39"/>
      <c r="DP380" s="39"/>
      <c r="DQ380" s="39"/>
      <c r="DR380" s="39"/>
      <c r="DS380" s="39"/>
      <c r="DT380" s="39"/>
      <c r="DU380" s="39"/>
      <c r="DV380" s="39"/>
      <c r="DW380" s="39"/>
      <c r="DX380" s="39"/>
      <c r="DY380" s="39"/>
      <c r="DZ380" s="39"/>
      <c r="EA380" s="39"/>
      <c r="EB380" s="39"/>
      <c r="EC380" s="39"/>
      <c r="ED380" s="39"/>
      <c r="EE380" s="39"/>
      <c r="EF380" s="39"/>
      <c r="EG380" s="39"/>
      <c r="EH380" s="39"/>
      <c r="EI380" s="39"/>
      <c r="EJ380" s="39"/>
      <c r="EK380" s="39"/>
      <c r="EL380" s="39"/>
      <c r="EM380" s="39"/>
      <c r="EN380" s="39"/>
      <c r="EO380" s="39"/>
      <c r="EP380" s="39"/>
      <c r="EQ380" s="39"/>
      <c r="ER380" s="39"/>
      <c r="ES380" s="39"/>
      <c r="ET380" s="39"/>
      <c r="EU380" s="39"/>
      <c r="EV380" s="39"/>
      <c r="EW380" s="39">
        <v>84</v>
      </c>
      <c r="EX380" s="39"/>
      <c r="EY380" s="39"/>
      <c r="EZ380" s="39"/>
      <c r="FA380" s="39"/>
      <c r="FB380" s="39"/>
      <c r="FC380" s="39"/>
      <c r="FD380" s="39"/>
      <c r="FE380" s="39"/>
      <c r="FF380" s="39"/>
      <c r="FG380" s="39"/>
      <c r="FH380" s="39"/>
      <c r="FI380" s="39"/>
      <c r="FJ380" s="39"/>
      <c r="FK380" s="39"/>
      <c r="FL380" s="39"/>
      <c r="FM380" s="39"/>
      <c r="FN380" s="75">
        <f t="shared" si="17"/>
        <v>0</v>
      </c>
    </row>
    <row r="381" spans="1:170" s="5" customFormat="1" ht="12" customHeight="1" x14ac:dyDescent="0.25">
      <c r="A381" s="119" t="s">
        <v>332</v>
      </c>
      <c r="B381" s="74">
        <f t="shared" si="21"/>
        <v>0</v>
      </c>
      <c r="C381" s="66">
        <v>25</v>
      </c>
      <c r="D381" s="68">
        <v>44809</v>
      </c>
      <c r="E381" s="76">
        <v>9.18</v>
      </c>
      <c r="F381" s="76">
        <f t="shared" si="20"/>
        <v>0</v>
      </c>
      <c r="G381" s="74">
        <v>25</v>
      </c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16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>
        <v>25</v>
      </c>
      <c r="CN381" s="39"/>
      <c r="CO381" s="39"/>
      <c r="CP381" s="39"/>
      <c r="CQ381" s="39"/>
      <c r="CR381" s="39"/>
      <c r="CS381" s="39"/>
      <c r="CT381" s="39"/>
      <c r="CU381" s="39"/>
      <c r="CV381" s="39"/>
      <c r="CW381" s="39"/>
      <c r="CX381" s="39"/>
      <c r="CY381" s="39"/>
      <c r="CZ381" s="39"/>
      <c r="DA381" s="39"/>
      <c r="DB381" s="39"/>
      <c r="DC381" s="39"/>
      <c r="DD381" s="39"/>
      <c r="DE381" s="39"/>
      <c r="DF381" s="39"/>
      <c r="DG381" s="39"/>
      <c r="DH381" s="39"/>
      <c r="DI381" s="39"/>
      <c r="DJ381" s="39"/>
      <c r="DK381" s="39"/>
      <c r="DL381" s="39"/>
      <c r="DM381" s="39"/>
      <c r="DN381" s="39"/>
      <c r="DO381" s="39"/>
      <c r="DP381" s="39"/>
      <c r="DQ381" s="39"/>
      <c r="DR381" s="39"/>
      <c r="DS381" s="39"/>
      <c r="DT381" s="39"/>
      <c r="DU381" s="39"/>
      <c r="DV381" s="39"/>
      <c r="DW381" s="39"/>
      <c r="DX381" s="39"/>
      <c r="DY381" s="39"/>
      <c r="DZ381" s="39"/>
      <c r="EA381" s="39"/>
      <c r="EB381" s="39"/>
      <c r="EC381" s="39"/>
      <c r="ED381" s="39"/>
      <c r="EE381" s="39"/>
      <c r="EF381" s="39"/>
      <c r="EG381" s="39"/>
      <c r="EH381" s="39"/>
      <c r="EI381" s="39"/>
      <c r="EJ381" s="39"/>
      <c r="EK381" s="39"/>
      <c r="EL381" s="39"/>
      <c r="EM381" s="39"/>
      <c r="EN381" s="39"/>
      <c r="EO381" s="39"/>
      <c r="EP381" s="39"/>
      <c r="EQ381" s="39"/>
      <c r="ER381" s="39"/>
      <c r="ES381" s="39"/>
      <c r="ET381" s="39"/>
      <c r="EU381" s="39"/>
      <c r="EV381" s="39"/>
      <c r="EW381" s="39"/>
      <c r="EX381" s="39"/>
      <c r="EY381" s="39"/>
      <c r="EZ381" s="39"/>
      <c r="FA381" s="39"/>
      <c r="FB381" s="39"/>
      <c r="FC381" s="39"/>
      <c r="FD381" s="39"/>
      <c r="FE381" s="39"/>
      <c r="FF381" s="39"/>
      <c r="FG381" s="39"/>
      <c r="FH381" s="39"/>
      <c r="FI381" s="39"/>
      <c r="FJ381" s="39"/>
      <c r="FK381" s="39"/>
      <c r="FL381" s="39"/>
      <c r="FM381" s="39"/>
      <c r="FN381" s="75">
        <f t="shared" si="17"/>
        <v>0</v>
      </c>
    </row>
    <row r="382" spans="1:170" s="5" customFormat="1" ht="12" customHeight="1" x14ac:dyDescent="0.25">
      <c r="A382" s="119" t="s">
        <v>401</v>
      </c>
      <c r="B382" s="74">
        <f t="shared" si="21"/>
        <v>0</v>
      </c>
      <c r="C382" s="66">
        <v>1</v>
      </c>
      <c r="D382" s="68">
        <v>44606</v>
      </c>
      <c r="E382" s="76">
        <v>15.26</v>
      </c>
      <c r="F382" s="76">
        <f t="shared" si="20"/>
        <v>0</v>
      </c>
      <c r="G382" s="74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16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  <c r="CR382" s="39"/>
      <c r="CS382" s="39"/>
      <c r="CT382" s="39"/>
      <c r="CU382" s="39"/>
      <c r="CV382" s="39"/>
      <c r="CW382" s="39"/>
      <c r="CX382" s="39"/>
      <c r="CY382" s="39"/>
      <c r="CZ382" s="39"/>
      <c r="DA382" s="39"/>
      <c r="DB382" s="39"/>
      <c r="DC382" s="39"/>
      <c r="DD382" s="39"/>
      <c r="DE382" s="39"/>
      <c r="DF382" s="39"/>
      <c r="DG382" s="39"/>
      <c r="DH382" s="39"/>
      <c r="DI382" s="39"/>
      <c r="DJ382" s="39"/>
      <c r="DK382" s="39"/>
      <c r="DL382" s="39"/>
      <c r="DM382" s="39"/>
      <c r="DN382" s="39"/>
      <c r="DO382" s="39"/>
      <c r="DP382" s="39"/>
      <c r="DQ382" s="39"/>
      <c r="DR382" s="39"/>
      <c r="DS382" s="39"/>
      <c r="DT382" s="39"/>
      <c r="DU382" s="39"/>
      <c r="DV382" s="39"/>
      <c r="DW382" s="39"/>
      <c r="DX382" s="39"/>
      <c r="DY382" s="39"/>
      <c r="DZ382" s="39"/>
      <c r="EA382" s="39"/>
      <c r="EB382" s="39"/>
      <c r="EC382" s="39"/>
      <c r="ED382" s="39"/>
      <c r="EE382" s="39"/>
      <c r="EF382" s="39"/>
      <c r="EG382" s="39"/>
      <c r="EH382" s="39"/>
      <c r="EI382" s="39"/>
      <c r="EJ382" s="39"/>
      <c r="EK382" s="39"/>
      <c r="EL382" s="39"/>
      <c r="EM382" s="39"/>
      <c r="EN382" s="39"/>
      <c r="EO382" s="39"/>
      <c r="EP382" s="39"/>
      <c r="EQ382" s="39"/>
      <c r="ER382" s="39"/>
      <c r="ES382" s="39"/>
      <c r="ET382" s="39"/>
      <c r="EU382" s="39"/>
      <c r="EV382" s="39"/>
      <c r="EW382" s="39"/>
      <c r="EX382" s="39"/>
      <c r="EY382" s="39"/>
      <c r="EZ382" s="39"/>
      <c r="FA382" s="39"/>
      <c r="FB382" s="39"/>
      <c r="FC382" s="39"/>
      <c r="FD382" s="39"/>
      <c r="FE382" s="39"/>
      <c r="FF382" s="39"/>
      <c r="FG382" s="39"/>
      <c r="FH382" s="39"/>
      <c r="FI382" s="39"/>
      <c r="FJ382" s="39"/>
      <c r="FK382" s="39"/>
      <c r="FL382" s="39"/>
      <c r="FM382" s="39"/>
      <c r="FN382" s="75">
        <f t="shared" si="17"/>
        <v>0</v>
      </c>
    </row>
    <row r="383" spans="1:170" s="5" customFormat="1" ht="12" customHeight="1" x14ac:dyDescent="0.25">
      <c r="A383" s="119" t="s">
        <v>451</v>
      </c>
      <c r="B383" s="74">
        <f t="shared" si="21"/>
        <v>0</v>
      </c>
      <c r="C383" s="66">
        <v>1</v>
      </c>
      <c r="D383" s="68">
        <v>44718</v>
      </c>
      <c r="E383" s="76">
        <v>17.36</v>
      </c>
      <c r="F383" s="76">
        <f t="shared" si="20"/>
        <v>0</v>
      </c>
      <c r="G383" s="74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16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  <c r="CR383" s="39"/>
      <c r="CS383" s="39"/>
      <c r="CT383" s="39"/>
      <c r="CU383" s="39"/>
      <c r="CV383" s="39"/>
      <c r="CW383" s="39"/>
      <c r="CX383" s="39"/>
      <c r="CY383" s="39"/>
      <c r="CZ383" s="39"/>
      <c r="DA383" s="39"/>
      <c r="DB383" s="39"/>
      <c r="DC383" s="39"/>
      <c r="DD383" s="39"/>
      <c r="DE383" s="39"/>
      <c r="DF383" s="39"/>
      <c r="DG383" s="39"/>
      <c r="DH383" s="39"/>
      <c r="DI383" s="39"/>
      <c r="DJ383" s="39"/>
      <c r="DK383" s="39"/>
      <c r="DL383" s="39"/>
      <c r="DM383" s="39"/>
      <c r="DN383" s="39"/>
      <c r="DO383" s="39"/>
      <c r="DP383" s="39"/>
      <c r="DQ383" s="39"/>
      <c r="DR383" s="39"/>
      <c r="DS383" s="39"/>
      <c r="DT383" s="39"/>
      <c r="DU383" s="39"/>
      <c r="DV383" s="39"/>
      <c r="DW383" s="39"/>
      <c r="DX383" s="39"/>
      <c r="DY383" s="39"/>
      <c r="DZ383" s="39"/>
      <c r="EA383" s="39"/>
      <c r="EB383" s="39"/>
      <c r="EC383" s="39"/>
      <c r="ED383" s="39"/>
      <c r="EE383" s="39"/>
      <c r="EF383" s="39"/>
      <c r="EG383" s="39"/>
      <c r="EH383" s="39"/>
      <c r="EI383" s="39"/>
      <c r="EJ383" s="39"/>
      <c r="EK383" s="39"/>
      <c r="EL383" s="39"/>
      <c r="EM383" s="39"/>
      <c r="EN383" s="39"/>
      <c r="EO383" s="39"/>
      <c r="EP383" s="39"/>
      <c r="EQ383" s="39"/>
      <c r="ER383" s="39"/>
      <c r="ES383" s="39"/>
      <c r="ET383" s="39"/>
      <c r="EU383" s="39"/>
      <c r="EV383" s="39"/>
      <c r="EW383" s="39"/>
      <c r="EX383" s="39"/>
      <c r="EY383" s="39"/>
      <c r="EZ383" s="39"/>
      <c r="FA383" s="39"/>
      <c r="FB383" s="39"/>
      <c r="FC383" s="39"/>
      <c r="FD383" s="39"/>
      <c r="FE383" s="39"/>
      <c r="FF383" s="39"/>
      <c r="FG383" s="39"/>
      <c r="FH383" s="39"/>
      <c r="FI383" s="39"/>
      <c r="FJ383" s="39"/>
      <c r="FK383" s="39"/>
      <c r="FL383" s="39"/>
      <c r="FM383" s="39"/>
      <c r="FN383" s="75">
        <f t="shared" si="17"/>
        <v>0</v>
      </c>
    </row>
    <row r="384" spans="1:170" s="5" customFormat="1" ht="12" customHeight="1" x14ac:dyDescent="0.25">
      <c r="A384" s="119" t="s">
        <v>528</v>
      </c>
      <c r="B384" s="74">
        <f t="shared" si="21"/>
        <v>0</v>
      </c>
      <c r="C384" s="66">
        <v>30</v>
      </c>
      <c r="D384" s="68">
        <v>44963</v>
      </c>
      <c r="E384" s="76">
        <v>7.04</v>
      </c>
      <c r="F384" s="76">
        <f t="shared" si="20"/>
        <v>0</v>
      </c>
      <c r="G384" s="74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16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>
        <v>30</v>
      </c>
      <c r="CP384" s="39"/>
      <c r="CQ384" s="39"/>
      <c r="CR384" s="39"/>
      <c r="CS384" s="39"/>
      <c r="CT384" s="39"/>
      <c r="CU384" s="39"/>
      <c r="CV384" s="39"/>
      <c r="CW384" s="39"/>
      <c r="CX384" s="39"/>
      <c r="CY384" s="39"/>
      <c r="CZ384" s="39"/>
      <c r="DA384" s="39"/>
      <c r="DB384" s="39"/>
      <c r="DC384" s="39"/>
      <c r="DD384" s="39"/>
      <c r="DE384" s="39"/>
      <c r="DF384" s="39"/>
      <c r="DG384" s="39"/>
      <c r="DH384" s="39"/>
      <c r="DI384" s="39"/>
      <c r="DJ384" s="39"/>
      <c r="DK384" s="39"/>
      <c r="DL384" s="39"/>
      <c r="DM384" s="39"/>
      <c r="DN384" s="39"/>
      <c r="DO384" s="39"/>
      <c r="DP384" s="39"/>
      <c r="DQ384" s="39"/>
      <c r="DR384" s="39"/>
      <c r="DS384" s="39"/>
      <c r="DT384" s="39"/>
      <c r="DU384" s="39"/>
      <c r="DV384" s="39"/>
      <c r="DW384" s="39"/>
      <c r="DX384" s="39"/>
      <c r="DY384" s="39">
        <v>30</v>
      </c>
      <c r="DZ384" s="39"/>
      <c r="EA384" s="39"/>
      <c r="EB384" s="39"/>
      <c r="EC384" s="39"/>
      <c r="ED384" s="39"/>
      <c r="EE384" s="39"/>
      <c r="EF384" s="39"/>
      <c r="EG384" s="39"/>
      <c r="EH384" s="39"/>
      <c r="EI384" s="39"/>
      <c r="EJ384" s="39"/>
      <c r="EK384" s="39"/>
      <c r="EL384" s="39"/>
      <c r="EM384" s="39"/>
      <c r="EN384" s="39"/>
      <c r="EO384" s="39"/>
      <c r="EP384" s="39"/>
      <c r="EQ384" s="39"/>
      <c r="ER384" s="39"/>
      <c r="ES384" s="39"/>
      <c r="ET384" s="39"/>
      <c r="EU384" s="39"/>
      <c r="EV384" s="39"/>
      <c r="EW384" s="39"/>
      <c r="EX384" s="39"/>
      <c r="EY384" s="39"/>
      <c r="EZ384" s="39"/>
      <c r="FA384" s="39"/>
      <c r="FB384" s="39"/>
      <c r="FC384" s="39"/>
      <c r="FD384" s="39"/>
      <c r="FE384" s="39"/>
      <c r="FF384" s="39"/>
      <c r="FG384" s="39"/>
      <c r="FH384" s="39"/>
      <c r="FI384" s="39"/>
      <c r="FJ384" s="39"/>
      <c r="FK384" s="39"/>
      <c r="FL384" s="39"/>
      <c r="FM384" s="39"/>
      <c r="FN384" s="75">
        <f t="shared" si="17"/>
        <v>0</v>
      </c>
    </row>
    <row r="385" spans="1:170" s="5" customFormat="1" ht="12" customHeight="1" x14ac:dyDescent="0.25">
      <c r="A385" s="44" t="s">
        <v>534</v>
      </c>
      <c r="B385" s="74">
        <f t="shared" si="21"/>
        <v>0</v>
      </c>
      <c r="C385" s="66">
        <v>1</v>
      </c>
      <c r="D385" s="68">
        <v>44979</v>
      </c>
      <c r="E385" s="76">
        <v>60.26</v>
      </c>
      <c r="F385" s="76">
        <f t="shared" si="20"/>
        <v>0</v>
      </c>
      <c r="G385" s="74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16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>
        <v>2</v>
      </c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  <c r="CR385" s="39"/>
      <c r="CS385" s="39"/>
      <c r="CT385" s="39"/>
      <c r="CU385" s="39"/>
      <c r="CV385" s="39"/>
      <c r="CW385" s="39"/>
      <c r="CX385" s="39"/>
      <c r="CY385" s="39"/>
      <c r="CZ385" s="39"/>
      <c r="DA385" s="39"/>
      <c r="DB385" s="39"/>
      <c r="DC385" s="39"/>
      <c r="DD385" s="39"/>
      <c r="DE385" s="39"/>
      <c r="DF385" s="39"/>
      <c r="DG385" s="39"/>
      <c r="DH385" s="39"/>
      <c r="DI385" s="39"/>
      <c r="DJ385" s="39"/>
      <c r="DK385" s="39"/>
      <c r="DL385" s="39"/>
      <c r="DM385" s="39"/>
      <c r="DN385" s="39"/>
      <c r="DO385" s="39"/>
      <c r="DP385" s="39"/>
      <c r="DQ385" s="39"/>
      <c r="DR385" s="39"/>
      <c r="DS385" s="39"/>
      <c r="DT385" s="39"/>
      <c r="DU385" s="39"/>
      <c r="DV385" s="39"/>
      <c r="DW385" s="39"/>
      <c r="DX385" s="39"/>
      <c r="DY385" s="39"/>
      <c r="DZ385" s="39"/>
      <c r="EA385" s="39"/>
      <c r="EB385" s="39"/>
      <c r="EC385" s="39"/>
      <c r="ED385" s="39"/>
      <c r="EE385" s="39"/>
      <c r="EF385" s="39"/>
      <c r="EG385" s="39"/>
      <c r="EH385" s="39"/>
      <c r="EI385" s="39"/>
      <c r="EJ385" s="39"/>
      <c r="EK385" s="39"/>
      <c r="EL385" s="39"/>
      <c r="EM385" s="39"/>
      <c r="EN385" s="39"/>
      <c r="EO385" s="39"/>
      <c r="EP385" s="39"/>
      <c r="EQ385" s="39"/>
      <c r="ER385" s="39"/>
      <c r="ES385" s="39"/>
      <c r="ET385" s="39"/>
      <c r="EU385" s="39"/>
      <c r="EV385" s="39"/>
      <c r="EW385" s="39"/>
      <c r="EX385" s="39">
        <v>2</v>
      </c>
      <c r="EY385" s="39"/>
      <c r="EZ385" s="39"/>
      <c r="FA385" s="39"/>
      <c r="FB385" s="39"/>
      <c r="FC385" s="39"/>
      <c r="FD385" s="39"/>
      <c r="FE385" s="39"/>
      <c r="FF385" s="39"/>
      <c r="FG385" s="39"/>
      <c r="FH385" s="39"/>
      <c r="FI385" s="39"/>
      <c r="FJ385" s="39"/>
      <c r="FK385" s="39"/>
      <c r="FL385" s="39"/>
      <c r="FM385" s="39"/>
      <c r="FN385" s="75">
        <f t="shared" si="17"/>
        <v>0</v>
      </c>
    </row>
    <row r="386" spans="1:170" s="5" customFormat="1" ht="12" customHeight="1" x14ac:dyDescent="0.25">
      <c r="A386" s="44" t="s">
        <v>394</v>
      </c>
      <c r="B386" s="74">
        <f t="shared" si="21"/>
        <v>0</v>
      </c>
      <c r="C386" s="66">
        <v>1</v>
      </c>
      <c r="D386" s="68">
        <v>44795</v>
      </c>
      <c r="E386" s="76">
        <v>80.16</v>
      </c>
      <c r="F386" s="76">
        <f t="shared" si="20"/>
        <v>0</v>
      </c>
      <c r="G386" s="74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16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  <c r="CR386" s="39"/>
      <c r="CS386" s="39"/>
      <c r="CT386" s="39"/>
      <c r="CU386" s="39"/>
      <c r="CV386" s="39"/>
      <c r="CW386" s="39"/>
      <c r="CX386" s="39"/>
      <c r="CY386" s="39"/>
      <c r="CZ386" s="39"/>
      <c r="DA386" s="39"/>
      <c r="DB386" s="39"/>
      <c r="DC386" s="39"/>
      <c r="DD386" s="39"/>
      <c r="DE386" s="39"/>
      <c r="DF386" s="39"/>
      <c r="DG386" s="39"/>
      <c r="DH386" s="39"/>
      <c r="DI386" s="39"/>
      <c r="DJ386" s="39"/>
      <c r="DK386" s="39"/>
      <c r="DL386" s="39"/>
      <c r="DM386" s="39"/>
      <c r="DN386" s="39"/>
      <c r="DO386" s="39"/>
      <c r="DP386" s="39"/>
      <c r="DQ386" s="39"/>
      <c r="DR386" s="39"/>
      <c r="DS386" s="39"/>
      <c r="DT386" s="39"/>
      <c r="DU386" s="39"/>
      <c r="DV386" s="39"/>
      <c r="DW386" s="39"/>
      <c r="DX386" s="39"/>
      <c r="DY386" s="39"/>
      <c r="DZ386" s="39"/>
      <c r="EA386" s="39"/>
      <c r="EB386" s="39"/>
      <c r="EC386" s="39"/>
      <c r="ED386" s="39"/>
      <c r="EE386" s="39"/>
      <c r="EF386" s="39"/>
      <c r="EG386" s="39"/>
      <c r="EH386" s="39"/>
      <c r="EI386" s="39"/>
      <c r="EJ386" s="39"/>
      <c r="EK386" s="39"/>
      <c r="EL386" s="39"/>
      <c r="EM386" s="39"/>
      <c r="EN386" s="39"/>
      <c r="EO386" s="39"/>
      <c r="EP386" s="39"/>
      <c r="EQ386" s="39"/>
      <c r="ER386" s="39"/>
      <c r="ES386" s="39"/>
      <c r="ET386" s="39"/>
      <c r="EU386" s="39"/>
      <c r="EV386" s="39"/>
      <c r="EW386" s="39"/>
      <c r="EX386" s="39"/>
      <c r="EY386" s="39"/>
      <c r="EZ386" s="39"/>
      <c r="FA386" s="39"/>
      <c r="FB386" s="39"/>
      <c r="FC386" s="39"/>
      <c r="FD386" s="39"/>
      <c r="FE386" s="39"/>
      <c r="FF386" s="39"/>
      <c r="FG386" s="39"/>
      <c r="FH386" s="39"/>
      <c r="FI386" s="39"/>
      <c r="FJ386" s="39"/>
      <c r="FK386" s="39"/>
      <c r="FL386" s="39"/>
      <c r="FM386" s="39"/>
      <c r="FN386" s="75">
        <f t="shared" si="17"/>
        <v>0</v>
      </c>
    </row>
    <row r="387" spans="1:170" s="5" customFormat="1" ht="12" customHeight="1" x14ac:dyDescent="0.25">
      <c r="A387" s="44" t="s">
        <v>231</v>
      </c>
      <c r="B387" s="74">
        <f t="shared" si="21"/>
        <v>0</v>
      </c>
      <c r="C387" s="66">
        <v>10</v>
      </c>
      <c r="D387" s="68">
        <v>44739</v>
      </c>
      <c r="E387" s="76">
        <v>46.83</v>
      </c>
      <c r="F387" s="76">
        <f t="shared" si="20"/>
        <v>0</v>
      </c>
      <c r="G387" s="74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16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  <c r="CR387" s="39"/>
      <c r="CS387" s="39"/>
      <c r="CT387" s="39"/>
      <c r="CU387" s="39"/>
      <c r="CV387" s="39"/>
      <c r="CW387" s="39"/>
      <c r="CX387" s="39"/>
      <c r="CY387" s="39"/>
      <c r="CZ387" s="39"/>
      <c r="DA387" s="39"/>
      <c r="DB387" s="39"/>
      <c r="DC387" s="39"/>
      <c r="DD387" s="39"/>
      <c r="DE387" s="39"/>
      <c r="DF387" s="39"/>
      <c r="DG387" s="39"/>
      <c r="DH387" s="39"/>
      <c r="DI387" s="39"/>
      <c r="DJ387" s="39"/>
      <c r="DK387" s="39"/>
      <c r="DL387" s="39"/>
      <c r="DM387" s="39"/>
      <c r="DN387" s="39"/>
      <c r="DO387" s="39"/>
      <c r="DP387" s="39"/>
      <c r="DQ387" s="39"/>
      <c r="DR387" s="39"/>
      <c r="DS387" s="39"/>
      <c r="DT387" s="39"/>
      <c r="DU387" s="39"/>
      <c r="DV387" s="39"/>
      <c r="DW387" s="39"/>
      <c r="DX387" s="39"/>
      <c r="DY387" s="39"/>
      <c r="DZ387" s="39"/>
      <c r="EA387" s="39"/>
      <c r="EB387" s="39"/>
      <c r="EC387" s="39"/>
      <c r="ED387" s="39"/>
      <c r="EE387" s="39"/>
      <c r="EF387" s="39"/>
      <c r="EG387" s="39"/>
      <c r="EH387" s="39"/>
      <c r="EI387" s="39"/>
      <c r="EJ387" s="39"/>
      <c r="EK387" s="39"/>
      <c r="EL387" s="39"/>
      <c r="EM387" s="39"/>
      <c r="EN387" s="39"/>
      <c r="EO387" s="39"/>
      <c r="EP387" s="39"/>
      <c r="EQ387" s="39"/>
      <c r="ER387" s="39"/>
      <c r="ES387" s="39"/>
      <c r="ET387" s="39"/>
      <c r="EU387" s="39"/>
      <c r="EV387" s="39"/>
      <c r="EW387" s="39"/>
      <c r="EX387" s="39"/>
      <c r="EY387" s="39"/>
      <c r="EZ387" s="39"/>
      <c r="FA387" s="39"/>
      <c r="FB387" s="39"/>
      <c r="FC387" s="39"/>
      <c r="FD387" s="39"/>
      <c r="FE387" s="39"/>
      <c r="FF387" s="39"/>
      <c r="FG387" s="39"/>
      <c r="FH387" s="39"/>
      <c r="FI387" s="39"/>
      <c r="FJ387" s="39"/>
      <c r="FK387" s="39"/>
      <c r="FL387" s="39"/>
      <c r="FM387" s="39"/>
      <c r="FN387" s="75">
        <f t="shared" si="17"/>
        <v>0</v>
      </c>
    </row>
    <row r="388" spans="1:170" s="5" customFormat="1" ht="12" customHeight="1" x14ac:dyDescent="0.25">
      <c r="A388" s="44" t="s">
        <v>205</v>
      </c>
      <c r="B388" s="74">
        <f t="shared" si="21"/>
        <v>0</v>
      </c>
      <c r="C388" s="66">
        <v>4.5</v>
      </c>
      <c r="D388" s="68">
        <v>44897</v>
      </c>
      <c r="E388" s="76">
        <v>143.9</v>
      </c>
      <c r="F388" s="76">
        <f t="shared" si="20"/>
        <v>0</v>
      </c>
      <c r="G388" s="74">
        <v>157.5</v>
      </c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16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>
        <v>108</v>
      </c>
      <c r="BU388" s="39">
        <v>49.5</v>
      </c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  <c r="CR388" s="39"/>
      <c r="CS388" s="39"/>
      <c r="CT388" s="39"/>
      <c r="CU388" s="39"/>
      <c r="CV388" s="39"/>
      <c r="CW388" s="39"/>
      <c r="CX388" s="39"/>
      <c r="CY388" s="39"/>
      <c r="CZ388" s="39"/>
      <c r="DA388" s="39"/>
      <c r="DB388" s="39"/>
      <c r="DC388" s="39"/>
      <c r="DD388" s="39"/>
      <c r="DE388" s="39"/>
      <c r="DF388" s="39"/>
      <c r="DG388" s="39"/>
      <c r="DH388" s="39"/>
      <c r="DI388" s="39"/>
      <c r="DJ388" s="39"/>
      <c r="DK388" s="39"/>
      <c r="DL388" s="39"/>
      <c r="DM388" s="39"/>
      <c r="DN388" s="39"/>
      <c r="DO388" s="39"/>
      <c r="DP388" s="39"/>
      <c r="DQ388" s="39"/>
      <c r="DR388" s="39"/>
      <c r="DS388" s="39"/>
      <c r="DT388" s="39"/>
      <c r="DU388" s="39"/>
      <c r="DV388" s="39"/>
      <c r="DW388" s="39"/>
      <c r="DX388" s="39"/>
      <c r="DY388" s="39"/>
      <c r="DZ388" s="39"/>
      <c r="EA388" s="39"/>
      <c r="EB388" s="39"/>
      <c r="EC388" s="39"/>
      <c r="ED388" s="39"/>
      <c r="EE388" s="39"/>
      <c r="EF388" s="39"/>
      <c r="EG388" s="39"/>
      <c r="EH388" s="39"/>
      <c r="EI388" s="39"/>
      <c r="EJ388" s="39"/>
      <c r="EK388" s="39"/>
      <c r="EL388" s="39"/>
      <c r="EM388" s="39"/>
      <c r="EN388" s="39"/>
      <c r="EO388" s="39"/>
      <c r="EP388" s="39"/>
      <c r="EQ388" s="39"/>
      <c r="ER388" s="39"/>
      <c r="ES388" s="39"/>
      <c r="ET388" s="39"/>
      <c r="EU388" s="39"/>
      <c r="EV388" s="39"/>
      <c r="EW388" s="39"/>
      <c r="EX388" s="39"/>
      <c r="EY388" s="39"/>
      <c r="EZ388" s="39"/>
      <c r="FA388" s="39"/>
      <c r="FB388" s="39"/>
      <c r="FC388" s="39"/>
      <c r="FD388" s="39"/>
      <c r="FE388" s="39"/>
      <c r="FF388" s="39"/>
      <c r="FG388" s="39"/>
      <c r="FH388" s="39"/>
      <c r="FI388" s="39"/>
      <c r="FJ388" s="39"/>
      <c r="FK388" s="39"/>
      <c r="FL388" s="39"/>
      <c r="FM388" s="39"/>
      <c r="FN388" s="75">
        <f t="shared" si="17"/>
        <v>0</v>
      </c>
    </row>
    <row r="389" spans="1:170" s="5" customFormat="1" ht="12" customHeight="1" x14ac:dyDescent="0.25">
      <c r="A389" s="44" t="s">
        <v>205</v>
      </c>
      <c r="B389" s="74">
        <f t="shared" si="21"/>
        <v>166.5</v>
      </c>
      <c r="C389" s="66">
        <v>4.5</v>
      </c>
      <c r="D389" s="68">
        <v>44914</v>
      </c>
      <c r="E389" s="76">
        <v>151.27000000000001</v>
      </c>
      <c r="F389" s="76">
        <f t="shared" si="20"/>
        <v>25186.455000000002</v>
      </c>
      <c r="G389" s="74">
        <v>198</v>
      </c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16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>
        <v>22.5</v>
      </c>
      <c r="BV389" s="39">
        <v>9</v>
      </c>
      <c r="BW389" s="39">
        <v>166.5</v>
      </c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  <c r="CR389" s="39"/>
      <c r="CS389" s="39"/>
      <c r="CT389" s="39"/>
      <c r="CU389" s="39"/>
      <c r="CV389" s="39"/>
      <c r="CW389" s="39"/>
      <c r="CX389" s="39"/>
      <c r="CY389" s="39"/>
      <c r="CZ389" s="39"/>
      <c r="DA389" s="39"/>
      <c r="DB389" s="39"/>
      <c r="DC389" s="39"/>
      <c r="DD389" s="39"/>
      <c r="DE389" s="39"/>
      <c r="DF389" s="39"/>
      <c r="DG389" s="39"/>
      <c r="DH389" s="39"/>
      <c r="DI389" s="39"/>
      <c r="DJ389" s="39"/>
      <c r="DK389" s="39"/>
      <c r="DL389" s="39"/>
      <c r="DM389" s="39"/>
      <c r="DN389" s="39"/>
      <c r="DO389" s="39"/>
      <c r="DP389" s="39"/>
      <c r="DQ389" s="39"/>
      <c r="DR389" s="39"/>
      <c r="DS389" s="39"/>
      <c r="DT389" s="39"/>
      <c r="DU389" s="39"/>
      <c r="DV389" s="39"/>
      <c r="DW389" s="39"/>
      <c r="DX389" s="39"/>
      <c r="DY389" s="39"/>
      <c r="DZ389" s="39"/>
      <c r="EA389" s="39"/>
      <c r="EB389" s="39"/>
      <c r="EC389" s="39"/>
      <c r="ED389" s="39"/>
      <c r="EE389" s="39"/>
      <c r="EF389" s="39"/>
      <c r="EG389" s="39"/>
      <c r="EH389" s="39"/>
      <c r="EI389" s="39"/>
      <c r="EJ389" s="39"/>
      <c r="EK389" s="39"/>
      <c r="EL389" s="39"/>
      <c r="EM389" s="39"/>
      <c r="EN389" s="39"/>
      <c r="EO389" s="39"/>
      <c r="EP389" s="39"/>
      <c r="EQ389" s="39"/>
      <c r="ER389" s="39"/>
      <c r="ES389" s="39"/>
      <c r="ET389" s="39"/>
      <c r="EU389" s="39"/>
      <c r="EV389" s="39"/>
      <c r="EW389" s="39"/>
      <c r="EX389" s="39"/>
      <c r="EY389" s="39"/>
      <c r="EZ389" s="39"/>
      <c r="FA389" s="39"/>
      <c r="FB389" s="39"/>
      <c r="FC389" s="39"/>
      <c r="FD389" s="39"/>
      <c r="FE389" s="39"/>
      <c r="FF389" s="39"/>
      <c r="FG389" s="39"/>
      <c r="FH389" s="39"/>
      <c r="FI389" s="39"/>
      <c r="FJ389" s="39"/>
      <c r="FK389" s="39"/>
      <c r="FL389" s="39"/>
      <c r="FM389" s="39"/>
      <c r="FN389" s="75">
        <f t="shared" si="17"/>
        <v>0</v>
      </c>
    </row>
    <row r="390" spans="1:170" s="5" customFormat="1" ht="12" customHeight="1" x14ac:dyDescent="0.25">
      <c r="A390" s="44" t="s">
        <v>535</v>
      </c>
      <c r="B390" s="74">
        <f t="shared" si="21"/>
        <v>0</v>
      </c>
      <c r="C390" s="66">
        <v>0.8</v>
      </c>
      <c r="D390" s="68">
        <v>44893</v>
      </c>
      <c r="E390" s="76">
        <v>72.290000000000006</v>
      </c>
      <c r="F390" s="76">
        <f t="shared" si="20"/>
        <v>0</v>
      </c>
      <c r="G390" s="74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16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  <c r="CR390" s="39"/>
      <c r="CS390" s="39"/>
      <c r="CT390" s="39"/>
      <c r="CU390" s="39"/>
      <c r="CV390" s="39"/>
      <c r="CW390" s="39"/>
      <c r="CX390" s="39"/>
      <c r="CY390" s="39"/>
      <c r="CZ390" s="39"/>
      <c r="DA390" s="39"/>
      <c r="DB390" s="39"/>
      <c r="DC390" s="39"/>
      <c r="DD390" s="39"/>
      <c r="DE390" s="39"/>
      <c r="DF390" s="39"/>
      <c r="DG390" s="39"/>
      <c r="DH390" s="39"/>
      <c r="DI390" s="39"/>
      <c r="DJ390" s="39"/>
      <c r="DK390" s="39"/>
      <c r="DL390" s="39"/>
      <c r="DM390" s="39"/>
      <c r="DN390" s="39"/>
      <c r="DO390" s="39"/>
      <c r="DP390" s="39"/>
      <c r="DQ390" s="39"/>
      <c r="DR390" s="39"/>
      <c r="DS390" s="39"/>
      <c r="DT390" s="39"/>
      <c r="DU390" s="39"/>
      <c r="DV390" s="39"/>
      <c r="DW390" s="39"/>
      <c r="DX390" s="39"/>
      <c r="DY390" s="39"/>
      <c r="DZ390" s="39"/>
      <c r="EA390" s="39"/>
      <c r="EB390" s="39"/>
      <c r="EC390" s="39"/>
      <c r="ED390" s="39"/>
      <c r="EE390" s="39"/>
      <c r="EF390" s="39"/>
      <c r="EG390" s="39"/>
      <c r="EH390" s="39"/>
      <c r="EI390" s="39"/>
      <c r="EJ390" s="39"/>
      <c r="EK390" s="39"/>
      <c r="EL390" s="39"/>
      <c r="EM390" s="39"/>
      <c r="EN390" s="39"/>
      <c r="EO390" s="39"/>
      <c r="EP390" s="39"/>
      <c r="EQ390" s="39"/>
      <c r="ER390" s="39"/>
      <c r="ES390" s="39"/>
      <c r="ET390" s="39"/>
      <c r="EU390" s="39"/>
      <c r="EV390" s="39"/>
      <c r="EW390" s="39"/>
      <c r="EX390" s="39"/>
      <c r="EY390" s="39"/>
      <c r="EZ390" s="39"/>
      <c r="FA390" s="39"/>
      <c r="FB390" s="39"/>
      <c r="FC390" s="39"/>
      <c r="FD390" s="39"/>
      <c r="FE390" s="39"/>
      <c r="FF390" s="39"/>
      <c r="FG390" s="39"/>
      <c r="FH390" s="39"/>
      <c r="FI390" s="39"/>
      <c r="FJ390" s="39"/>
      <c r="FK390" s="39"/>
      <c r="FL390" s="39"/>
      <c r="FM390" s="39"/>
      <c r="FN390" s="75">
        <f t="shared" si="17"/>
        <v>0</v>
      </c>
    </row>
    <row r="391" spans="1:170" s="5" customFormat="1" ht="12" customHeight="1" x14ac:dyDescent="0.25">
      <c r="A391" s="44" t="s">
        <v>503</v>
      </c>
      <c r="B391" s="74">
        <f t="shared" si="21"/>
        <v>5</v>
      </c>
      <c r="C391" s="66">
        <v>5</v>
      </c>
      <c r="D391" s="68">
        <v>44897</v>
      </c>
      <c r="E391" s="76">
        <v>102.58</v>
      </c>
      <c r="F391" s="76">
        <f t="shared" si="20"/>
        <v>512.9</v>
      </c>
      <c r="G391" s="74">
        <v>10</v>
      </c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16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  <c r="CR391" s="39"/>
      <c r="CS391" s="39"/>
      <c r="CT391" s="39"/>
      <c r="CU391" s="39">
        <v>5</v>
      </c>
      <c r="CV391" s="39"/>
      <c r="CW391" s="39">
        <v>5</v>
      </c>
      <c r="CX391" s="39"/>
      <c r="CY391" s="39"/>
      <c r="CZ391" s="39"/>
      <c r="DA391" s="39"/>
      <c r="DB391" s="39"/>
      <c r="DC391" s="39"/>
      <c r="DD391" s="39"/>
      <c r="DE391" s="39"/>
      <c r="DF391" s="39"/>
      <c r="DG391" s="39"/>
      <c r="DH391" s="39"/>
      <c r="DI391" s="39"/>
      <c r="DJ391" s="39"/>
      <c r="DK391" s="39"/>
      <c r="DL391" s="39"/>
      <c r="DM391" s="39"/>
      <c r="DN391" s="39"/>
      <c r="DO391" s="39"/>
      <c r="DP391" s="39"/>
      <c r="DQ391" s="39"/>
      <c r="DR391" s="39"/>
      <c r="DS391" s="39"/>
      <c r="DT391" s="39"/>
      <c r="DU391" s="39"/>
      <c r="DV391" s="39"/>
      <c r="DW391" s="39"/>
      <c r="DX391" s="39"/>
      <c r="DY391" s="39"/>
      <c r="DZ391" s="39"/>
      <c r="EA391" s="39"/>
      <c r="EB391" s="39"/>
      <c r="EC391" s="39"/>
      <c r="ED391" s="39"/>
      <c r="EE391" s="39"/>
      <c r="EF391" s="39"/>
      <c r="EG391" s="39"/>
      <c r="EH391" s="39"/>
      <c r="EI391" s="39"/>
      <c r="EJ391" s="39"/>
      <c r="EK391" s="39"/>
      <c r="EL391" s="39"/>
      <c r="EM391" s="39"/>
      <c r="EN391" s="39"/>
      <c r="EO391" s="39"/>
      <c r="EP391" s="39"/>
      <c r="EQ391" s="39"/>
      <c r="ER391" s="39"/>
      <c r="ES391" s="39"/>
      <c r="ET391" s="39"/>
      <c r="EU391" s="39"/>
      <c r="EV391" s="39"/>
      <c r="EW391" s="39"/>
      <c r="EX391" s="39"/>
      <c r="EY391" s="39"/>
      <c r="EZ391" s="39"/>
      <c r="FA391" s="39"/>
      <c r="FB391" s="39"/>
      <c r="FC391" s="39"/>
      <c r="FD391" s="39"/>
      <c r="FE391" s="39"/>
      <c r="FF391" s="39"/>
      <c r="FG391" s="39"/>
      <c r="FH391" s="39"/>
      <c r="FI391" s="39"/>
      <c r="FJ391" s="39"/>
      <c r="FK391" s="39"/>
      <c r="FL391" s="39"/>
      <c r="FM391" s="39"/>
      <c r="FN391" s="75">
        <f t="shared" si="17"/>
        <v>0</v>
      </c>
    </row>
    <row r="392" spans="1:170" s="5" customFormat="1" ht="12" customHeight="1" x14ac:dyDescent="0.25">
      <c r="A392" s="44" t="s">
        <v>503</v>
      </c>
      <c r="B392" s="74">
        <f t="shared" si="21"/>
        <v>10</v>
      </c>
      <c r="C392" s="66">
        <v>5</v>
      </c>
      <c r="D392" s="68">
        <v>44914</v>
      </c>
      <c r="E392" s="76">
        <v>107.83</v>
      </c>
      <c r="F392" s="76">
        <f t="shared" si="20"/>
        <v>1078.3</v>
      </c>
      <c r="G392" s="74">
        <v>10</v>
      </c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16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  <c r="CR392" s="39"/>
      <c r="CS392" s="39"/>
      <c r="CT392" s="39"/>
      <c r="CU392" s="39"/>
      <c r="CV392" s="39"/>
      <c r="CW392" s="39">
        <v>10</v>
      </c>
      <c r="CX392" s="39"/>
      <c r="CY392" s="39"/>
      <c r="CZ392" s="39"/>
      <c r="DA392" s="39"/>
      <c r="DB392" s="39"/>
      <c r="DC392" s="39"/>
      <c r="DD392" s="39"/>
      <c r="DE392" s="39"/>
      <c r="DF392" s="39"/>
      <c r="DG392" s="39"/>
      <c r="DH392" s="39"/>
      <c r="DI392" s="39"/>
      <c r="DJ392" s="39"/>
      <c r="DK392" s="39"/>
      <c r="DL392" s="39"/>
      <c r="DM392" s="39"/>
      <c r="DN392" s="39"/>
      <c r="DO392" s="39"/>
      <c r="DP392" s="39"/>
      <c r="DQ392" s="39"/>
      <c r="DR392" s="39"/>
      <c r="DS392" s="39"/>
      <c r="DT392" s="39"/>
      <c r="DU392" s="39"/>
      <c r="DV392" s="39"/>
      <c r="DW392" s="39"/>
      <c r="DX392" s="39"/>
      <c r="DY392" s="39"/>
      <c r="DZ392" s="39"/>
      <c r="EA392" s="39"/>
      <c r="EB392" s="39"/>
      <c r="EC392" s="39"/>
      <c r="ED392" s="39"/>
      <c r="EE392" s="39"/>
      <c r="EF392" s="39"/>
      <c r="EG392" s="39"/>
      <c r="EH392" s="39"/>
      <c r="EI392" s="39"/>
      <c r="EJ392" s="39"/>
      <c r="EK392" s="39"/>
      <c r="EL392" s="39"/>
      <c r="EM392" s="39"/>
      <c r="EN392" s="39"/>
      <c r="EO392" s="39"/>
      <c r="EP392" s="39"/>
      <c r="EQ392" s="39"/>
      <c r="ER392" s="39"/>
      <c r="ES392" s="39"/>
      <c r="ET392" s="39"/>
      <c r="EU392" s="39"/>
      <c r="EV392" s="39"/>
      <c r="EW392" s="39"/>
      <c r="EX392" s="39"/>
      <c r="EY392" s="39"/>
      <c r="EZ392" s="39"/>
      <c r="FA392" s="39"/>
      <c r="FB392" s="39"/>
      <c r="FC392" s="39"/>
      <c r="FD392" s="39"/>
      <c r="FE392" s="39"/>
      <c r="FF392" s="39"/>
      <c r="FG392" s="39"/>
      <c r="FH392" s="39"/>
      <c r="FI392" s="39"/>
      <c r="FJ392" s="39"/>
      <c r="FK392" s="39"/>
      <c r="FL392" s="39"/>
      <c r="FM392" s="39"/>
      <c r="FN392" s="75">
        <f t="shared" si="17"/>
        <v>0</v>
      </c>
    </row>
    <row r="393" spans="1:170" s="5" customFormat="1" ht="12" customHeight="1" x14ac:dyDescent="0.25">
      <c r="A393" s="44" t="s">
        <v>197</v>
      </c>
      <c r="B393" s="74">
        <f t="shared" si="21"/>
        <v>0</v>
      </c>
      <c r="C393" s="66">
        <v>1</v>
      </c>
      <c r="D393" s="68">
        <v>44886</v>
      </c>
      <c r="E393" s="76">
        <v>40.54</v>
      </c>
      <c r="F393" s="76">
        <f t="shared" si="20"/>
        <v>0</v>
      </c>
      <c r="G393" s="74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16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  <c r="CR393" s="39"/>
      <c r="CS393" s="39"/>
      <c r="CT393" s="39"/>
      <c r="CU393" s="39"/>
      <c r="CV393" s="39"/>
      <c r="CW393" s="39"/>
      <c r="CX393" s="39"/>
      <c r="CY393" s="39"/>
      <c r="CZ393" s="39"/>
      <c r="DA393" s="39"/>
      <c r="DB393" s="39"/>
      <c r="DC393" s="39"/>
      <c r="DD393" s="39"/>
      <c r="DE393" s="39"/>
      <c r="DF393" s="39"/>
      <c r="DG393" s="39"/>
      <c r="DH393" s="39"/>
      <c r="DI393" s="39"/>
      <c r="DJ393" s="39"/>
      <c r="DK393" s="39"/>
      <c r="DL393" s="39"/>
      <c r="DM393" s="39"/>
      <c r="DN393" s="39"/>
      <c r="DO393" s="39"/>
      <c r="DP393" s="39"/>
      <c r="DQ393" s="39"/>
      <c r="DR393" s="39"/>
      <c r="DS393" s="39"/>
      <c r="DT393" s="39"/>
      <c r="DU393" s="39"/>
      <c r="DV393" s="39"/>
      <c r="DW393" s="39"/>
      <c r="DX393" s="39"/>
      <c r="DY393" s="39"/>
      <c r="DZ393" s="39"/>
      <c r="EA393" s="39"/>
      <c r="EB393" s="39"/>
      <c r="EC393" s="39"/>
      <c r="ED393" s="39"/>
      <c r="EE393" s="39"/>
      <c r="EF393" s="39"/>
      <c r="EG393" s="39"/>
      <c r="EH393" s="39"/>
      <c r="EI393" s="39"/>
      <c r="EJ393" s="39"/>
      <c r="EK393" s="39"/>
      <c r="EL393" s="39"/>
      <c r="EM393" s="39"/>
      <c r="EN393" s="39"/>
      <c r="EO393" s="39"/>
      <c r="EP393" s="39"/>
      <c r="EQ393" s="39"/>
      <c r="ER393" s="39"/>
      <c r="ES393" s="39"/>
      <c r="ET393" s="39"/>
      <c r="EU393" s="39"/>
      <c r="EV393" s="39"/>
      <c r="EW393" s="39"/>
      <c r="EX393" s="39"/>
      <c r="EY393" s="39"/>
      <c r="EZ393" s="39"/>
      <c r="FA393" s="39"/>
      <c r="FB393" s="39"/>
      <c r="FC393" s="39"/>
      <c r="FD393" s="39"/>
      <c r="FE393" s="39"/>
      <c r="FF393" s="39"/>
      <c r="FG393" s="39"/>
      <c r="FH393" s="39"/>
      <c r="FI393" s="39"/>
      <c r="FJ393" s="39"/>
      <c r="FK393" s="39"/>
      <c r="FL393" s="39"/>
      <c r="FM393" s="39"/>
      <c r="FN393" s="75">
        <f t="shared" si="17"/>
        <v>0</v>
      </c>
    </row>
    <row r="394" spans="1:170" s="5" customFormat="1" ht="15.6" x14ac:dyDescent="0.3">
      <c r="A394" s="19" t="s">
        <v>21</v>
      </c>
      <c r="B394" s="101">
        <f>SUM(B315:B393)</f>
        <v>477.5</v>
      </c>
      <c r="C394" s="65"/>
      <c r="D394" s="72"/>
      <c r="E394" s="71"/>
      <c r="F394" s="76">
        <f t="shared" si="20"/>
        <v>0</v>
      </c>
      <c r="G394" s="20">
        <f>SUM(G315:G393)</f>
        <v>844.5</v>
      </c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153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  <c r="CR394" s="39"/>
      <c r="CS394" s="39"/>
      <c r="CT394" s="39"/>
      <c r="CU394" s="39"/>
      <c r="CV394" s="39"/>
      <c r="CW394" s="39"/>
      <c r="CX394" s="39"/>
      <c r="CY394" s="39"/>
      <c r="CZ394" s="39"/>
      <c r="DA394" s="39"/>
      <c r="DB394" s="39"/>
      <c r="DC394" s="39"/>
      <c r="DD394" s="39"/>
      <c r="DE394" s="39"/>
      <c r="DF394" s="39"/>
      <c r="DG394" s="39"/>
      <c r="DH394" s="39"/>
      <c r="DI394" s="39"/>
      <c r="DJ394" s="39"/>
      <c r="DK394" s="39"/>
      <c r="DL394" s="39"/>
      <c r="DM394" s="39"/>
      <c r="DN394" s="39"/>
      <c r="DO394" s="39"/>
      <c r="DP394" s="39"/>
      <c r="DQ394" s="39"/>
      <c r="DR394" s="39"/>
      <c r="DS394" s="39"/>
      <c r="DT394" s="39"/>
      <c r="DU394" s="39"/>
      <c r="DV394" s="39"/>
      <c r="DW394" s="39"/>
      <c r="DX394" s="39"/>
      <c r="DY394" s="39"/>
      <c r="DZ394" s="39"/>
      <c r="EA394" s="39"/>
      <c r="EB394" s="39"/>
      <c r="EC394" s="39"/>
      <c r="ED394" s="39"/>
      <c r="EE394" s="39"/>
      <c r="EF394" s="39"/>
      <c r="EG394" s="39"/>
      <c r="EH394" s="39"/>
      <c r="EI394" s="39"/>
      <c r="EJ394" s="39"/>
      <c r="EK394" s="39"/>
      <c r="EL394" s="39"/>
      <c r="EM394" s="39"/>
      <c r="EN394" s="39"/>
      <c r="EO394" s="39"/>
      <c r="EP394" s="39"/>
      <c r="EQ394" s="39"/>
      <c r="ER394" s="39"/>
      <c r="ES394" s="39"/>
      <c r="ET394" s="39"/>
      <c r="EU394" s="39"/>
      <c r="EV394" s="39"/>
      <c r="EW394" s="39"/>
      <c r="EX394" s="39"/>
      <c r="EY394" s="39"/>
      <c r="EZ394" s="39"/>
      <c r="FA394" s="39"/>
      <c r="FB394" s="39"/>
      <c r="FC394" s="39"/>
      <c r="FD394" s="39"/>
      <c r="FE394" s="39"/>
      <c r="FF394" s="39"/>
      <c r="FG394" s="39"/>
      <c r="FH394" s="39"/>
      <c r="FI394" s="39"/>
      <c r="FJ394" s="39"/>
      <c r="FK394" s="39"/>
      <c r="FL394" s="39"/>
      <c r="FM394" s="39"/>
      <c r="FN394" s="20">
        <f t="shared" si="17"/>
        <v>477.5</v>
      </c>
    </row>
    <row r="395" spans="1:170" s="5" customFormat="1" ht="14.25" customHeight="1" x14ac:dyDescent="0.3">
      <c r="A395" s="60" t="s">
        <v>372</v>
      </c>
      <c r="B395" s="75">
        <f t="shared" ref="B395:B402" si="22">SUMIF(G$3:FM$3,"прих",G395:FM395)-SUMIF(G$3:FM$3,"отгр",G395:FM395)</f>
        <v>0</v>
      </c>
      <c r="C395" s="111">
        <v>25</v>
      </c>
      <c r="D395" s="89">
        <v>44669</v>
      </c>
      <c r="E395" s="79">
        <v>100.86</v>
      </c>
      <c r="F395" s="76">
        <f t="shared" si="20"/>
        <v>0</v>
      </c>
      <c r="G395" s="20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153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  <c r="CR395" s="39"/>
      <c r="CS395" s="39"/>
      <c r="CT395" s="39"/>
      <c r="CU395" s="39"/>
      <c r="CV395" s="39"/>
      <c r="CW395" s="39"/>
      <c r="CX395" s="39"/>
      <c r="CY395" s="39"/>
      <c r="CZ395" s="39"/>
      <c r="DA395" s="39"/>
      <c r="DB395" s="39"/>
      <c r="DC395" s="39"/>
      <c r="DD395" s="39"/>
      <c r="DE395" s="39"/>
      <c r="DF395" s="39"/>
      <c r="DG395" s="39"/>
      <c r="DH395" s="39"/>
      <c r="DI395" s="39"/>
      <c r="DJ395" s="39"/>
      <c r="DK395" s="39"/>
      <c r="DL395" s="39"/>
      <c r="DM395" s="39"/>
      <c r="DN395" s="39"/>
      <c r="DO395" s="39"/>
      <c r="DP395" s="39"/>
      <c r="DQ395" s="39"/>
      <c r="DR395" s="39"/>
      <c r="DS395" s="39"/>
      <c r="DT395" s="39"/>
      <c r="DU395" s="39"/>
      <c r="DV395" s="39"/>
      <c r="DW395" s="39"/>
      <c r="DX395" s="39"/>
      <c r="DY395" s="39"/>
      <c r="DZ395" s="39"/>
      <c r="EA395" s="39"/>
      <c r="EB395" s="39"/>
      <c r="EC395" s="39"/>
      <c r="ED395" s="39"/>
      <c r="EE395" s="39"/>
      <c r="EF395" s="39"/>
      <c r="EG395" s="39"/>
      <c r="EH395" s="39"/>
      <c r="EI395" s="39"/>
      <c r="EJ395" s="39"/>
      <c r="EK395" s="39"/>
      <c r="EL395" s="39"/>
      <c r="EM395" s="39"/>
      <c r="EN395" s="39"/>
      <c r="EO395" s="39"/>
      <c r="EP395" s="39"/>
      <c r="EQ395" s="39"/>
      <c r="ER395" s="39"/>
      <c r="ES395" s="39"/>
      <c r="ET395" s="39"/>
      <c r="EU395" s="39"/>
      <c r="EV395" s="39"/>
      <c r="EW395" s="39"/>
      <c r="EX395" s="39"/>
      <c r="EY395" s="39"/>
      <c r="EZ395" s="39"/>
      <c r="FA395" s="39"/>
      <c r="FB395" s="39"/>
      <c r="FC395" s="39"/>
      <c r="FD395" s="39"/>
      <c r="FE395" s="39"/>
      <c r="FF395" s="39"/>
      <c r="FG395" s="39"/>
      <c r="FH395" s="39"/>
      <c r="FI395" s="39"/>
      <c r="FJ395" s="39"/>
      <c r="FK395" s="39"/>
      <c r="FL395" s="39"/>
      <c r="FM395" s="39"/>
      <c r="FN395" s="75">
        <f t="shared" si="17"/>
        <v>0</v>
      </c>
    </row>
    <row r="396" spans="1:170" s="5" customFormat="1" x14ac:dyDescent="0.25">
      <c r="A396" s="60" t="s">
        <v>246</v>
      </c>
      <c r="B396" s="75">
        <f t="shared" si="22"/>
        <v>0</v>
      </c>
      <c r="C396" s="66">
        <v>25</v>
      </c>
      <c r="D396" s="73">
        <v>44879</v>
      </c>
      <c r="E396" s="79">
        <v>22.35</v>
      </c>
      <c r="F396" s="76">
        <f t="shared" si="20"/>
        <v>0</v>
      </c>
      <c r="G396" s="74">
        <v>75</v>
      </c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16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  <c r="CR396" s="39"/>
      <c r="CS396" s="39"/>
      <c r="CT396" s="39"/>
      <c r="CU396" s="39"/>
      <c r="CV396" s="39"/>
      <c r="CW396" s="39"/>
      <c r="CX396" s="39"/>
      <c r="CY396" s="39"/>
      <c r="CZ396" s="39"/>
      <c r="DA396" s="39"/>
      <c r="DB396" s="39"/>
      <c r="DC396" s="39"/>
      <c r="DD396" s="39"/>
      <c r="DE396" s="39"/>
      <c r="DF396" s="39"/>
      <c r="DG396" s="39"/>
      <c r="DH396" s="39"/>
      <c r="DI396" s="39"/>
      <c r="DJ396" s="39"/>
      <c r="DK396" s="39"/>
      <c r="DL396" s="39"/>
      <c r="DM396" s="39"/>
      <c r="DN396" s="39"/>
      <c r="DO396" s="39"/>
      <c r="DP396" s="39"/>
      <c r="DQ396" s="39"/>
      <c r="DR396" s="39"/>
      <c r="DS396" s="39"/>
      <c r="DT396" s="39"/>
      <c r="DU396" s="39"/>
      <c r="DV396" s="39"/>
      <c r="DW396" s="39"/>
      <c r="DX396" s="39"/>
      <c r="DY396" s="39"/>
      <c r="DZ396" s="39"/>
      <c r="EA396" s="39"/>
      <c r="EB396" s="39"/>
      <c r="EC396" s="39"/>
      <c r="ED396" s="39"/>
      <c r="EE396" s="39"/>
      <c r="EF396" s="39"/>
      <c r="EG396" s="39"/>
      <c r="EH396" s="39"/>
      <c r="EI396" s="39"/>
      <c r="EJ396" s="39"/>
      <c r="EK396" s="39"/>
      <c r="EL396" s="39"/>
      <c r="EM396" s="39"/>
      <c r="EN396" s="39"/>
      <c r="EO396" s="39"/>
      <c r="EP396" s="39"/>
      <c r="EQ396" s="39"/>
      <c r="ER396" s="39"/>
      <c r="ES396" s="39"/>
      <c r="ET396" s="39"/>
      <c r="EU396" s="39"/>
      <c r="EV396" s="39">
        <v>75</v>
      </c>
      <c r="EW396" s="39"/>
      <c r="EX396" s="39"/>
      <c r="EY396" s="39"/>
      <c r="EZ396" s="39"/>
      <c r="FA396" s="39"/>
      <c r="FB396" s="39"/>
      <c r="FC396" s="39"/>
      <c r="FD396" s="39"/>
      <c r="FE396" s="39"/>
      <c r="FF396" s="39"/>
      <c r="FG396" s="39"/>
      <c r="FH396" s="39"/>
      <c r="FI396" s="39"/>
      <c r="FJ396" s="39"/>
      <c r="FK396" s="39"/>
      <c r="FL396" s="39"/>
      <c r="FM396" s="39"/>
      <c r="FN396" s="75">
        <f t="shared" si="17"/>
        <v>0</v>
      </c>
    </row>
    <row r="397" spans="1:170" s="5" customFormat="1" x14ac:dyDescent="0.25">
      <c r="A397" s="44" t="s">
        <v>130</v>
      </c>
      <c r="B397" s="75">
        <f t="shared" si="22"/>
        <v>60</v>
      </c>
      <c r="C397" s="66">
        <v>5</v>
      </c>
      <c r="D397" s="89">
        <v>44879</v>
      </c>
      <c r="E397" s="79">
        <v>39.78</v>
      </c>
      <c r="F397" s="76">
        <f t="shared" si="20"/>
        <v>2386.8000000000002</v>
      </c>
      <c r="G397" s="74">
        <v>60</v>
      </c>
      <c r="H397" s="39">
        <v>60</v>
      </c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16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  <c r="CR397" s="39"/>
      <c r="CS397" s="39"/>
      <c r="CT397" s="39"/>
      <c r="CU397" s="39"/>
      <c r="CV397" s="39"/>
      <c r="CW397" s="39"/>
      <c r="CX397" s="39"/>
      <c r="CY397" s="39"/>
      <c r="CZ397" s="39"/>
      <c r="DA397" s="39"/>
      <c r="DB397" s="39"/>
      <c r="DC397" s="39"/>
      <c r="DD397" s="39"/>
      <c r="DE397" s="39"/>
      <c r="DF397" s="39"/>
      <c r="DG397" s="39"/>
      <c r="DH397" s="39"/>
      <c r="DI397" s="39"/>
      <c r="DJ397" s="39"/>
      <c r="DK397" s="39"/>
      <c r="DL397" s="39"/>
      <c r="DM397" s="39"/>
      <c r="DN397" s="39"/>
      <c r="DO397" s="39"/>
      <c r="DP397" s="39"/>
      <c r="DQ397" s="39"/>
      <c r="DR397" s="39"/>
      <c r="DS397" s="39"/>
      <c r="DT397" s="39"/>
      <c r="DU397" s="39"/>
      <c r="DV397" s="39"/>
      <c r="DW397" s="39"/>
      <c r="DX397" s="39"/>
      <c r="DY397" s="39"/>
      <c r="DZ397" s="39"/>
      <c r="EA397" s="39"/>
      <c r="EB397" s="39"/>
      <c r="EC397" s="39"/>
      <c r="ED397" s="39"/>
      <c r="EE397" s="39"/>
      <c r="EF397" s="39"/>
      <c r="EG397" s="39"/>
      <c r="EH397" s="39"/>
      <c r="EI397" s="39"/>
      <c r="EJ397" s="39"/>
      <c r="EK397" s="39"/>
      <c r="EL397" s="39"/>
      <c r="EM397" s="39"/>
      <c r="EN397" s="39"/>
      <c r="EO397" s="39"/>
      <c r="EP397" s="39"/>
      <c r="EQ397" s="39"/>
      <c r="ER397" s="39"/>
      <c r="ES397" s="39"/>
      <c r="ET397" s="39"/>
      <c r="EU397" s="39"/>
      <c r="EV397" s="39"/>
      <c r="EW397" s="39"/>
      <c r="EX397" s="39"/>
      <c r="EY397" s="39"/>
      <c r="EZ397" s="39"/>
      <c r="FA397" s="39"/>
      <c r="FB397" s="39"/>
      <c r="FC397" s="39"/>
      <c r="FD397" s="39"/>
      <c r="FE397" s="39"/>
      <c r="FF397" s="39"/>
      <c r="FG397" s="39"/>
      <c r="FH397" s="39"/>
      <c r="FI397" s="39"/>
      <c r="FJ397" s="39"/>
      <c r="FK397" s="39"/>
      <c r="FL397" s="39"/>
      <c r="FM397" s="39"/>
      <c r="FN397" s="75">
        <f t="shared" si="17"/>
        <v>0</v>
      </c>
    </row>
    <row r="398" spans="1:170" s="5" customFormat="1" x14ac:dyDescent="0.25">
      <c r="A398" s="44" t="s">
        <v>52</v>
      </c>
      <c r="B398" s="75">
        <f t="shared" si="22"/>
        <v>25</v>
      </c>
      <c r="C398" s="66">
        <v>25</v>
      </c>
      <c r="D398" s="89">
        <v>44662</v>
      </c>
      <c r="E398" s="79">
        <v>35.29</v>
      </c>
      <c r="F398" s="76">
        <f t="shared" si="20"/>
        <v>882.25</v>
      </c>
      <c r="G398" s="74">
        <v>25</v>
      </c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16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>
        <v>25</v>
      </c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  <c r="CR398" s="39"/>
      <c r="CS398" s="39"/>
      <c r="CT398" s="39"/>
      <c r="CU398" s="39"/>
      <c r="CV398" s="39"/>
      <c r="CW398" s="39"/>
      <c r="CX398" s="39"/>
      <c r="CY398" s="39"/>
      <c r="CZ398" s="39"/>
      <c r="DA398" s="39"/>
      <c r="DB398" s="39"/>
      <c r="DC398" s="39"/>
      <c r="DD398" s="39"/>
      <c r="DE398" s="39"/>
      <c r="DF398" s="39"/>
      <c r="DG398" s="39"/>
      <c r="DH398" s="39"/>
      <c r="DI398" s="39"/>
      <c r="DJ398" s="39"/>
      <c r="DK398" s="39"/>
      <c r="DL398" s="39"/>
      <c r="DM398" s="39"/>
      <c r="DN398" s="39"/>
      <c r="DO398" s="39"/>
      <c r="DP398" s="39"/>
      <c r="DQ398" s="39"/>
      <c r="DR398" s="39"/>
      <c r="DS398" s="39"/>
      <c r="DT398" s="39"/>
      <c r="DU398" s="39"/>
      <c r="DV398" s="39"/>
      <c r="DW398" s="39"/>
      <c r="DX398" s="39"/>
      <c r="DY398" s="39"/>
      <c r="DZ398" s="39"/>
      <c r="EA398" s="39"/>
      <c r="EB398" s="39"/>
      <c r="EC398" s="39"/>
      <c r="ED398" s="39"/>
      <c r="EE398" s="39"/>
      <c r="EF398" s="39"/>
      <c r="EG398" s="39"/>
      <c r="EH398" s="39"/>
      <c r="EI398" s="39"/>
      <c r="EJ398" s="39"/>
      <c r="EK398" s="39"/>
      <c r="EL398" s="39"/>
      <c r="EM398" s="39"/>
      <c r="EN398" s="39"/>
      <c r="EO398" s="39"/>
      <c r="EP398" s="39"/>
      <c r="EQ398" s="39"/>
      <c r="ER398" s="39"/>
      <c r="ES398" s="39"/>
      <c r="ET398" s="39"/>
      <c r="EU398" s="39"/>
      <c r="EV398" s="39"/>
      <c r="EW398" s="39"/>
      <c r="EX398" s="39"/>
      <c r="EY398" s="39"/>
      <c r="EZ398" s="39"/>
      <c r="FA398" s="39"/>
      <c r="FB398" s="39"/>
      <c r="FC398" s="39"/>
      <c r="FD398" s="39"/>
      <c r="FE398" s="39"/>
      <c r="FF398" s="39"/>
      <c r="FG398" s="39"/>
      <c r="FH398" s="39"/>
      <c r="FI398" s="39"/>
      <c r="FJ398" s="39"/>
      <c r="FK398" s="39"/>
      <c r="FL398" s="39"/>
      <c r="FM398" s="39"/>
      <c r="FN398" s="75">
        <f t="shared" ref="FN398:FN404" si="23">$B398-SUMIF($G$3:$KB$3,"",$G398:$KB398)</f>
        <v>0</v>
      </c>
    </row>
    <row r="399" spans="1:170" s="5" customFormat="1" x14ac:dyDescent="0.25">
      <c r="A399" s="60" t="s">
        <v>52</v>
      </c>
      <c r="B399" s="75">
        <f t="shared" si="22"/>
        <v>25</v>
      </c>
      <c r="C399" s="66">
        <v>25</v>
      </c>
      <c r="D399" s="89">
        <v>44879</v>
      </c>
      <c r="E399" s="79">
        <v>27.99</v>
      </c>
      <c r="F399" s="76">
        <f t="shared" si="20"/>
        <v>699.75</v>
      </c>
      <c r="G399" s="74">
        <v>25</v>
      </c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16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>
        <v>25</v>
      </c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  <c r="CR399" s="39"/>
      <c r="CS399" s="39"/>
      <c r="CT399" s="39"/>
      <c r="CU399" s="39"/>
      <c r="CV399" s="39"/>
      <c r="CW399" s="39"/>
      <c r="CX399" s="39"/>
      <c r="CY399" s="39"/>
      <c r="CZ399" s="39"/>
      <c r="DA399" s="39"/>
      <c r="DB399" s="39"/>
      <c r="DC399" s="39"/>
      <c r="DD399" s="39"/>
      <c r="DE399" s="39"/>
      <c r="DF399" s="39"/>
      <c r="DG399" s="39"/>
      <c r="DH399" s="39"/>
      <c r="DI399" s="39"/>
      <c r="DJ399" s="39"/>
      <c r="DK399" s="39"/>
      <c r="DL399" s="39"/>
      <c r="DM399" s="39"/>
      <c r="DN399" s="39"/>
      <c r="DO399" s="39"/>
      <c r="DP399" s="39"/>
      <c r="DQ399" s="39"/>
      <c r="DR399" s="39"/>
      <c r="DS399" s="39"/>
      <c r="DT399" s="39"/>
      <c r="DU399" s="39"/>
      <c r="DV399" s="39"/>
      <c r="DW399" s="39"/>
      <c r="DX399" s="39"/>
      <c r="DY399" s="39"/>
      <c r="DZ399" s="39"/>
      <c r="EA399" s="39"/>
      <c r="EB399" s="39"/>
      <c r="EC399" s="39"/>
      <c r="ED399" s="39"/>
      <c r="EE399" s="39"/>
      <c r="EF399" s="39"/>
      <c r="EG399" s="39"/>
      <c r="EH399" s="39"/>
      <c r="EI399" s="39"/>
      <c r="EJ399" s="39"/>
      <c r="EK399" s="39"/>
      <c r="EL399" s="39"/>
      <c r="EM399" s="39"/>
      <c r="EN399" s="39"/>
      <c r="EO399" s="39"/>
      <c r="EP399" s="39"/>
      <c r="EQ399" s="39"/>
      <c r="ER399" s="39"/>
      <c r="ES399" s="39"/>
      <c r="ET399" s="39"/>
      <c r="EU399" s="39"/>
      <c r="EV399" s="39"/>
      <c r="EW399" s="39"/>
      <c r="EX399" s="39"/>
      <c r="EY399" s="39"/>
      <c r="EZ399" s="39"/>
      <c r="FA399" s="39"/>
      <c r="FB399" s="39"/>
      <c r="FC399" s="39"/>
      <c r="FD399" s="39"/>
      <c r="FE399" s="39"/>
      <c r="FF399" s="39"/>
      <c r="FG399" s="39"/>
      <c r="FH399" s="39"/>
      <c r="FI399" s="39"/>
      <c r="FJ399" s="39"/>
      <c r="FK399" s="39"/>
      <c r="FL399" s="39"/>
      <c r="FM399" s="39"/>
      <c r="FN399" s="75">
        <f t="shared" si="23"/>
        <v>0</v>
      </c>
    </row>
    <row r="400" spans="1:170" s="5" customFormat="1" x14ac:dyDescent="0.25">
      <c r="A400" s="44" t="s">
        <v>145</v>
      </c>
      <c r="B400" s="75">
        <f t="shared" si="22"/>
        <v>0</v>
      </c>
      <c r="C400" s="66">
        <v>25</v>
      </c>
      <c r="D400" s="89">
        <v>44879</v>
      </c>
      <c r="E400" s="79">
        <v>36.19</v>
      </c>
      <c r="F400" s="76">
        <f t="shared" si="20"/>
        <v>0</v>
      </c>
      <c r="G400" s="74">
        <v>425</v>
      </c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16"/>
      <c r="X400" s="39"/>
      <c r="Y400" s="39"/>
      <c r="Z400" s="39"/>
      <c r="AA400" s="39"/>
      <c r="AB400" s="39"/>
      <c r="AC400" s="39"/>
      <c r="AD400" s="39"/>
      <c r="AE400" s="39">
        <v>75</v>
      </c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>
        <v>25</v>
      </c>
      <c r="BG400" s="39">
        <v>150</v>
      </c>
      <c r="BH400" s="39"/>
      <c r="BI400" s="39"/>
      <c r="BJ400" s="39"/>
      <c r="BK400" s="39">
        <v>100</v>
      </c>
      <c r="BL400" s="39">
        <v>75</v>
      </c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  <c r="CR400" s="39"/>
      <c r="CS400" s="39"/>
      <c r="CT400" s="39"/>
      <c r="CU400" s="39"/>
      <c r="CV400" s="39"/>
      <c r="CW400" s="39"/>
      <c r="CX400" s="39"/>
      <c r="CY400" s="39"/>
      <c r="CZ400" s="39"/>
      <c r="DA400" s="39"/>
      <c r="DB400" s="39"/>
      <c r="DC400" s="39"/>
      <c r="DD400" s="39"/>
      <c r="DE400" s="39"/>
      <c r="DF400" s="39"/>
      <c r="DG400" s="39"/>
      <c r="DH400" s="39"/>
      <c r="DI400" s="39"/>
      <c r="DJ400" s="39"/>
      <c r="DK400" s="39"/>
      <c r="DL400" s="39"/>
      <c r="DM400" s="39"/>
      <c r="DN400" s="39"/>
      <c r="DO400" s="39"/>
      <c r="DP400" s="39"/>
      <c r="DQ400" s="39"/>
      <c r="DR400" s="39"/>
      <c r="DS400" s="39"/>
      <c r="DT400" s="39"/>
      <c r="DU400" s="39"/>
      <c r="DV400" s="39"/>
      <c r="DW400" s="39"/>
      <c r="DX400" s="39"/>
      <c r="DY400" s="39"/>
      <c r="DZ400" s="39"/>
      <c r="EA400" s="39"/>
      <c r="EB400" s="39"/>
      <c r="EC400" s="39"/>
      <c r="ED400" s="39"/>
      <c r="EE400" s="39"/>
      <c r="EF400" s="39"/>
      <c r="EG400" s="39"/>
      <c r="EH400" s="39"/>
      <c r="EI400" s="39"/>
      <c r="EJ400" s="39"/>
      <c r="EK400" s="39"/>
      <c r="EL400" s="39"/>
      <c r="EM400" s="39"/>
      <c r="EN400" s="39"/>
      <c r="EO400" s="39"/>
      <c r="EP400" s="39"/>
      <c r="EQ400" s="39"/>
      <c r="ER400" s="39"/>
      <c r="ES400" s="39"/>
      <c r="ET400" s="39"/>
      <c r="EU400" s="39"/>
      <c r="EV400" s="39"/>
      <c r="EW400" s="39"/>
      <c r="EX400" s="39"/>
      <c r="EY400" s="39"/>
      <c r="EZ400" s="39"/>
      <c r="FA400" s="39"/>
      <c r="FB400" s="39"/>
      <c r="FC400" s="39"/>
      <c r="FD400" s="39"/>
      <c r="FE400" s="39"/>
      <c r="FF400" s="39"/>
      <c r="FG400" s="39"/>
      <c r="FH400" s="39"/>
      <c r="FI400" s="39"/>
      <c r="FJ400" s="39"/>
      <c r="FK400" s="39"/>
      <c r="FL400" s="39"/>
      <c r="FM400" s="39"/>
      <c r="FN400" s="75">
        <f t="shared" si="23"/>
        <v>0</v>
      </c>
    </row>
    <row r="401" spans="1:194" s="5" customFormat="1" x14ac:dyDescent="0.25">
      <c r="A401" s="44" t="s">
        <v>145</v>
      </c>
      <c r="B401" s="75">
        <f t="shared" si="22"/>
        <v>575</v>
      </c>
      <c r="C401" s="66">
        <v>25</v>
      </c>
      <c r="D401" s="89">
        <v>44949</v>
      </c>
      <c r="E401" s="79">
        <v>34.6</v>
      </c>
      <c r="F401" s="76">
        <f t="shared" si="20"/>
        <v>19895</v>
      </c>
      <c r="G401" s="74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16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>
        <v>125</v>
      </c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  <c r="BW401" s="39"/>
      <c r="BX401" s="39"/>
      <c r="BY401" s="39"/>
      <c r="BZ401" s="39"/>
      <c r="CA401" s="39"/>
      <c r="CB401" s="39"/>
      <c r="CC401" s="39"/>
      <c r="CD401" s="39"/>
      <c r="CE401" s="39"/>
      <c r="CF401" s="39"/>
      <c r="CG401" s="39"/>
      <c r="CH401" s="39"/>
      <c r="CI401" s="39"/>
      <c r="CJ401" s="39"/>
      <c r="CK401" s="39"/>
      <c r="CL401" s="39"/>
      <c r="CM401" s="39"/>
      <c r="CN401" s="39"/>
      <c r="CO401" s="39"/>
      <c r="CP401" s="39"/>
      <c r="CQ401" s="39"/>
      <c r="CR401" s="39"/>
      <c r="CS401" s="39"/>
      <c r="CT401" s="39"/>
      <c r="CU401" s="39"/>
      <c r="CV401" s="39"/>
      <c r="CW401" s="39"/>
      <c r="CX401" s="39"/>
      <c r="CY401" s="39"/>
      <c r="CZ401" s="39"/>
      <c r="DA401" s="39"/>
      <c r="DB401" s="39"/>
      <c r="DC401" s="39"/>
      <c r="DD401" s="39"/>
      <c r="DE401" s="39"/>
      <c r="DF401" s="39"/>
      <c r="DG401" s="39"/>
      <c r="DH401" s="39"/>
      <c r="DI401" s="39">
        <v>700</v>
      </c>
      <c r="DJ401" s="39"/>
      <c r="DK401" s="39"/>
      <c r="DL401" s="39"/>
      <c r="DM401" s="39"/>
      <c r="DN401" s="39"/>
      <c r="DO401" s="39"/>
      <c r="DP401" s="39"/>
      <c r="DQ401" s="39"/>
      <c r="DR401" s="39"/>
      <c r="DS401" s="39"/>
      <c r="DT401" s="39"/>
      <c r="DU401" s="39"/>
      <c r="DV401" s="39"/>
      <c r="DW401" s="39"/>
      <c r="DX401" s="39"/>
      <c r="DY401" s="39"/>
      <c r="DZ401" s="39"/>
      <c r="EA401" s="39"/>
      <c r="EB401" s="39"/>
      <c r="EC401" s="39"/>
      <c r="ED401" s="39"/>
      <c r="EE401" s="39"/>
      <c r="EF401" s="39"/>
      <c r="EG401" s="39"/>
      <c r="EH401" s="39"/>
      <c r="EI401" s="39"/>
      <c r="EJ401" s="39"/>
      <c r="EK401" s="39"/>
      <c r="EL401" s="39"/>
      <c r="EM401" s="39"/>
      <c r="EN401" s="39"/>
      <c r="EO401" s="39"/>
      <c r="EP401" s="39"/>
      <c r="EQ401" s="39"/>
      <c r="ER401" s="39"/>
      <c r="ES401" s="39"/>
      <c r="ET401" s="39"/>
      <c r="EU401" s="39"/>
      <c r="EV401" s="39"/>
      <c r="EW401" s="39"/>
      <c r="EX401" s="39"/>
      <c r="EY401" s="39"/>
      <c r="EZ401" s="39"/>
      <c r="FA401" s="39"/>
      <c r="FB401" s="39"/>
      <c r="FC401" s="39"/>
      <c r="FD401" s="39"/>
      <c r="FE401" s="39"/>
      <c r="FF401" s="39"/>
      <c r="FG401" s="39"/>
      <c r="FH401" s="39"/>
      <c r="FI401" s="39"/>
      <c r="FJ401" s="39"/>
      <c r="FK401" s="39"/>
      <c r="FL401" s="39"/>
      <c r="FM401" s="39">
        <v>575</v>
      </c>
      <c r="FN401" s="75">
        <f t="shared" si="23"/>
        <v>0</v>
      </c>
    </row>
    <row r="402" spans="1:194" s="5" customFormat="1" x14ac:dyDescent="0.25">
      <c r="A402" s="24" t="s">
        <v>64</v>
      </c>
      <c r="B402" s="75">
        <f t="shared" si="22"/>
        <v>50</v>
      </c>
      <c r="C402" s="66">
        <v>25</v>
      </c>
      <c r="D402" s="73">
        <v>44755</v>
      </c>
      <c r="E402" s="76">
        <v>47.28</v>
      </c>
      <c r="F402" s="76">
        <f t="shared" si="20"/>
        <v>2364</v>
      </c>
      <c r="G402" s="74">
        <v>50</v>
      </c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16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  <c r="BW402" s="39"/>
      <c r="BX402" s="39"/>
      <c r="BY402" s="39"/>
      <c r="BZ402" s="39"/>
      <c r="CA402" s="39"/>
      <c r="CB402" s="39"/>
      <c r="CC402" s="39"/>
      <c r="CD402" s="39"/>
      <c r="CE402" s="39"/>
      <c r="CF402" s="39"/>
      <c r="CG402" s="39"/>
      <c r="CH402" s="39"/>
      <c r="CI402" s="39"/>
      <c r="CJ402" s="39"/>
      <c r="CK402" s="39"/>
      <c r="CL402" s="39"/>
      <c r="CM402" s="39"/>
      <c r="CN402" s="39"/>
      <c r="CO402" s="39"/>
      <c r="CP402" s="39"/>
      <c r="CQ402" s="39"/>
      <c r="CR402" s="39"/>
      <c r="CS402" s="39"/>
      <c r="CT402" s="39"/>
      <c r="CU402" s="39"/>
      <c r="CV402" s="39"/>
      <c r="CW402" s="39"/>
      <c r="CX402" s="39"/>
      <c r="CY402" s="39"/>
      <c r="CZ402" s="39"/>
      <c r="DA402" s="39"/>
      <c r="DB402" s="39"/>
      <c r="DC402" s="39"/>
      <c r="DD402" s="39"/>
      <c r="DE402" s="39"/>
      <c r="DF402" s="39"/>
      <c r="DG402" s="39"/>
      <c r="DH402" s="39"/>
      <c r="DI402" s="39"/>
      <c r="DJ402" s="39"/>
      <c r="DK402" s="39"/>
      <c r="DL402" s="39"/>
      <c r="DM402" s="39"/>
      <c r="DN402" s="39"/>
      <c r="DO402" s="39"/>
      <c r="DP402" s="39"/>
      <c r="DQ402" s="39"/>
      <c r="DR402" s="39"/>
      <c r="DS402" s="39"/>
      <c r="DT402" s="39"/>
      <c r="DU402" s="39"/>
      <c r="DV402" s="39"/>
      <c r="DW402" s="39"/>
      <c r="DX402" s="39"/>
      <c r="DY402" s="39"/>
      <c r="DZ402" s="39"/>
      <c r="EA402" s="39"/>
      <c r="EB402" s="39"/>
      <c r="EC402" s="39"/>
      <c r="ED402" s="39"/>
      <c r="EE402" s="39"/>
      <c r="EF402" s="39"/>
      <c r="EG402" s="39"/>
      <c r="EH402" s="39"/>
      <c r="EI402" s="39"/>
      <c r="EJ402" s="39"/>
      <c r="EK402" s="39"/>
      <c r="EL402" s="39"/>
      <c r="EM402" s="39"/>
      <c r="EN402" s="39"/>
      <c r="EO402" s="39"/>
      <c r="EP402" s="39"/>
      <c r="EQ402" s="39"/>
      <c r="ER402" s="39"/>
      <c r="ES402" s="39"/>
      <c r="ET402" s="39"/>
      <c r="EU402" s="39"/>
      <c r="EV402" s="39"/>
      <c r="EW402" s="39"/>
      <c r="EX402" s="39"/>
      <c r="EY402" s="39"/>
      <c r="EZ402" s="39"/>
      <c r="FA402" s="39"/>
      <c r="FB402" s="39"/>
      <c r="FC402" s="39"/>
      <c r="FD402" s="39"/>
      <c r="FE402" s="39"/>
      <c r="FF402" s="39"/>
      <c r="FG402" s="39"/>
      <c r="FH402" s="39"/>
      <c r="FI402" s="39"/>
      <c r="FJ402" s="39"/>
      <c r="FK402" s="39"/>
      <c r="FL402" s="39"/>
      <c r="FM402" s="39">
        <v>50</v>
      </c>
      <c r="FN402" s="75">
        <f t="shared" si="23"/>
        <v>0</v>
      </c>
    </row>
    <row r="403" spans="1:194" s="5" customFormat="1" ht="13.8" x14ac:dyDescent="0.25">
      <c r="A403" s="93" t="s">
        <v>21</v>
      </c>
      <c r="B403" s="94">
        <f>SUM(B395:B402)</f>
        <v>735</v>
      </c>
      <c r="C403" s="95"/>
      <c r="D403" s="96"/>
      <c r="E403" s="97"/>
      <c r="F403" s="76">
        <f>E403*B403</f>
        <v>0</v>
      </c>
      <c r="G403" s="94">
        <f>SUM(G395:G402)</f>
        <v>660</v>
      </c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154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  <c r="BW403" s="39"/>
      <c r="BX403" s="39"/>
      <c r="BY403" s="39"/>
      <c r="BZ403" s="39"/>
      <c r="CA403" s="39"/>
      <c r="CB403" s="39"/>
      <c r="CC403" s="39"/>
      <c r="CD403" s="39"/>
      <c r="CE403" s="39"/>
      <c r="CF403" s="39"/>
      <c r="CG403" s="39"/>
      <c r="CH403" s="39"/>
      <c r="CI403" s="39"/>
      <c r="CJ403" s="39"/>
      <c r="CK403" s="39"/>
      <c r="CL403" s="39"/>
      <c r="CM403" s="39"/>
      <c r="CN403" s="39"/>
      <c r="CO403" s="39"/>
      <c r="CP403" s="39"/>
      <c r="CQ403" s="39"/>
      <c r="CR403" s="39"/>
      <c r="CS403" s="39"/>
      <c r="CT403" s="39"/>
      <c r="CU403" s="39"/>
      <c r="CV403" s="39"/>
      <c r="CW403" s="39"/>
      <c r="CX403" s="39"/>
      <c r="CY403" s="39"/>
      <c r="CZ403" s="39"/>
      <c r="DA403" s="39"/>
      <c r="DB403" s="39"/>
      <c r="DC403" s="39"/>
      <c r="DD403" s="39"/>
      <c r="DE403" s="39"/>
      <c r="DF403" s="39"/>
      <c r="DG403" s="39"/>
      <c r="DH403" s="39"/>
      <c r="DI403" s="39"/>
      <c r="DJ403" s="39"/>
      <c r="DK403" s="39"/>
      <c r="DL403" s="39"/>
      <c r="DM403" s="39"/>
      <c r="DN403" s="39"/>
      <c r="DO403" s="39"/>
      <c r="DP403" s="39"/>
      <c r="DQ403" s="39"/>
      <c r="DR403" s="39"/>
      <c r="DS403" s="39"/>
      <c r="DT403" s="39"/>
      <c r="DU403" s="39"/>
      <c r="DV403" s="39"/>
      <c r="DW403" s="39"/>
      <c r="DX403" s="39"/>
      <c r="DY403" s="39"/>
      <c r="DZ403" s="39"/>
      <c r="EA403" s="39"/>
      <c r="EB403" s="39"/>
      <c r="EC403" s="39"/>
      <c r="ED403" s="39"/>
      <c r="EE403" s="39"/>
      <c r="EF403" s="39"/>
      <c r="EG403" s="39"/>
      <c r="EH403" s="39"/>
      <c r="EI403" s="39"/>
      <c r="EJ403" s="39"/>
      <c r="EK403" s="39"/>
      <c r="EL403" s="39"/>
      <c r="EM403" s="39"/>
      <c r="EN403" s="39"/>
      <c r="EO403" s="39"/>
      <c r="EP403" s="39"/>
      <c r="EQ403" s="39"/>
      <c r="ER403" s="39"/>
      <c r="ES403" s="39"/>
      <c r="ET403" s="39"/>
      <c r="EU403" s="39"/>
      <c r="EV403" s="39"/>
      <c r="EW403" s="39"/>
      <c r="EX403" s="39"/>
      <c r="EY403" s="39"/>
      <c r="EZ403" s="39"/>
      <c r="FA403" s="39"/>
      <c r="FB403" s="39"/>
      <c r="FC403" s="39"/>
      <c r="FD403" s="39"/>
      <c r="FE403" s="39"/>
      <c r="FF403" s="39"/>
      <c r="FG403" s="39"/>
      <c r="FH403" s="39"/>
      <c r="FI403" s="39"/>
      <c r="FJ403" s="39"/>
      <c r="FK403" s="39"/>
      <c r="FL403" s="39"/>
      <c r="FM403" s="39"/>
      <c r="FN403" s="94">
        <f t="shared" si="23"/>
        <v>735</v>
      </c>
    </row>
    <row r="404" spans="1:194" ht="13.8" x14ac:dyDescent="0.25">
      <c r="A404" s="93" t="s">
        <v>22</v>
      </c>
      <c r="B404" s="94">
        <f>B314+B394+B403</f>
        <v>6838.7000000000007</v>
      </c>
      <c r="C404" s="98"/>
      <c r="D404" s="98"/>
      <c r="E404" s="98"/>
      <c r="F404" s="76">
        <f>E404*B404</f>
        <v>0</v>
      </c>
      <c r="G404" s="94">
        <f>G314+G394+G403</f>
        <v>7664.4000000000005</v>
      </c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154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  <c r="BW404" s="39"/>
      <c r="BX404" s="39"/>
      <c r="BY404" s="39"/>
      <c r="BZ404" s="39"/>
      <c r="CA404" s="39"/>
      <c r="CB404" s="39"/>
      <c r="CC404" s="39"/>
      <c r="CD404" s="39"/>
      <c r="CE404" s="39"/>
      <c r="CF404" s="39"/>
      <c r="CG404" s="39"/>
      <c r="CH404" s="39"/>
      <c r="CI404" s="39"/>
      <c r="CJ404" s="39"/>
      <c r="CK404" s="39"/>
      <c r="CL404" s="39"/>
      <c r="CM404" s="39"/>
      <c r="CN404" s="39"/>
      <c r="CO404" s="39"/>
      <c r="CP404" s="39"/>
      <c r="CQ404" s="39"/>
      <c r="CR404" s="39"/>
      <c r="CS404" s="39"/>
      <c r="CT404" s="39"/>
      <c r="CU404" s="39"/>
      <c r="CV404" s="39"/>
      <c r="CW404" s="39"/>
      <c r="CX404" s="39"/>
      <c r="CY404" s="39"/>
      <c r="CZ404" s="39"/>
      <c r="DA404" s="39"/>
      <c r="DB404" s="39"/>
      <c r="DC404" s="39"/>
      <c r="DD404" s="39"/>
      <c r="DE404" s="39"/>
      <c r="DF404" s="39"/>
      <c r="DG404" s="39"/>
      <c r="DH404" s="39"/>
      <c r="DI404" s="39"/>
      <c r="DJ404" s="39"/>
      <c r="DK404" s="39"/>
      <c r="DL404" s="39"/>
      <c r="DM404" s="39"/>
      <c r="DN404" s="39"/>
      <c r="DO404" s="39"/>
      <c r="DP404" s="39"/>
      <c r="DQ404" s="39"/>
      <c r="DR404" s="39"/>
      <c r="DS404" s="39"/>
      <c r="DT404" s="39"/>
      <c r="DU404" s="39"/>
      <c r="DV404" s="39"/>
      <c r="DW404" s="39"/>
      <c r="DX404" s="39"/>
      <c r="DY404" s="39"/>
      <c r="DZ404" s="39"/>
      <c r="EA404" s="39"/>
      <c r="EB404" s="39"/>
      <c r="EC404" s="39"/>
      <c r="ED404" s="39"/>
      <c r="EE404" s="39"/>
      <c r="EF404" s="39"/>
      <c r="EG404" s="39"/>
      <c r="EH404" s="39"/>
      <c r="EI404" s="39"/>
      <c r="EJ404" s="39"/>
      <c r="EK404" s="39"/>
      <c r="EL404" s="39"/>
      <c r="EM404" s="39"/>
      <c r="EN404" s="39"/>
      <c r="EO404" s="39"/>
      <c r="EP404" s="39"/>
      <c r="EQ404" s="39"/>
      <c r="ER404" s="39"/>
      <c r="ES404" s="39"/>
      <c r="ET404" s="39"/>
      <c r="EU404" s="39"/>
      <c r="EV404" s="39"/>
      <c r="EW404" s="39"/>
      <c r="EX404" s="39"/>
      <c r="EY404" s="39"/>
      <c r="EZ404" s="39"/>
      <c r="FA404" s="39"/>
      <c r="FB404" s="39"/>
      <c r="FC404" s="39"/>
      <c r="FD404" s="39"/>
      <c r="FE404" s="39"/>
      <c r="FF404" s="39"/>
      <c r="FG404" s="39"/>
      <c r="FH404" s="39"/>
      <c r="FI404" s="39"/>
      <c r="FJ404" s="39"/>
      <c r="FK404" s="39"/>
      <c r="FL404" s="39"/>
      <c r="FM404" s="39"/>
      <c r="FN404" s="94">
        <f t="shared" si="23"/>
        <v>6838.7000000000007</v>
      </c>
      <c r="FO404" s="5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</row>
    <row r="405" spans="1:194" ht="14.25" customHeight="1" x14ac:dyDescent="0.25">
      <c r="A405" s="35"/>
      <c r="B405" s="11"/>
      <c r="C405" s="4"/>
      <c r="D405" s="11"/>
      <c r="E405" s="36"/>
      <c r="F405" s="33"/>
      <c r="G405" s="34">
        <f t="shared" ref="G405:T405" si="24">SUM(G4:G404)</f>
        <v>22993.200000000001</v>
      </c>
      <c r="H405" s="34">
        <f t="shared" si="24"/>
        <v>60</v>
      </c>
      <c r="I405" s="34">
        <f t="shared" si="24"/>
        <v>40</v>
      </c>
      <c r="J405" s="34">
        <f t="shared" si="24"/>
        <v>30</v>
      </c>
      <c r="K405" s="34">
        <f t="shared" si="24"/>
        <v>205</v>
      </c>
      <c r="L405" s="34">
        <f t="shared" si="24"/>
        <v>62.2</v>
      </c>
      <c r="M405" s="34">
        <f t="shared" si="24"/>
        <v>10</v>
      </c>
      <c r="N405" s="34">
        <f t="shared" si="24"/>
        <v>15</v>
      </c>
      <c r="O405" s="34">
        <f t="shared" si="24"/>
        <v>145</v>
      </c>
      <c r="P405" s="34">
        <f t="shared" si="24"/>
        <v>60</v>
      </c>
      <c r="Q405" s="34">
        <f t="shared" si="24"/>
        <v>150</v>
      </c>
      <c r="R405" s="34">
        <f t="shared" si="24"/>
        <v>3.6</v>
      </c>
      <c r="S405" s="34">
        <f t="shared" si="24"/>
        <v>4</v>
      </c>
      <c r="T405" s="34">
        <f t="shared" si="24"/>
        <v>112</v>
      </c>
      <c r="U405" s="34">
        <f t="shared" ref="U405:CP405" si="25">SUM(U4:U404)</f>
        <v>29</v>
      </c>
      <c r="V405" s="34">
        <f t="shared" si="25"/>
        <v>10</v>
      </c>
      <c r="W405" s="34">
        <f t="shared" si="25"/>
        <v>5</v>
      </c>
      <c r="X405" s="34">
        <f t="shared" si="25"/>
        <v>90</v>
      </c>
      <c r="Y405" s="34">
        <f t="shared" si="25"/>
        <v>12.3</v>
      </c>
      <c r="Z405" s="34">
        <f t="shared" si="25"/>
        <v>55</v>
      </c>
      <c r="AA405" s="34">
        <f t="shared" si="25"/>
        <v>145</v>
      </c>
      <c r="AB405" s="34">
        <f t="shared" si="25"/>
        <v>1</v>
      </c>
      <c r="AC405" s="34">
        <f t="shared" si="25"/>
        <v>3.6</v>
      </c>
      <c r="AD405" s="34">
        <f t="shared" si="25"/>
        <v>1</v>
      </c>
      <c r="AE405" s="34">
        <f t="shared" si="25"/>
        <v>335</v>
      </c>
      <c r="AF405" s="34">
        <f t="shared" si="25"/>
        <v>30.9</v>
      </c>
      <c r="AG405" s="34">
        <f t="shared" si="25"/>
        <v>20</v>
      </c>
      <c r="AH405" s="34">
        <f t="shared" si="25"/>
        <v>300</v>
      </c>
      <c r="AI405" s="34">
        <f t="shared" si="25"/>
        <v>66</v>
      </c>
      <c r="AJ405" s="34">
        <f t="shared" si="25"/>
        <v>60</v>
      </c>
      <c r="AK405" s="34">
        <f t="shared" si="25"/>
        <v>84</v>
      </c>
      <c r="AL405" s="34">
        <f t="shared" si="25"/>
        <v>48</v>
      </c>
      <c r="AM405" s="34">
        <f t="shared" si="25"/>
        <v>730</v>
      </c>
      <c r="AN405" s="34">
        <f t="shared" si="25"/>
        <v>110</v>
      </c>
      <c r="AO405" s="34">
        <f t="shared" si="25"/>
        <v>1040</v>
      </c>
      <c r="AP405" s="34">
        <f t="shared" si="25"/>
        <v>30</v>
      </c>
      <c r="AQ405" s="34">
        <f t="shared" si="25"/>
        <v>1720</v>
      </c>
      <c r="AR405" s="34">
        <f t="shared" si="25"/>
        <v>20.9</v>
      </c>
      <c r="AS405" s="34">
        <f t="shared" si="25"/>
        <v>50</v>
      </c>
      <c r="AT405" s="34">
        <f t="shared" si="25"/>
        <v>10</v>
      </c>
      <c r="AU405" s="34">
        <f t="shared" si="25"/>
        <v>3</v>
      </c>
      <c r="AV405" s="34">
        <f t="shared" si="25"/>
        <v>1</v>
      </c>
      <c r="AW405" s="34">
        <f t="shared" si="25"/>
        <v>120</v>
      </c>
      <c r="AX405" s="34">
        <f t="shared" si="25"/>
        <v>0.8</v>
      </c>
      <c r="AY405" s="34">
        <f t="shared" si="25"/>
        <v>100</v>
      </c>
      <c r="AZ405" s="34">
        <f t="shared" si="25"/>
        <v>50</v>
      </c>
      <c r="BA405" s="34">
        <f t="shared" si="25"/>
        <v>0.8</v>
      </c>
      <c r="BB405" s="34">
        <f t="shared" si="25"/>
        <v>3</v>
      </c>
      <c r="BC405" s="34">
        <f t="shared" si="25"/>
        <v>10</v>
      </c>
      <c r="BD405" s="34">
        <f t="shared" si="25"/>
        <v>30</v>
      </c>
      <c r="BE405" s="34">
        <f t="shared" si="25"/>
        <v>238</v>
      </c>
      <c r="BF405" s="34">
        <f t="shared" si="25"/>
        <v>25</v>
      </c>
      <c r="BG405" s="34">
        <f t="shared" si="25"/>
        <v>150</v>
      </c>
      <c r="BH405" s="34">
        <f t="shared" si="25"/>
        <v>76</v>
      </c>
      <c r="BI405" s="34">
        <f t="shared" si="25"/>
        <v>10</v>
      </c>
      <c r="BJ405" s="34">
        <f t="shared" si="25"/>
        <v>100</v>
      </c>
      <c r="BK405" s="34">
        <f t="shared" si="25"/>
        <v>182</v>
      </c>
      <c r="BL405" s="34">
        <f t="shared" si="25"/>
        <v>305</v>
      </c>
      <c r="BM405" s="34">
        <f t="shared" si="25"/>
        <v>56</v>
      </c>
      <c r="BN405" s="34">
        <f t="shared" si="25"/>
        <v>879</v>
      </c>
      <c r="BO405" s="34">
        <f t="shared" si="25"/>
        <v>30</v>
      </c>
      <c r="BP405" s="34">
        <f t="shared" si="25"/>
        <v>10</v>
      </c>
      <c r="BQ405" s="34">
        <f t="shared" si="25"/>
        <v>10</v>
      </c>
      <c r="BR405" s="34">
        <f t="shared" si="25"/>
        <v>22</v>
      </c>
      <c r="BS405" s="34">
        <f t="shared" si="25"/>
        <v>2.8</v>
      </c>
      <c r="BT405" s="34">
        <f t="shared" si="25"/>
        <v>108</v>
      </c>
      <c r="BU405" s="34">
        <f t="shared" si="25"/>
        <v>82</v>
      </c>
      <c r="BV405" s="34">
        <f t="shared" si="25"/>
        <v>11</v>
      </c>
      <c r="BW405" s="34">
        <f t="shared" si="25"/>
        <v>166.5</v>
      </c>
      <c r="BX405" s="34">
        <f t="shared" si="25"/>
        <v>80</v>
      </c>
      <c r="BY405" s="34">
        <f t="shared" si="25"/>
        <v>184</v>
      </c>
      <c r="BZ405" s="34">
        <f t="shared" si="25"/>
        <v>44</v>
      </c>
      <c r="CA405" s="34">
        <f t="shared" si="25"/>
        <v>10</v>
      </c>
      <c r="CB405" s="34">
        <f t="shared" si="25"/>
        <v>1</v>
      </c>
      <c r="CC405" s="34">
        <f t="shared" si="25"/>
        <v>1.1000000000000001</v>
      </c>
      <c r="CD405" s="34">
        <f t="shared" si="25"/>
        <v>6.1</v>
      </c>
      <c r="CE405" s="34">
        <f t="shared" si="25"/>
        <v>50</v>
      </c>
      <c r="CF405" s="34">
        <f t="shared" si="25"/>
        <v>80</v>
      </c>
      <c r="CG405" s="34">
        <f t="shared" si="25"/>
        <v>100</v>
      </c>
      <c r="CH405" s="34">
        <f t="shared" si="25"/>
        <v>20</v>
      </c>
      <c r="CI405" s="34">
        <f t="shared" si="25"/>
        <v>20</v>
      </c>
      <c r="CJ405" s="34">
        <f t="shared" si="25"/>
        <v>130</v>
      </c>
      <c r="CK405" s="34">
        <f t="shared" si="25"/>
        <v>67</v>
      </c>
      <c r="CL405" s="34">
        <f t="shared" si="25"/>
        <v>54</v>
      </c>
      <c r="CM405" s="34">
        <f t="shared" si="25"/>
        <v>163.30000000000001</v>
      </c>
      <c r="CN405" s="34">
        <f t="shared" si="25"/>
        <v>3</v>
      </c>
      <c r="CO405" s="34">
        <f t="shared" si="25"/>
        <v>30</v>
      </c>
      <c r="CP405" s="34">
        <f t="shared" si="25"/>
        <v>20</v>
      </c>
      <c r="CQ405" s="34">
        <f t="shared" ref="CQ405:FB405" si="26">SUM(CQ4:CQ404)</f>
        <v>9</v>
      </c>
      <c r="CR405" s="34">
        <f t="shared" si="26"/>
        <v>40</v>
      </c>
      <c r="CS405" s="34">
        <f t="shared" si="26"/>
        <v>20</v>
      </c>
      <c r="CT405" s="34">
        <f t="shared" si="26"/>
        <v>75</v>
      </c>
      <c r="CU405" s="34">
        <f t="shared" si="26"/>
        <v>81</v>
      </c>
      <c r="CV405" s="34">
        <f t="shared" si="26"/>
        <v>70</v>
      </c>
      <c r="CW405" s="34">
        <f t="shared" si="26"/>
        <v>155</v>
      </c>
      <c r="CX405" s="34">
        <f t="shared" si="26"/>
        <v>13</v>
      </c>
      <c r="CY405" s="34">
        <f t="shared" si="26"/>
        <v>5</v>
      </c>
      <c r="CZ405" s="34">
        <f t="shared" si="26"/>
        <v>140</v>
      </c>
      <c r="DA405" s="34">
        <f t="shared" si="26"/>
        <v>11</v>
      </c>
      <c r="DB405" s="34">
        <f t="shared" si="26"/>
        <v>10</v>
      </c>
      <c r="DC405" s="34">
        <f t="shared" si="26"/>
        <v>3</v>
      </c>
      <c r="DD405" s="34">
        <f t="shared" si="26"/>
        <v>30</v>
      </c>
      <c r="DE405" s="34">
        <f t="shared" si="26"/>
        <v>30</v>
      </c>
      <c r="DF405" s="34">
        <f t="shared" si="26"/>
        <v>20</v>
      </c>
      <c r="DG405" s="34">
        <f t="shared" si="26"/>
        <v>100</v>
      </c>
      <c r="DH405" s="34">
        <f t="shared" si="26"/>
        <v>1611.7</v>
      </c>
      <c r="DI405" s="34">
        <f t="shared" si="26"/>
        <v>700</v>
      </c>
      <c r="DJ405" s="34">
        <f t="shared" si="26"/>
        <v>30</v>
      </c>
      <c r="DK405" s="34">
        <f t="shared" si="26"/>
        <v>64</v>
      </c>
      <c r="DL405" s="34">
        <f t="shared" si="26"/>
        <v>3</v>
      </c>
      <c r="DM405" s="34">
        <f t="shared" si="26"/>
        <v>2</v>
      </c>
      <c r="DN405" s="34">
        <f t="shared" si="26"/>
        <v>2</v>
      </c>
      <c r="DO405" s="34">
        <f t="shared" si="26"/>
        <v>10</v>
      </c>
      <c r="DP405" s="34">
        <f t="shared" si="26"/>
        <v>10</v>
      </c>
      <c r="DQ405" s="34">
        <f t="shared" si="26"/>
        <v>888.19999999999993</v>
      </c>
      <c r="DR405" s="34">
        <f t="shared" si="26"/>
        <v>1</v>
      </c>
      <c r="DS405" s="34">
        <f t="shared" si="26"/>
        <v>11</v>
      </c>
      <c r="DT405" s="34">
        <f t="shared" si="26"/>
        <v>82</v>
      </c>
      <c r="DU405" s="34">
        <f t="shared" si="26"/>
        <v>64</v>
      </c>
      <c r="DV405" s="34">
        <f t="shared" si="26"/>
        <v>10</v>
      </c>
      <c r="DW405" s="34">
        <f t="shared" si="26"/>
        <v>80</v>
      </c>
      <c r="DX405" s="34">
        <f t="shared" si="26"/>
        <v>11</v>
      </c>
      <c r="DY405" s="34">
        <f t="shared" si="26"/>
        <v>141</v>
      </c>
      <c r="DZ405" s="34">
        <f t="shared" si="26"/>
        <v>10</v>
      </c>
      <c r="EA405" s="34">
        <f t="shared" si="26"/>
        <v>21</v>
      </c>
      <c r="EB405" s="34">
        <f t="shared" si="26"/>
        <v>70</v>
      </c>
      <c r="EC405" s="34">
        <f t="shared" si="26"/>
        <v>10</v>
      </c>
      <c r="ED405" s="34">
        <f t="shared" si="26"/>
        <v>2</v>
      </c>
      <c r="EE405" s="34">
        <f t="shared" si="26"/>
        <v>2</v>
      </c>
      <c r="EF405" s="34">
        <f t="shared" si="26"/>
        <v>1058.9000000000001</v>
      </c>
      <c r="EG405" s="34">
        <f t="shared" si="26"/>
        <v>11</v>
      </c>
      <c r="EH405" s="34">
        <f t="shared" si="26"/>
        <v>20</v>
      </c>
      <c r="EI405" s="34">
        <f t="shared" si="26"/>
        <v>12.8</v>
      </c>
      <c r="EJ405" s="34">
        <f t="shared" si="26"/>
        <v>2</v>
      </c>
      <c r="EK405" s="34">
        <f t="shared" si="26"/>
        <v>12.2</v>
      </c>
      <c r="EL405" s="34">
        <f t="shared" si="26"/>
        <v>15</v>
      </c>
      <c r="EM405" s="34">
        <f t="shared" si="26"/>
        <v>11</v>
      </c>
      <c r="EN405" s="34">
        <f t="shared" si="26"/>
        <v>1</v>
      </c>
      <c r="EO405" s="34">
        <f t="shared" si="26"/>
        <v>1</v>
      </c>
      <c r="EP405" s="34">
        <f t="shared" si="26"/>
        <v>2.7</v>
      </c>
      <c r="EQ405" s="34">
        <f t="shared" si="26"/>
        <v>18</v>
      </c>
      <c r="ER405" s="34">
        <f t="shared" si="26"/>
        <v>20</v>
      </c>
      <c r="ES405" s="34">
        <f t="shared" si="26"/>
        <v>10</v>
      </c>
      <c r="ET405" s="34">
        <f t="shared" si="26"/>
        <v>10</v>
      </c>
      <c r="EU405" s="34">
        <f t="shared" si="26"/>
        <v>5</v>
      </c>
      <c r="EV405" s="34">
        <f t="shared" si="26"/>
        <v>85</v>
      </c>
      <c r="EW405" s="34">
        <f t="shared" si="26"/>
        <v>868.8</v>
      </c>
      <c r="EX405" s="34">
        <f t="shared" si="26"/>
        <v>301</v>
      </c>
      <c r="EY405" s="34">
        <f t="shared" si="26"/>
        <v>30</v>
      </c>
      <c r="EZ405" s="34">
        <f t="shared" si="26"/>
        <v>60</v>
      </c>
      <c r="FA405" s="34">
        <f t="shared" si="26"/>
        <v>60</v>
      </c>
      <c r="FB405" s="34">
        <f t="shared" si="26"/>
        <v>37</v>
      </c>
      <c r="FC405" s="34">
        <f t="shared" ref="FC405:FK405" si="27">SUM(FC4:FC404)</f>
        <v>1</v>
      </c>
      <c r="FD405" s="34">
        <f t="shared" si="27"/>
        <v>6</v>
      </c>
      <c r="FE405" s="34">
        <f t="shared" si="27"/>
        <v>3</v>
      </c>
      <c r="FF405" s="34">
        <f t="shared" si="27"/>
        <v>10</v>
      </c>
      <c r="FG405" s="34">
        <f t="shared" si="27"/>
        <v>13</v>
      </c>
      <c r="FH405" s="34">
        <f t="shared" si="27"/>
        <v>3</v>
      </c>
      <c r="FI405" s="34">
        <f t="shared" si="27"/>
        <v>10</v>
      </c>
      <c r="FJ405" s="34">
        <f t="shared" si="27"/>
        <v>200</v>
      </c>
      <c r="FK405" s="34">
        <f t="shared" si="27"/>
        <v>302</v>
      </c>
      <c r="FL405" s="34">
        <f t="shared" ref="FL405:FM405" si="28">SUM(FL4:FL404)</f>
        <v>2</v>
      </c>
      <c r="FM405" s="34">
        <f t="shared" si="28"/>
        <v>1800.3999999999999</v>
      </c>
      <c r="FN405" s="56"/>
      <c r="FO405" s="82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</row>
    <row r="406" spans="1:194" x14ac:dyDescent="0.25">
      <c r="A406" s="35"/>
      <c r="B406" s="11"/>
      <c r="C406" s="4"/>
      <c r="D406" s="11"/>
      <c r="E406" s="6"/>
      <c r="F406" s="4"/>
      <c r="G406" s="48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48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51"/>
      <c r="FN406" s="41"/>
      <c r="FO406" s="5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</row>
    <row r="407" spans="1:194" x14ac:dyDescent="0.25">
      <c r="A407" s="35"/>
      <c r="B407" s="16"/>
      <c r="C407" s="4"/>
      <c r="D407" s="11"/>
      <c r="E407" s="6"/>
      <c r="F407" s="4"/>
      <c r="G407" s="48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48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51"/>
      <c r="FO407" s="5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</row>
    <row r="408" spans="1:194" ht="13.8" thickBot="1" x14ac:dyDescent="0.3"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51"/>
      <c r="FO408" s="5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</row>
    <row r="409" spans="1:194" x14ac:dyDescent="0.25">
      <c r="A409" s="64" t="s">
        <v>218</v>
      </c>
      <c r="B409" s="16"/>
      <c r="C409" s="4"/>
      <c r="D409" s="11"/>
      <c r="E409" s="6"/>
      <c r="F409" s="4"/>
      <c r="G409" s="48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48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84">
        <v>1366852.9</v>
      </c>
      <c r="DI409" s="34"/>
      <c r="DJ409" s="34"/>
      <c r="DK409" s="34"/>
      <c r="DL409" s="34"/>
      <c r="DM409" s="34"/>
      <c r="DN409" s="34"/>
      <c r="DO409" s="34"/>
      <c r="DP409" s="34"/>
      <c r="DQ409" s="84">
        <v>819860.15</v>
      </c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84">
        <v>762494.29</v>
      </c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84">
        <v>618743.37</v>
      </c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51"/>
      <c r="FN409" s="83">
        <f>DH409+DQ409+EF409+EW409</f>
        <v>3567950.71</v>
      </c>
      <c r="FO409" s="5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</row>
    <row r="410" spans="1:194" ht="13.8" x14ac:dyDescent="0.25">
      <c r="A410" s="52" t="s">
        <v>219</v>
      </c>
      <c r="B410" s="16"/>
      <c r="C410" s="4"/>
      <c r="D410" s="11"/>
      <c r="E410" s="6"/>
      <c r="F410" s="4"/>
      <c r="G410" s="48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48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85">
        <v>1366852.9</v>
      </c>
      <c r="DI410" s="34"/>
      <c r="DJ410" s="34"/>
      <c r="DK410" s="34"/>
      <c r="DL410" s="34"/>
      <c r="DM410" s="34"/>
      <c r="DN410" s="34"/>
      <c r="DO410" s="34"/>
      <c r="DP410" s="34"/>
      <c r="DQ410" s="85">
        <v>819860.15</v>
      </c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85">
        <v>762494.29</v>
      </c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85">
        <v>618743.37</v>
      </c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51"/>
      <c r="FN410" s="81">
        <f>DH410+DQ410+EF410+EW410</f>
        <v>3567950.71</v>
      </c>
      <c r="FO410" s="5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</row>
    <row r="411" spans="1:194" ht="13.8" thickBot="1" x14ac:dyDescent="0.3">
      <c r="A411" s="64" t="s">
        <v>220</v>
      </c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86">
        <f>DH409-DH410</f>
        <v>0</v>
      </c>
      <c r="DI411" s="34"/>
      <c r="DJ411" s="34"/>
      <c r="DK411" s="34"/>
      <c r="DL411" s="34"/>
      <c r="DM411" s="34"/>
      <c r="DN411" s="34"/>
      <c r="DO411" s="34"/>
      <c r="DP411" s="34"/>
      <c r="DQ411" s="86">
        <f>DQ409-DQ410</f>
        <v>0</v>
      </c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86">
        <f>EF409-EF410</f>
        <v>0</v>
      </c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86">
        <f>EW409-EW410</f>
        <v>0</v>
      </c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51"/>
      <c r="FN411" s="86">
        <f>FN409-FN410</f>
        <v>0</v>
      </c>
      <c r="FO411" s="5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</row>
    <row r="412" spans="1:194" x14ac:dyDescent="0.25">
      <c r="A412" s="159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51"/>
      <c r="FO412" s="5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</row>
    <row r="413" spans="1:194" ht="13.8" thickBot="1" x14ac:dyDescent="0.3">
      <c r="A413" s="35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G413" s="148"/>
      <c r="CH413" s="148"/>
      <c r="CI413" s="148"/>
      <c r="CJ413" s="148"/>
      <c r="CK413" s="148"/>
      <c r="CL413" s="148"/>
      <c r="CM413" s="148"/>
      <c r="CN413" s="148"/>
      <c r="CO413" s="148"/>
      <c r="CP413" s="148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51"/>
      <c r="FN413" s="51"/>
      <c r="FO413" s="5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</row>
    <row r="414" spans="1:194" x14ac:dyDescent="0.25">
      <c r="A414" s="64" t="s">
        <v>477</v>
      </c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G414" s="148"/>
      <c r="CH414" s="148"/>
      <c r="CI414" s="148"/>
      <c r="CJ414" s="148"/>
      <c r="CK414" s="148"/>
      <c r="CL414" s="148"/>
      <c r="CM414" s="148"/>
      <c r="CN414" s="148"/>
      <c r="CO414" s="148"/>
      <c r="CP414" s="148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84">
        <v>515900</v>
      </c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51"/>
      <c r="FN414" s="84">
        <f>DI414</f>
        <v>515900</v>
      </c>
      <c r="FO414" s="5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</row>
    <row r="415" spans="1:194" ht="13.8" x14ac:dyDescent="0.25">
      <c r="A415" s="52" t="s">
        <v>479</v>
      </c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G415" s="148"/>
      <c r="CH415" s="148"/>
      <c r="CI415" s="148"/>
      <c r="CJ415" s="148"/>
      <c r="CK415" s="148"/>
      <c r="CL415" s="148"/>
      <c r="CM415" s="148"/>
      <c r="CN415" s="148"/>
      <c r="CO415" s="148"/>
      <c r="CP415" s="148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85">
        <v>515900</v>
      </c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51"/>
      <c r="FN415" s="85">
        <f>DI415</f>
        <v>515900</v>
      </c>
      <c r="FO415" s="5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</row>
    <row r="416" spans="1:194" ht="13.8" thickBot="1" x14ac:dyDescent="0.3">
      <c r="A416" s="64" t="s">
        <v>478</v>
      </c>
      <c r="B416" s="7"/>
      <c r="C416" s="7"/>
      <c r="D416" s="7"/>
      <c r="F416" s="7"/>
      <c r="G416" s="7"/>
      <c r="W416" s="7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G416" s="148"/>
      <c r="CH416" s="148"/>
      <c r="CI416" s="148"/>
      <c r="CJ416" s="148"/>
      <c r="CK416" s="148"/>
      <c r="CL416" s="148"/>
      <c r="CM416" s="148"/>
      <c r="CN416" s="148"/>
      <c r="CO416" s="148"/>
      <c r="CP416" s="148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86">
        <f>DI414-DI415</f>
        <v>0</v>
      </c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7"/>
      <c r="FN416" s="86">
        <f>FN414-FN415</f>
        <v>0</v>
      </c>
      <c r="FO416" s="5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</row>
    <row r="417" spans="1:194" x14ac:dyDescent="0.25">
      <c r="A417" s="35"/>
      <c r="B417" s="7"/>
      <c r="C417" s="7"/>
      <c r="D417" s="7"/>
      <c r="F417" s="7"/>
      <c r="G417" s="7"/>
      <c r="W417" s="7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G417" s="148"/>
      <c r="CH417" s="148"/>
      <c r="CI417" s="148"/>
      <c r="CJ417" s="148"/>
      <c r="CK417" s="148"/>
      <c r="CL417" s="148"/>
      <c r="CM417" s="148"/>
      <c r="CN417" s="148"/>
      <c r="CO417" s="148"/>
      <c r="CP417" s="148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7"/>
      <c r="FN417" s="7"/>
      <c r="FO417" s="5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</row>
    <row r="418" spans="1:194" ht="13.8" thickBot="1" x14ac:dyDescent="0.3">
      <c r="B418" s="7"/>
      <c r="C418" s="7"/>
      <c r="D418" s="7"/>
      <c r="F418" s="7"/>
      <c r="G418" s="7"/>
      <c r="W418" s="7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G418" s="148"/>
      <c r="CH418" s="148"/>
      <c r="CI418" s="148"/>
      <c r="CJ418" s="148"/>
      <c r="CK418" s="148"/>
      <c r="CL418" s="148"/>
      <c r="CM418" s="148"/>
      <c r="CN418" s="148"/>
      <c r="CO418" s="148"/>
      <c r="CP418" s="148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7"/>
      <c r="FN418" s="7"/>
      <c r="FO418" s="5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</row>
    <row r="419" spans="1:194" x14ac:dyDescent="0.25">
      <c r="A419" s="160" t="s">
        <v>221</v>
      </c>
      <c r="B419" s="7"/>
      <c r="C419" s="7"/>
      <c r="D419" s="7"/>
      <c r="F419" s="7"/>
      <c r="G419" s="7"/>
      <c r="W419" s="7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G419" s="148"/>
      <c r="CH419" s="148"/>
      <c r="CI419" s="148"/>
      <c r="CJ419" s="148"/>
      <c r="CK419" s="148"/>
      <c r="CL419" s="148"/>
      <c r="CM419" s="148"/>
      <c r="CN419" s="148"/>
      <c r="CO419" s="148"/>
      <c r="CP419" s="148"/>
      <c r="CQ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162">
        <v>1698.6</v>
      </c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162">
        <v>3573.52</v>
      </c>
      <c r="EY419" s="177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7"/>
      <c r="FN419" s="162">
        <f>DY419+EX419</f>
        <v>5272.12</v>
      </c>
      <c r="FO419" s="16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</row>
    <row r="420" spans="1:194" x14ac:dyDescent="0.25">
      <c r="A420" s="160" t="s">
        <v>377</v>
      </c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G420" s="148"/>
      <c r="CH420" s="148"/>
      <c r="CI420" s="148"/>
      <c r="CJ420" s="148"/>
      <c r="CK420" s="148"/>
      <c r="CL420" s="148"/>
      <c r="CM420" s="148"/>
      <c r="CN420" s="148"/>
      <c r="CO420" s="148"/>
      <c r="CP420" s="148"/>
      <c r="CQ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163">
        <v>1698.6</v>
      </c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163">
        <f>3537.52+36</f>
        <v>3573.52</v>
      </c>
      <c r="EY420" s="177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N420" s="163">
        <f>DY420+EX420+4964</f>
        <v>10236.119999999999</v>
      </c>
      <c r="FO420" s="169"/>
    </row>
    <row r="421" spans="1:194" ht="14.4" thickBot="1" x14ac:dyDescent="0.3">
      <c r="A421" s="161" t="s">
        <v>222</v>
      </c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G421" s="148"/>
      <c r="CH421" s="148"/>
      <c r="CI421" s="148"/>
      <c r="CJ421" s="148"/>
      <c r="CK421" s="148"/>
      <c r="CL421" s="148"/>
      <c r="CM421" s="148"/>
      <c r="CN421" s="148"/>
      <c r="CO421" s="148"/>
      <c r="CP421" s="148"/>
      <c r="CQ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164">
        <f>DY419-DY420</f>
        <v>0</v>
      </c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164">
        <f>EX419-EX420</f>
        <v>0</v>
      </c>
      <c r="EY421" s="177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N421" s="164">
        <f>FN419-FN420</f>
        <v>-4963.9999999999991</v>
      </c>
      <c r="FO421" s="169"/>
    </row>
    <row r="422" spans="1:194" x14ac:dyDescent="0.25"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G422" s="148"/>
      <c r="CH422" s="148"/>
      <c r="CI422" s="148"/>
      <c r="CJ422" s="148"/>
      <c r="CK422" s="148"/>
      <c r="CL422" s="148"/>
      <c r="CM422" s="148"/>
      <c r="CN422" s="148"/>
      <c r="CO422" s="148"/>
      <c r="CP422" s="148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148"/>
    </row>
    <row r="423" spans="1:194" ht="13.8" thickBot="1" x14ac:dyDescent="0.3">
      <c r="B423" s="7"/>
      <c r="C423" s="7"/>
      <c r="D423" s="7"/>
      <c r="F423" s="7"/>
      <c r="G423" s="7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CG423" s="148"/>
      <c r="CH423" s="148"/>
      <c r="CI423" s="148"/>
      <c r="CJ423" s="148"/>
      <c r="CK423" s="148"/>
      <c r="CL423" s="148"/>
      <c r="CM423" s="148"/>
      <c r="CN423" s="148"/>
      <c r="CO423" s="148"/>
      <c r="CP423" s="148"/>
      <c r="CQ423" s="148"/>
      <c r="CR423" s="148"/>
      <c r="CS423" s="148"/>
      <c r="CT423" s="148"/>
      <c r="CU423" s="148"/>
      <c r="CV423" s="148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</row>
    <row r="424" spans="1:194" x14ac:dyDescent="0.25">
      <c r="A424" s="64" t="s">
        <v>457</v>
      </c>
      <c r="B424" s="7"/>
      <c r="C424" s="7"/>
      <c r="D424" s="7"/>
      <c r="F424" s="7"/>
      <c r="G424" s="7"/>
      <c r="W424" s="7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G424" s="148"/>
      <c r="CH424" s="148"/>
      <c r="CI424" s="148"/>
      <c r="CJ424" s="148"/>
      <c r="CK424" s="148"/>
      <c r="CL424" s="148"/>
      <c r="CM424" s="148"/>
      <c r="CN424" s="148"/>
      <c r="CO424" s="148"/>
      <c r="CP424" s="148"/>
      <c r="CQ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84">
        <v>31763.98</v>
      </c>
      <c r="FA424" s="178"/>
      <c r="FB424" s="34"/>
      <c r="FC424" s="34"/>
      <c r="FD424" s="34"/>
      <c r="FE424" s="34"/>
      <c r="FF424" s="34"/>
      <c r="FG424" s="34"/>
      <c r="FH424" s="34"/>
      <c r="FI424" s="34"/>
      <c r="FJ424" s="34"/>
      <c r="FK424" s="84">
        <f>132868.66+1340.78</f>
        <v>134209.44</v>
      </c>
      <c r="FL424" s="178"/>
      <c r="FM424" s="7"/>
      <c r="FN424" s="84">
        <f>EZ424+FK424</f>
        <v>165973.42000000001</v>
      </c>
      <c r="FO424" s="5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</row>
    <row r="425" spans="1:194" x14ac:dyDescent="0.25">
      <c r="A425" s="64" t="s">
        <v>544</v>
      </c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G425" s="148"/>
      <c r="CH425" s="148"/>
      <c r="CI425" s="148"/>
      <c r="CJ425" s="148"/>
      <c r="CK425" s="148"/>
      <c r="CL425" s="148"/>
      <c r="CM425" s="148"/>
      <c r="CN425" s="148"/>
      <c r="CO425" s="148"/>
      <c r="CP425" s="148"/>
      <c r="CQ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85">
        <v>31763.98</v>
      </c>
      <c r="FA425" s="178"/>
      <c r="FB425" s="34"/>
      <c r="FC425" s="34"/>
      <c r="FD425" s="34"/>
      <c r="FE425" s="34"/>
      <c r="FF425" s="34"/>
      <c r="FG425" s="34"/>
      <c r="FH425" s="34"/>
      <c r="FI425" s="34"/>
      <c r="FJ425" s="34"/>
      <c r="FK425" s="85">
        <f>132868.66+1340.78</f>
        <v>134209.44</v>
      </c>
      <c r="FL425" s="178"/>
      <c r="FN425" s="85">
        <f>EZ425+FK425</f>
        <v>165973.42000000001</v>
      </c>
    </row>
    <row r="426" spans="1:194" ht="14.4" thickBot="1" x14ac:dyDescent="0.3">
      <c r="A426" s="52" t="s">
        <v>545</v>
      </c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G426" s="148"/>
      <c r="CH426" s="148"/>
      <c r="CI426" s="148"/>
      <c r="CJ426" s="148"/>
      <c r="CK426" s="148"/>
      <c r="CL426" s="148"/>
      <c r="CM426" s="148"/>
      <c r="CN426" s="148"/>
      <c r="CO426" s="148"/>
      <c r="CP426" s="148"/>
      <c r="CQ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86">
        <f>EZ424-EZ425</f>
        <v>0</v>
      </c>
      <c r="FA426" s="178"/>
      <c r="FB426" s="34"/>
      <c r="FC426" s="34"/>
      <c r="FD426" s="34"/>
      <c r="FE426" s="34"/>
      <c r="FF426" s="34"/>
      <c r="FG426" s="34"/>
      <c r="FH426" s="34"/>
      <c r="FI426" s="34"/>
      <c r="FJ426" s="34"/>
      <c r="FK426" s="86">
        <f>FK424-FK425</f>
        <v>0</v>
      </c>
      <c r="FL426" s="178"/>
      <c r="FN426" s="86">
        <f>FN424-FN425</f>
        <v>0</v>
      </c>
    </row>
    <row r="427" spans="1:194" x14ac:dyDescent="0.25">
      <c r="B427" s="7"/>
      <c r="C427" s="7"/>
      <c r="D427" s="7"/>
      <c r="F427" s="7"/>
      <c r="G427" s="7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CG427" s="133"/>
      <c r="CH427" s="133"/>
      <c r="CI427" s="133"/>
      <c r="CJ427" s="133"/>
      <c r="CK427" s="133"/>
      <c r="CL427" s="133"/>
      <c r="CM427" s="133"/>
      <c r="CN427" s="133"/>
      <c r="CO427" s="133"/>
      <c r="CP427" s="133"/>
      <c r="CQ427" s="133"/>
      <c r="CR427" s="133"/>
      <c r="CS427" s="133"/>
      <c r="CT427" s="133"/>
      <c r="CU427" s="133"/>
      <c r="CV427" s="133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</row>
    <row r="428" spans="1:194" x14ac:dyDescent="0.25"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FN4:FN404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83820</xdr:colOff>
                <xdr:row>0</xdr:row>
                <xdr:rowOff>441960</xdr:rowOff>
              </from>
              <to>
                <xdr:col>0</xdr:col>
                <xdr:colOff>1706880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68580</xdr:colOff>
                <xdr:row>0</xdr:row>
                <xdr:rowOff>45720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2002-05-06T11:33:47Z</dcterms:created>
  <dc:creator>User</dc:creator>
  <cp:lastModifiedBy>Илья Усюкевич</cp:lastModifiedBy>
  <cp:lastPrinted>2020-01-08T08:36:04Z</cp:lastPrinted>
  <dcterms:modified xsi:type="dcterms:W3CDTF">2023-04-05T13:02:59Z</dcterms:modified>
</cp:coreProperties>
</file>