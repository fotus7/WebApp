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 tabRatio="755" activeTab="1"/>
  </bookViews>
  <sheets>
    <sheet name="отгрузка" sheetId="10" r:id="rId1"/>
    <sheet name="склад" sheetId="11" r:id="rId2"/>
  </sheets>
  <definedNames>
    <definedName name="_xlnm._FilterDatabase" localSheetId="0" hidden="1">отгрузка!$A$1:$RH$52</definedName>
    <definedName name="_xlnm._FilterDatabase" localSheetId="1" hidden="1">склад!$A$1:$DW$394</definedName>
    <definedName name="_xlnm.Print_Area" localSheetId="0">отгрузка!$A$1:$RH$52</definedName>
    <definedName name="_xlnm.Print_Area" localSheetId="1">склад!$A$1:$DW$394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G50" i="10" l="1"/>
  <c r="B234" i="11"/>
  <c r="F234" i="11" s="1"/>
  <c r="B194" i="11"/>
  <c r="F194" i="11" s="1"/>
  <c r="B83" i="11"/>
  <c r="F83" i="11" s="1"/>
  <c r="B73" i="11"/>
  <c r="F73" i="11" s="1"/>
  <c r="B25" i="11"/>
  <c r="F25" i="11" s="1"/>
  <c r="DW25" i="11" l="1"/>
  <c r="DW194" i="11"/>
  <c r="DW234" i="11"/>
  <c r="DW83" i="11"/>
  <c r="DW73" i="11"/>
  <c r="RG35" i="10" l="1"/>
  <c r="RG52" i="10" s="1"/>
  <c r="RB19" i="10" l="1"/>
  <c r="RB52" i="10" s="1"/>
  <c r="RF45" i="10" l="1"/>
  <c r="QX52" i="10"/>
  <c r="B348" i="11" l="1"/>
  <c r="F348" i="11" s="1"/>
  <c r="DW348" i="11" l="1"/>
  <c r="RC45" i="10" l="1"/>
  <c r="RC5" i="10"/>
  <c r="RC6" i="10"/>
  <c r="RC9" i="10"/>
  <c r="RC7" i="10"/>
  <c r="RC10" i="10"/>
  <c r="RC15" i="10"/>
  <c r="RC14" i="10"/>
  <c r="RC16" i="10"/>
  <c r="RC22" i="10"/>
  <c r="RC21" i="10"/>
  <c r="RC19" i="10"/>
  <c r="RC24" i="10"/>
  <c r="RC29" i="10"/>
  <c r="RC25" i="10"/>
  <c r="RC34" i="10"/>
  <c r="RC35" i="10"/>
  <c r="RC37" i="10"/>
  <c r="RC42" i="10"/>
  <c r="RC47" i="10"/>
  <c r="RC48" i="10"/>
  <c r="RC41" i="10"/>
  <c r="RC39" i="10"/>
  <c r="RC44" i="10"/>
  <c r="RC43" i="10"/>
  <c r="RC40" i="10"/>
  <c r="RC51" i="10"/>
  <c r="RC50" i="10"/>
  <c r="RC46" i="10"/>
  <c r="RE45" i="10" l="1"/>
  <c r="RH45" i="10" l="1"/>
  <c r="QZ45" i="10"/>
  <c r="RE40" i="10" l="1"/>
  <c r="RH40" i="10"/>
  <c r="QZ40" i="10"/>
  <c r="RH51" i="10"/>
  <c r="RE50" i="10"/>
  <c r="RE51" i="10"/>
  <c r="RH50" i="10"/>
  <c r="QZ50" i="10"/>
  <c r="QZ51" i="10"/>
  <c r="RE46" i="10"/>
  <c r="RH46" i="10"/>
  <c r="QZ46" i="10"/>
  <c r="RC49" i="10"/>
  <c r="RE49" i="10" s="1"/>
  <c r="RH49" i="10"/>
  <c r="QZ49" i="10"/>
  <c r="RE47" i="10"/>
  <c r="RH47" i="10"/>
  <c r="QZ47" i="10"/>
  <c r="RE48" i="10"/>
  <c r="RH48" i="10"/>
  <c r="QZ48" i="10"/>
  <c r="RE41" i="10"/>
  <c r="RH41" i="10"/>
  <c r="QZ41" i="10"/>
  <c r="RE39" i="10" l="1"/>
  <c r="RH39" i="10"/>
  <c r="QZ39" i="10"/>
  <c r="RE44" i="10"/>
  <c r="RH44" i="10"/>
  <c r="RE43" i="10"/>
  <c r="RH43" i="10"/>
  <c r="QZ43" i="10"/>
  <c r="QZ44" i="10"/>
  <c r="RE42" i="10"/>
  <c r="RH42" i="10"/>
  <c r="QZ42" i="10"/>
  <c r="RE37" i="10" l="1"/>
  <c r="RH37" i="10"/>
  <c r="QZ37" i="10"/>
  <c r="B287" i="11"/>
  <c r="F287" i="11" s="1"/>
  <c r="B283" i="11"/>
  <c r="F283" i="11" s="1"/>
  <c r="B191" i="11"/>
  <c r="F191" i="11" s="1"/>
  <c r="B138" i="11"/>
  <c r="F138" i="11" s="1"/>
  <c r="B117" i="11"/>
  <c r="DW117" i="11" s="1"/>
  <c r="B108" i="11"/>
  <c r="F108" i="11" s="1"/>
  <c r="B62" i="11"/>
  <c r="F62" i="11" s="1"/>
  <c r="B63" i="11"/>
  <c r="F63" i="11" s="1"/>
  <c r="B53" i="11"/>
  <c r="F53" i="11" s="1"/>
  <c r="B34" i="11"/>
  <c r="F34" i="11" s="1"/>
  <c r="B28" i="11"/>
  <c r="F28" i="11" s="1"/>
  <c r="B23" i="11"/>
  <c r="F23" i="11" s="1"/>
  <c r="RF38" i="10"/>
  <c r="RC38" i="10" s="1"/>
  <c r="RE38" i="10" s="1"/>
  <c r="RH38" i="10"/>
  <c r="QZ38" i="10"/>
  <c r="DW287" i="11" l="1"/>
  <c r="DW283" i="11"/>
  <c r="DW191" i="11"/>
  <c r="DW138" i="11"/>
  <c r="F117" i="11"/>
  <c r="DW108" i="11"/>
  <c r="DW63" i="11"/>
  <c r="DW62" i="11"/>
  <c r="DW53" i="11"/>
  <c r="DW34" i="11"/>
  <c r="DW28" i="11"/>
  <c r="DW23" i="11"/>
  <c r="RE35" i="10" l="1"/>
  <c r="RH35" i="10"/>
  <c r="QZ35" i="10"/>
  <c r="RC36" i="10"/>
  <c r="RE36" i="10" s="1"/>
  <c r="RH36" i="10"/>
  <c r="QZ36" i="10"/>
  <c r="RE34" i="10" l="1"/>
  <c r="RH34" i="10"/>
  <c r="QZ34" i="10"/>
  <c r="RC33" i="10" l="1"/>
  <c r="RE33" i="10" s="1"/>
  <c r="RH33" i="10"/>
  <c r="QZ33" i="10"/>
  <c r="RC31" i="10" l="1"/>
  <c r="RE31" i="10" s="1"/>
  <c r="RH31" i="10"/>
  <c r="QZ31" i="10"/>
  <c r="RC32" i="10"/>
  <c r="RE32" i="10" s="1"/>
  <c r="RH32" i="10"/>
  <c r="QZ32" i="10"/>
  <c r="RC27" i="10" l="1"/>
  <c r="RE27" i="10" s="1"/>
  <c r="RH27" i="10"/>
  <c r="QZ27" i="10"/>
  <c r="RC30" i="10"/>
  <c r="RE30" i="10" s="1"/>
  <c r="RH30" i="10"/>
  <c r="QZ30" i="10"/>
  <c r="RE29" i="10"/>
  <c r="RH29" i="10"/>
  <c r="QZ29" i="10"/>
  <c r="QW52" i="10"/>
  <c r="RE25" i="10"/>
  <c r="RH25" i="10"/>
  <c r="QZ25" i="10"/>
  <c r="RC28" i="10"/>
  <c r="RE28" i="10" s="1"/>
  <c r="RH28" i="10"/>
  <c r="QZ28" i="10"/>
  <c r="QV52" i="10"/>
  <c r="QY52" i="10"/>
  <c r="RE24" i="10"/>
  <c r="RH24" i="10"/>
  <c r="QZ24" i="10"/>
  <c r="RC23" i="10"/>
  <c r="RE23" i="10" s="1"/>
  <c r="RH23" i="10"/>
  <c r="QZ23" i="10"/>
  <c r="RE22" i="10"/>
  <c r="RC26" i="10"/>
  <c r="RE26" i="10" s="1"/>
  <c r="RH26" i="10"/>
  <c r="RH22" i="10"/>
  <c r="QZ22" i="10"/>
  <c r="QZ26" i="10"/>
  <c r="B198" i="11" l="1"/>
  <c r="F198" i="11" s="1"/>
  <c r="B56" i="11"/>
  <c r="F56" i="11" s="1"/>
  <c r="B301" i="11"/>
  <c r="F301" i="11" s="1"/>
  <c r="B291" i="11"/>
  <c r="F291" i="11" s="1"/>
  <c r="B275" i="11"/>
  <c r="F275" i="11" s="1"/>
  <c r="B144" i="11"/>
  <c r="F144" i="11" s="1"/>
  <c r="B124" i="11"/>
  <c r="B82" i="11"/>
  <c r="F82" i="11" s="1"/>
  <c r="B8" i="11"/>
  <c r="F8" i="11" s="1"/>
  <c r="B92" i="11"/>
  <c r="F92" i="11" s="1"/>
  <c r="DW8" i="11" l="1"/>
  <c r="DW198" i="11"/>
  <c r="DW301" i="11"/>
  <c r="DW144" i="11"/>
  <c r="DW291" i="11"/>
  <c r="DW56" i="11"/>
  <c r="DW92" i="11"/>
  <c r="DW82" i="11"/>
  <c r="DW275" i="11"/>
  <c r="RH21" i="10"/>
  <c r="RE21" i="10"/>
  <c r="QZ21" i="10"/>
  <c r="RD19" i="10" l="1"/>
  <c r="RH19" i="10" s="1"/>
  <c r="RE19" i="10"/>
  <c r="QZ19" i="10"/>
  <c r="B391" i="11"/>
  <c r="DW391" i="11" s="1"/>
  <c r="RC20" i="10"/>
  <c r="RE20" i="10" s="1"/>
  <c r="RH20" i="10"/>
  <c r="QZ20" i="10"/>
  <c r="F391" i="11" l="1"/>
  <c r="RE16" i="10" l="1"/>
  <c r="RH16" i="10"/>
  <c r="QZ16" i="10"/>
  <c r="RC17" i="10" l="1"/>
  <c r="RE17" i="10" s="1"/>
  <c r="RC18" i="10"/>
  <c r="RE18" i="10" s="1"/>
  <c r="RH18" i="10"/>
  <c r="QZ18" i="10"/>
  <c r="RH17" i="10"/>
  <c r="QZ17" i="10"/>
  <c r="RE15" i="10" l="1"/>
  <c r="RH15" i="10"/>
  <c r="QZ15" i="10"/>
  <c r="RE14" i="10"/>
  <c r="RH14" i="10"/>
  <c r="QZ14" i="10"/>
  <c r="RF52" i="10" l="1"/>
  <c r="RH13" i="10" l="1"/>
  <c r="RC13" i="10"/>
  <c r="RE13" i="10" s="1"/>
  <c r="QZ13" i="10"/>
  <c r="RC12" i="10" l="1"/>
  <c r="RE12" i="10" s="1"/>
  <c r="RH12" i="10"/>
  <c r="QZ12" i="10"/>
  <c r="RC11" i="10" l="1"/>
  <c r="RE11" i="10" s="1"/>
  <c r="RH11" i="10"/>
  <c r="QZ11" i="10"/>
  <c r="B386" i="11" l="1"/>
  <c r="B387" i="11"/>
  <c r="B388" i="11"/>
  <c r="B389" i="11"/>
  <c r="B392" i="11"/>
  <c r="B385" i="11"/>
  <c r="B382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06" i="11"/>
  <c r="B5" i="11"/>
  <c r="B6" i="11"/>
  <c r="B7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4" i="11"/>
  <c r="B26" i="11"/>
  <c r="B27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4" i="11"/>
  <c r="B55" i="11"/>
  <c r="DW55" i="11" s="1"/>
  <c r="B57" i="11"/>
  <c r="B58" i="11"/>
  <c r="B59" i="11"/>
  <c r="B60" i="11"/>
  <c r="B61" i="11"/>
  <c r="B64" i="11"/>
  <c r="B65" i="11"/>
  <c r="B66" i="11"/>
  <c r="B67" i="11"/>
  <c r="B68" i="11"/>
  <c r="B69" i="11"/>
  <c r="B70" i="11"/>
  <c r="B71" i="11"/>
  <c r="B72" i="11"/>
  <c r="B74" i="11"/>
  <c r="B75" i="11"/>
  <c r="B76" i="11"/>
  <c r="B77" i="11"/>
  <c r="B78" i="11"/>
  <c r="B79" i="11"/>
  <c r="B80" i="11"/>
  <c r="B81" i="11"/>
  <c r="B84" i="11"/>
  <c r="B85" i="11"/>
  <c r="B86" i="11"/>
  <c r="B87" i="11"/>
  <c r="B88" i="11"/>
  <c r="B89" i="11"/>
  <c r="B90" i="11"/>
  <c r="B91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9" i="11"/>
  <c r="B110" i="11"/>
  <c r="B111" i="11"/>
  <c r="B112" i="11"/>
  <c r="B113" i="11"/>
  <c r="B114" i="11"/>
  <c r="B115" i="11"/>
  <c r="B116" i="11"/>
  <c r="B118" i="11"/>
  <c r="B119" i="11"/>
  <c r="B120" i="11"/>
  <c r="B121" i="11"/>
  <c r="B122" i="11"/>
  <c r="B123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9" i="11"/>
  <c r="B140" i="11"/>
  <c r="B141" i="11"/>
  <c r="B142" i="11"/>
  <c r="B143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2" i="11"/>
  <c r="B193" i="11"/>
  <c r="B195" i="11"/>
  <c r="B196" i="11"/>
  <c r="B197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5" i="11"/>
  <c r="DW235" i="11" s="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6" i="11"/>
  <c r="B277" i="11"/>
  <c r="B278" i="11"/>
  <c r="B279" i="11"/>
  <c r="B280" i="11"/>
  <c r="B281" i="11"/>
  <c r="B282" i="11"/>
  <c r="B284" i="11"/>
  <c r="B285" i="11"/>
  <c r="B286" i="11"/>
  <c r="B288" i="11"/>
  <c r="B289" i="11"/>
  <c r="B290" i="11"/>
  <c r="B292" i="11"/>
  <c r="B293" i="11"/>
  <c r="B294" i="11"/>
  <c r="B295" i="11"/>
  <c r="B296" i="11"/>
  <c r="B297" i="11"/>
  <c r="B298" i="11"/>
  <c r="B299" i="11"/>
  <c r="B300" i="11"/>
  <c r="B302" i="11"/>
  <c r="B303" i="11"/>
  <c r="F303" i="11" s="1"/>
  <c r="B304" i="11"/>
  <c r="B4" i="11"/>
  <c r="RE9" i="10"/>
  <c r="RH9" i="10"/>
  <c r="QZ9" i="10"/>
  <c r="RE7" i="10"/>
  <c r="RH7" i="10"/>
  <c r="QZ7" i="10"/>
  <c r="RE10" i="10" l="1"/>
  <c r="RH10" i="10"/>
  <c r="QZ10" i="10"/>
  <c r="RC8" i="10"/>
  <c r="RE8" i="10" s="1"/>
  <c r="RH8" i="10"/>
  <c r="QZ8" i="10"/>
  <c r="F219" i="11"/>
  <c r="F228" i="11"/>
  <c r="DW219" i="11" l="1"/>
  <c r="DW228" i="11"/>
  <c r="RE5" i="10" l="1"/>
  <c r="RH5" i="10"/>
  <c r="QZ5" i="10"/>
  <c r="RE6" i="10" l="1"/>
  <c r="RH6" i="10"/>
  <c r="QZ6" i="10"/>
  <c r="RC2" i="10" l="1"/>
  <c r="RE2" i="10" s="1"/>
  <c r="RH2" i="10"/>
  <c r="QZ2" i="10"/>
  <c r="RC4" i="10" l="1"/>
  <c r="RE4" i="10" s="1"/>
  <c r="RH4" i="10"/>
  <c r="QZ4" i="10"/>
  <c r="RC3" i="10"/>
  <c r="RE3" i="10" s="1"/>
  <c r="RH3" i="10"/>
  <c r="QZ3" i="10"/>
  <c r="G384" i="11" l="1"/>
  <c r="G305" i="11"/>
  <c r="F277" i="11" l="1"/>
  <c r="F77" i="11"/>
  <c r="QT52" i="10"/>
  <c r="QU52" i="10"/>
  <c r="F44" i="11"/>
  <c r="F127" i="11"/>
  <c r="DW277" i="11" l="1"/>
  <c r="DW77" i="11"/>
  <c r="DW44" i="11"/>
  <c r="DW127" i="11"/>
  <c r="QQ52" i="10" l="1"/>
  <c r="QR52" i="10"/>
  <c r="QS52" i="10"/>
  <c r="F276" i="11" l="1"/>
  <c r="F251" i="11"/>
  <c r="F152" i="11"/>
  <c r="DW26" i="11"/>
  <c r="F313" i="11"/>
  <c r="F382" i="11"/>
  <c r="F328" i="11"/>
  <c r="F354" i="11"/>
  <c r="F309" i="11"/>
  <c r="DW276" i="11" l="1"/>
  <c r="DW251" i="11"/>
  <c r="DW152" i="11"/>
  <c r="F26" i="11"/>
  <c r="DW313" i="11"/>
  <c r="DW382" i="11"/>
  <c r="DW328" i="11"/>
  <c r="DW354" i="11"/>
  <c r="DW309" i="11"/>
  <c r="F290" i="11" l="1"/>
  <c r="F38" i="11"/>
  <c r="QN52" i="10"/>
  <c r="QO52" i="10"/>
  <c r="F312" i="11"/>
  <c r="F380" i="11"/>
  <c r="DW290" i="11" l="1"/>
  <c r="DW38" i="11"/>
  <c r="DW312" i="11"/>
  <c r="DW380" i="11"/>
  <c r="QP52" i="10" l="1"/>
  <c r="F379" i="11"/>
  <c r="F375" i="11"/>
  <c r="DW379" i="11" l="1"/>
  <c r="DW375" i="11"/>
  <c r="QM52" i="10" l="1"/>
  <c r="F230" i="11"/>
  <c r="F272" i="11"/>
  <c r="F177" i="11"/>
  <c r="DW120" i="11"/>
  <c r="F76" i="11"/>
  <c r="DW230" i="11" l="1"/>
  <c r="DW272" i="11"/>
  <c r="DW177" i="11"/>
  <c r="F120" i="11"/>
  <c r="DW76" i="11"/>
  <c r="DW364" i="11"/>
  <c r="F364" i="11" l="1"/>
  <c r="D52" i="10" l="1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L52" i="10"/>
  <c r="BM52" i="10"/>
  <c r="BN52" i="10"/>
  <c r="BO52" i="10"/>
  <c r="BP52" i="10"/>
  <c r="BQ52" i="10"/>
  <c r="BR52" i="10"/>
  <c r="BS52" i="10"/>
  <c r="BT52" i="10"/>
  <c r="BU52" i="10"/>
  <c r="BV52" i="10"/>
  <c r="BW52" i="10"/>
  <c r="BX52" i="10"/>
  <c r="BY52" i="10"/>
  <c r="BZ52" i="10"/>
  <c r="CA52" i="10"/>
  <c r="CB52" i="10"/>
  <c r="CC52" i="10"/>
  <c r="CD52" i="10"/>
  <c r="CE52" i="10"/>
  <c r="CF52" i="10"/>
  <c r="CG52" i="10"/>
  <c r="CH52" i="10"/>
  <c r="CI52" i="10"/>
  <c r="CJ52" i="10"/>
  <c r="CK52" i="10"/>
  <c r="CL52" i="10"/>
  <c r="CM52" i="10"/>
  <c r="CN52" i="10"/>
  <c r="CO52" i="10"/>
  <c r="CP52" i="10"/>
  <c r="CQ52" i="10"/>
  <c r="CR52" i="10"/>
  <c r="CS52" i="10"/>
  <c r="CT52" i="10"/>
  <c r="CU52" i="10"/>
  <c r="CV52" i="10"/>
  <c r="CW52" i="10"/>
  <c r="CX52" i="10"/>
  <c r="CY52" i="10"/>
  <c r="CZ52" i="10"/>
  <c r="DA52" i="10"/>
  <c r="DB52" i="10"/>
  <c r="DC52" i="10"/>
  <c r="DD52" i="10"/>
  <c r="DE52" i="10"/>
  <c r="DF52" i="10"/>
  <c r="DG52" i="10"/>
  <c r="DH52" i="10"/>
  <c r="DI52" i="10"/>
  <c r="DJ52" i="10"/>
  <c r="DK52" i="10"/>
  <c r="DL52" i="10"/>
  <c r="DM52" i="10"/>
  <c r="DN52" i="10"/>
  <c r="DO52" i="10"/>
  <c r="DP52" i="10"/>
  <c r="DQ52" i="10"/>
  <c r="DR52" i="10"/>
  <c r="DS52" i="10"/>
  <c r="DT52" i="10"/>
  <c r="DU52" i="10"/>
  <c r="DV52" i="10"/>
  <c r="DW52" i="10"/>
  <c r="DX52" i="10"/>
  <c r="DY52" i="10"/>
  <c r="DZ52" i="10"/>
  <c r="EA52" i="10"/>
  <c r="EB52" i="10"/>
  <c r="EC52" i="10"/>
  <c r="ED52" i="10"/>
  <c r="EE52" i="10"/>
  <c r="EF52" i="10"/>
  <c r="EG52" i="10"/>
  <c r="EH52" i="10"/>
  <c r="EI52" i="10"/>
  <c r="EJ52" i="10"/>
  <c r="EK52" i="10"/>
  <c r="EL52" i="10"/>
  <c r="EM52" i="10"/>
  <c r="EN52" i="10"/>
  <c r="EO52" i="10"/>
  <c r="EP52" i="10"/>
  <c r="EQ52" i="10"/>
  <c r="ER52" i="10"/>
  <c r="ES52" i="10"/>
  <c r="ET52" i="10"/>
  <c r="EU52" i="10"/>
  <c r="EV52" i="10"/>
  <c r="EW52" i="10"/>
  <c r="EX52" i="10"/>
  <c r="EY52" i="10"/>
  <c r="EZ52" i="10"/>
  <c r="FA52" i="10"/>
  <c r="FB52" i="10"/>
  <c r="FC52" i="10"/>
  <c r="FD52" i="10"/>
  <c r="FE52" i="10"/>
  <c r="FF52" i="10"/>
  <c r="FG52" i="10"/>
  <c r="FH52" i="10"/>
  <c r="FI52" i="10"/>
  <c r="FJ52" i="10"/>
  <c r="FK52" i="10"/>
  <c r="FL52" i="10"/>
  <c r="FM52" i="10"/>
  <c r="FN52" i="10"/>
  <c r="FO52" i="10"/>
  <c r="FP52" i="10"/>
  <c r="FQ52" i="10"/>
  <c r="FR52" i="10"/>
  <c r="FS52" i="10"/>
  <c r="FT52" i="10"/>
  <c r="FU52" i="10"/>
  <c r="FV52" i="10"/>
  <c r="FW52" i="10"/>
  <c r="FX52" i="10"/>
  <c r="FY52" i="10"/>
  <c r="FZ52" i="10"/>
  <c r="GA52" i="10"/>
  <c r="GB52" i="10"/>
  <c r="GC52" i="10"/>
  <c r="GD52" i="10"/>
  <c r="GE52" i="10"/>
  <c r="GF52" i="10"/>
  <c r="GG52" i="10"/>
  <c r="GH52" i="10"/>
  <c r="GI52" i="10"/>
  <c r="GJ52" i="10"/>
  <c r="GK52" i="10"/>
  <c r="GL52" i="10"/>
  <c r="GM52" i="10"/>
  <c r="GN52" i="10"/>
  <c r="GO52" i="10"/>
  <c r="GP52" i="10"/>
  <c r="GQ52" i="10"/>
  <c r="GR52" i="10"/>
  <c r="GS52" i="10"/>
  <c r="GT52" i="10"/>
  <c r="GU52" i="10"/>
  <c r="GV52" i="10"/>
  <c r="GW52" i="10"/>
  <c r="GX52" i="10"/>
  <c r="GY52" i="10"/>
  <c r="GZ52" i="10"/>
  <c r="HA52" i="10"/>
  <c r="HB52" i="10"/>
  <c r="HC52" i="10"/>
  <c r="HD52" i="10"/>
  <c r="HE52" i="10"/>
  <c r="HF52" i="10"/>
  <c r="HG52" i="10"/>
  <c r="HH52" i="10"/>
  <c r="HI52" i="10"/>
  <c r="HJ52" i="10"/>
  <c r="HK52" i="10"/>
  <c r="HL52" i="10"/>
  <c r="HM52" i="10"/>
  <c r="HN52" i="10"/>
  <c r="HO52" i="10"/>
  <c r="HP52" i="10"/>
  <c r="HQ52" i="10"/>
  <c r="HR52" i="10"/>
  <c r="HS52" i="10"/>
  <c r="HT52" i="10"/>
  <c r="HU52" i="10"/>
  <c r="HV52" i="10"/>
  <c r="HW52" i="10"/>
  <c r="HX52" i="10"/>
  <c r="HY52" i="10"/>
  <c r="HZ52" i="10"/>
  <c r="IA52" i="10"/>
  <c r="IB52" i="10"/>
  <c r="IC52" i="10"/>
  <c r="ID52" i="10"/>
  <c r="IE52" i="10"/>
  <c r="IF52" i="10"/>
  <c r="IG52" i="10"/>
  <c r="IH52" i="10"/>
  <c r="II52" i="10"/>
  <c r="IJ52" i="10"/>
  <c r="IK52" i="10"/>
  <c r="IL52" i="10"/>
  <c r="IM52" i="10"/>
  <c r="IN52" i="10"/>
  <c r="IO52" i="10"/>
  <c r="IP52" i="10"/>
  <c r="IQ52" i="10"/>
  <c r="IR52" i="10"/>
  <c r="IS52" i="10"/>
  <c r="IT52" i="10"/>
  <c r="IU52" i="10"/>
  <c r="IV52" i="10"/>
  <c r="IW52" i="10"/>
  <c r="IX52" i="10"/>
  <c r="IY52" i="10"/>
  <c r="IZ52" i="10"/>
  <c r="JA52" i="10"/>
  <c r="JB52" i="10"/>
  <c r="JC52" i="10"/>
  <c r="JD52" i="10"/>
  <c r="JE52" i="10"/>
  <c r="JF52" i="10"/>
  <c r="JG52" i="10"/>
  <c r="JH52" i="10"/>
  <c r="JI52" i="10"/>
  <c r="JJ52" i="10"/>
  <c r="JK52" i="10"/>
  <c r="JL52" i="10"/>
  <c r="JM52" i="10"/>
  <c r="JN52" i="10"/>
  <c r="JO52" i="10"/>
  <c r="JP52" i="10"/>
  <c r="JQ52" i="10"/>
  <c r="JR52" i="10"/>
  <c r="JS52" i="10"/>
  <c r="JT52" i="10"/>
  <c r="JU52" i="10"/>
  <c r="JV52" i="10"/>
  <c r="JW52" i="10"/>
  <c r="JX52" i="10"/>
  <c r="JY52" i="10"/>
  <c r="JZ52" i="10"/>
  <c r="KA52" i="10"/>
  <c r="KB52" i="10"/>
  <c r="KC52" i="10"/>
  <c r="KD52" i="10"/>
  <c r="KE52" i="10"/>
  <c r="KF52" i="10"/>
  <c r="KG52" i="10"/>
  <c r="KH52" i="10"/>
  <c r="KI52" i="10"/>
  <c r="KJ52" i="10"/>
  <c r="KK52" i="10"/>
  <c r="KL52" i="10"/>
  <c r="KM52" i="10"/>
  <c r="KN52" i="10"/>
  <c r="KO52" i="10"/>
  <c r="KP52" i="10"/>
  <c r="KQ52" i="10"/>
  <c r="KR52" i="10"/>
  <c r="KS52" i="10"/>
  <c r="KT52" i="10"/>
  <c r="KU52" i="10"/>
  <c r="KV52" i="10"/>
  <c r="KW52" i="10"/>
  <c r="KX52" i="10"/>
  <c r="KY52" i="10"/>
  <c r="KZ52" i="10"/>
  <c r="LA52" i="10"/>
  <c r="LB52" i="10"/>
  <c r="LC52" i="10"/>
  <c r="LD52" i="10"/>
  <c r="LE52" i="10"/>
  <c r="LF52" i="10"/>
  <c r="LG52" i="10"/>
  <c r="LH52" i="10"/>
  <c r="LI52" i="10"/>
  <c r="LJ52" i="10"/>
  <c r="LK52" i="10"/>
  <c r="LL52" i="10"/>
  <c r="LM52" i="10"/>
  <c r="LN52" i="10"/>
  <c r="LO52" i="10"/>
  <c r="LP52" i="10"/>
  <c r="LQ52" i="10"/>
  <c r="LR52" i="10"/>
  <c r="LS52" i="10"/>
  <c r="LT52" i="10"/>
  <c r="LU52" i="10"/>
  <c r="LV52" i="10"/>
  <c r="LW52" i="10"/>
  <c r="LX52" i="10"/>
  <c r="LY52" i="10"/>
  <c r="LZ52" i="10"/>
  <c r="MA52" i="10"/>
  <c r="MB52" i="10"/>
  <c r="MC52" i="10"/>
  <c r="MD52" i="10"/>
  <c r="ME52" i="10"/>
  <c r="MF52" i="10"/>
  <c r="MG52" i="10"/>
  <c r="MH52" i="10"/>
  <c r="MI52" i="10"/>
  <c r="MJ52" i="10"/>
  <c r="MK52" i="10"/>
  <c r="ML52" i="10"/>
  <c r="MM52" i="10"/>
  <c r="MN52" i="10"/>
  <c r="MO52" i="10"/>
  <c r="MP52" i="10"/>
  <c r="MQ52" i="10"/>
  <c r="MR52" i="10"/>
  <c r="MS52" i="10"/>
  <c r="MT52" i="10"/>
  <c r="MU52" i="10"/>
  <c r="MV52" i="10"/>
  <c r="MW52" i="10"/>
  <c r="MX52" i="10"/>
  <c r="MY52" i="10"/>
  <c r="MZ52" i="10"/>
  <c r="NA52" i="10"/>
  <c r="NB52" i="10"/>
  <c r="NC52" i="10"/>
  <c r="ND52" i="10"/>
  <c r="NE52" i="10"/>
  <c r="NF52" i="10"/>
  <c r="NG52" i="10"/>
  <c r="NH52" i="10"/>
  <c r="NI52" i="10"/>
  <c r="NJ52" i="10"/>
  <c r="NK52" i="10"/>
  <c r="NL52" i="10"/>
  <c r="NM52" i="10"/>
  <c r="NN52" i="10"/>
  <c r="NO52" i="10"/>
  <c r="NP52" i="10"/>
  <c r="NQ52" i="10"/>
  <c r="NR52" i="10"/>
  <c r="NS52" i="10"/>
  <c r="NT52" i="10"/>
  <c r="NU52" i="10"/>
  <c r="NV52" i="10"/>
  <c r="NW52" i="10"/>
  <c r="NX52" i="10"/>
  <c r="NY52" i="10"/>
  <c r="NZ52" i="10"/>
  <c r="OA52" i="10"/>
  <c r="OB52" i="10"/>
  <c r="OC52" i="10"/>
  <c r="OD52" i="10"/>
  <c r="OE52" i="10"/>
  <c r="OF52" i="10"/>
  <c r="OG52" i="10"/>
  <c r="OH52" i="10"/>
  <c r="OI52" i="10"/>
  <c r="OJ52" i="10"/>
  <c r="OK52" i="10"/>
  <c r="OL52" i="10"/>
  <c r="OM52" i="10"/>
  <c r="ON52" i="10"/>
  <c r="OO52" i="10"/>
  <c r="OP52" i="10"/>
  <c r="OQ52" i="10"/>
  <c r="OR52" i="10"/>
  <c r="OS52" i="10"/>
  <c r="OT52" i="10"/>
  <c r="OU52" i="10"/>
  <c r="OV52" i="10"/>
  <c r="OW52" i="10"/>
  <c r="OX52" i="10"/>
  <c r="OY52" i="10"/>
  <c r="OZ52" i="10"/>
  <c r="PA52" i="10"/>
  <c r="PB52" i="10"/>
  <c r="PC52" i="10"/>
  <c r="PD52" i="10"/>
  <c r="PE52" i="10"/>
  <c r="PF52" i="10"/>
  <c r="PG52" i="10"/>
  <c r="PH52" i="10"/>
  <c r="PI52" i="10"/>
  <c r="PJ52" i="10"/>
  <c r="PK52" i="10"/>
  <c r="PL52" i="10"/>
  <c r="PM52" i="10"/>
  <c r="PN52" i="10"/>
  <c r="PO52" i="10"/>
  <c r="PP52" i="10"/>
  <c r="PQ52" i="10"/>
  <c r="PR52" i="10"/>
  <c r="PS52" i="10"/>
  <c r="PT52" i="10"/>
  <c r="PU52" i="10"/>
  <c r="PV52" i="10"/>
  <c r="PW52" i="10"/>
  <c r="PX52" i="10"/>
  <c r="PY52" i="10"/>
  <c r="PZ52" i="10"/>
  <c r="QA52" i="10"/>
  <c r="QB52" i="10"/>
  <c r="QC52" i="10"/>
  <c r="QD52" i="10"/>
  <c r="QE52" i="10"/>
  <c r="QF52" i="10"/>
  <c r="QG52" i="10"/>
  <c r="QH52" i="10"/>
  <c r="QI52" i="10"/>
  <c r="QJ52" i="10"/>
  <c r="QK52" i="10"/>
  <c r="QL52" i="10"/>
  <c r="C52" i="10"/>
  <c r="F183" i="11" l="1"/>
  <c r="F10" i="11"/>
  <c r="DW183" i="11" l="1"/>
  <c r="DW10" i="11"/>
  <c r="F282" i="11" l="1"/>
  <c r="F190" i="11"/>
  <c r="F178" i="11"/>
  <c r="F115" i="11"/>
  <c r="DW282" i="11" l="1"/>
  <c r="DW190" i="11"/>
  <c r="DW178" i="11"/>
  <c r="DW115" i="11"/>
  <c r="F220" i="11" l="1"/>
  <c r="F130" i="11"/>
  <c r="DW220" i="11" l="1"/>
  <c r="DW130" i="11"/>
  <c r="F175" i="11" l="1"/>
  <c r="F374" i="11"/>
  <c r="DW175" i="11" l="1"/>
  <c r="DW374" i="11"/>
  <c r="F295" i="11" l="1"/>
  <c r="F297" i="11"/>
  <c r="F89" i="11"/>
  <c r="F35" i="11"/>
  <c r="F90" i="11"/>
  <c r="DW295" i="11" l="1"/>
  <c r="DW297" i="11"/>
  <c r="DW89" i="11"/>
  <c r="DW35" i="11"/>
  <c r="DW90" i="11"/>
  <c r="F273" i="11" l="1"/>
  <c r="F43" i="11"/>
  <c r="DW273" i="11" l="1"/>
  <c r="DW43" i="11"/>
  <c r="F200" i="11" l="1"/>
  <c r="F339" i="11"/>
  <c r="F378" i="11"/>
  <c r="DW200" i="11" l="1"/>
  <c r="DW339" i="11"/>
  <c r="DW378" i="11"/>
  <c r="DW370" i="11" l="1"/>
  <c r="F370" i="11"/>
  <c r="F39" i="11" l="1"/>
  <c r="F15" i="11"/>
  <c r="F289" i="11"/>
  <c r="F286" i="11"/>
  <c r="F269" i="11"/>
  <c r="F209" i="11"/>
  <c r="F132" i="11"/>
  <c r="DW39" i="11" l="1"/>
  <c r="DW15" i="11"/>
  <c r="DW289" i="11"/>
  <c r="DW286" i="11"/>
  <c r="DW269" i="11"/>
  <c r="DW209" i="11"/>
  <c r="DW132" i="11"/>
  <c r="F233" i="11" l="1"/>
  <c r="F91" i="11"/>
  <c r="F68" i="11"/>
  <c r="F86" i="11"/>
  <c r="DW233" i="11" l="1"/>
  <c r="DW91" i="11"/>
  <c r="DW68" i="11"/>
  <c r="DW86" i="11"/>
  <c r="F252" i="11" l="1"/>
  <c r="F205" i="11"/>
  <c r="F61" i="11"/>
  <c r="DW252" i="11" l="1"/>
  <c r="DW205" i="11"/>
  <c r="DW61" i="11"/>
  <c r="F284" i="11" l="1"/>
  <c r="DW284" i="11" l="1"/>
  <c r="F94" i="11" l="1"/>
  <c r="F30" i="11"/>
  <c r="F195" i="11"/>
  <c r="F184" i="11"/>
  <c r="F158" i="11"/>
  <c r="F155" i="11"/>
  <c r="DW103" i="11"/>
  <c r="F79" i="11"/>
  <c r="F101" i="11"/>
  <c r="F311" i="11"/>
  <c r="F325" i="11"/>
  <c r="F332" i="11"/>
  <c r="DW94" i="11" l="1"/>
  <c r="DW30" i="11"/>
  <c r="DW195" i="11"/>
  <c r="DW184" i="11"/>
  <c r="DW155" i="11"/>
  <c r="DW158" i="11"/>
  <c r="F103" i="11"/>
  <c r="DW79" i="11"/>
  <c r="DW101" i="11"/>
  <c r="DW311" i="11"/>
  <c r="DW325" i="11"/>
  <c r="DW332" i="11"/>
  <c r="F237" i="11" l="1"/>
  <c r="F80" i="11"/>
  <c r="B383" i="11"/>
  <c r="F383" i="11" s="1"/>
  <c r="DW237" i="11" l="1"/>
  <c r="DW80" i="11"/>
  <c r="DW383" i="11"/>
  <c r="F270" i="11" l="1"/>
  <c r="F135" i="11"/>
  <c r="F42" i="11"/>
  <c r="F14" i="11"/>
  <c r="F75" i="11"/>
  <c r="DW270" i="11" l="1"/>
  <c r="DW135" i="11"/>
  <c r="DW42" i="11"/>
  <c r="DW14" i="11"/>
  <c r="DW75" i="11"/>
  <c r="F150" i="11" l="1"/>
  <c r="F96" i="11"/>
  <c r="F64" i="11"/>
  <c r="F359" i="11"/>
  <c r="F310" i="11"/>
  <c r="DW150" i="11" l="1"/>
  <c r="DW96" i="11"/>
  <c r="DW64" i="11"/>
  <c r="DW359" i="11"/>
  <c r="DW310" i="11"/>
  <c r="F308" i="11" l="1"/>
  <c r="DW308" i="11" l="1"/>
  <c r="F299" i="11" l="1"/>
  <c r="F164" i="11"/>
  <c r="F129" i="11"/>
  <c r="F254" i="11"/>
  <c r="F180" i="11"/>
  <c r="F142" i="11"/>
  <c r="F48" i="11"/>
  <c r="F174" i="11"/>
  <c r="DW4" i="11" l="1"/>
  <c r="F4" i="11"/>
  <c r="DW299" i="11"/>
  <c r="DW164" i="11"/>
  <c r="DW129" i="11"/>
  <c r="DW254" i="11"/>
  <c r="DW180" i="11"/>
  <c r="DW142" i="11"/>
  <c r="DW48" i="11"/>
  <c r="DW174" i="11"/>
  <c r="F256" i="11" l="1"/>
  <c r="F55" i="11"/>
  <c r="F229" i="11"/>
  <c r="F278" i="11"/>
  <c r="DW72" i="11"/>
  <c r="DW256" i="11" l="1"/>
  <c r="DW229" i="11"/>
  <c r="DW278" i="11"/>
  <c r="F72" i="11"/>
  <c r="F149" i="11" l="1"/>
  <c r="F222" i="11"/>
  <c r="F160" i="11"/>
  <c r="F231" i="11"/>
  <c r="F185" i="11"/>
  <c r="F145" i="11"/>
  <c r="F137" i="11"/>
  <c r="F335" i="11"/>
  <c r="F358" i="11"/>
  <c r="F341" i="11"/>
  <c r="F338" i="11"/>
  <c r="F337" i="11"/>
  <c r="F371" i="11"/>
  <c r="F352" i="11"/>
  <c r="DW149" i="11" l="1"/>
  <c r="DW222" i="11"/>
  <c r="DW160" i="11"/>
  <c r="DW231" i="11"/>
  <c r="DW185" i="11"/>
  <c r="DW145" i="11"/>
  <c r="DW137" i="11"/>
  <c r="DW335" i="11"/>
  <c r="DW358" i="11"/>
  <c r="DW341" i="11"/>
  <c r="DW338" i="11"/>
  <c r="DW337" i="11"/>
  <c r="DW371" i="11"/>
  <c r="DW352" i="11"/>
  <c r="DW98" i="11" l="1"/>
  <c r="F168" i="11"/>
  <c r="F266" i="11"/>
  <c r="DW87" i="11"/>
  <c r="DW192" i="11"/>
  <c r="DW118" i="11"/>
  <c r="F5" i="11"/>
  <c r="F87" i="11" l="1"/>
  <c r="F98" i="11"/>
  <c r="DW168" i="11"/>
  <c r="DW266" i="11"/>
  <c r="F192" i="11"/>
  <c r="F118" i="11"/>
  <c r="DW5" i="11"/>
  <c r="F74" i="11" l="1"/>
  <c r="F216" i="11"/>
  <c r="DW265" i="11"/>
  <c r="DW232" i="11"/>
  <c r="DW267" i="11"/>
  <c r="DW74" i="11" l="1"/>
  <c r="DW216" i="11"/>
  <c r="F265" i="11"/>
  <c r="F232" i="11"/>
  <c r="F267" i="11"/>
  <c r="F66" i="11" l="1"/>
  <c r="DW66" i="11"/>
  <c r="F197" i="11"/>
  <c r="DW197" i="11"/>
  <c r="F340" i="11" l="1"/>
  <c r="DW340" i="11"/>
  <c r="F336" i="11" l="1"/>
  <c r="DW336" i="11"/>
  <c r="F388" i="11" l="1"/>
  <c r="DW388" i="11"/>
  <c r="F239" i="11" l="1"/>
  <c r="DW131" i="11"/>
  <c r="F46" i="11"/>
  <c r="DW221" i="11"/>
  <c r="F206" i="11"/>
  <c r="F163" i="11"/>
  <c r="F126" i="11"/>
  <c r="F285" i="11" l="1"/>
  <c r="DW285" i="11"/>
  <c r="DW46" i="11"/>
  <c r="DW239" i="11"/>
  <c r="F131" i="11"/>
  <c r="DW163" i="11"/>
  <c r="DW126" i="11"/>
  <c r="DW206" i="11"/>
  <c r="F221" i="11"/>
  <c r="DW114" i="11" l="1"/>
  <c r="F36" i="11"/>
  <c r="F125" i="11"/>
  <c r="F114" i="11" l="1"/>
  <c r="DW36" i="11"/>
  <c r="DW125" i="11"/>
  <c r="F69" i="11" l="1"/>
  <c r="F293" i="11"/>
  <c r="F271" i="11"/>
  <c r="F187" i="11"/>
  <c r="F320" i="11"/>
  <c r="DW293" i="11" l="1"/>
  <c r="DW69" i="11"/>
  <c r="DW271" i="11"/>
  <c r="DW187" i="11"/>
  <c r="DW320" i="11"/>
  <c r="F385" i="11" l="1"/>
  <c r="DW385" i="11"/>
  <c r="F268" i="11" l="1"/>
  <c r="F215" i="11"/>
  <c r="F100" i="11"/>
  <c r="F342" i="11"/>
  <c r="F333" i="11"/>
  <c r="F373" i="11"/>
  <c r="DW268" i="11" l="1"/>
  <c r="DW215" i="11"/>
  <c r="DW100" i="11"/>
  <c r="DW342" i="11"/>
  <c r="DW333" i="11"/>
  <c r="DW373" i="11"/>
  <c r="F143" i="11" l="1"/>
  <c r="F32" i="11"/>
  <c r="DW143" i="11" l="1"/>
  <c r="DW32" i="11"/>
  <c r="F247" i="11" l="1"/>
  <c r="F356" i="11"/>
  <c r="F377" i="11"/>
  <c r="F85" i="11" l="1"/>
  <c r="DW85" i="11"/>
  <c r="DW247" i="11"/>
  <c r="DW377" i="11"/>
  <c r="DW356" i="11"/>
  <c r="F387" i="11" l="1"/>
  <c r="F389" i="11"/>
  <c r="F392" i="11"/>
  <c r="F367" i="11"/>
  <c r="F368" i="11"/>
  <c r="F369" i="11"/>
  <c r="F372" i="11"/>
  <c r="F349" i="11"/>
  <c r="F350" i="11"/>
  <c r="F353" i="11"/>
  <c r="F357" i="11"/>
  <c r="F362" i="11"/>
  <c r="F363" i="11"/>
  <c r="F324" i="11"/>
  <c r="F327" i="11"/>
  <c r="F329" i="11"/>
  <c r="F331" i="11"/>
  <c r="F334" i="11"/>
  <c r="F343" i="11"/>
  <c r="F344" i="11"/>
  <c r="F345" i="11"/>
  <c r="F314" i="11"/>
  <c r="F319" i="11"/>
  <c r="F307" i="11"/>
  <c r="F321" i="11"/>
  <c r="F323" i="11"/>
  <c r="F279" i="11"/>
  <c r="F280" i="11"/>
  <c r="F281" i="11"/>
  <c r="F292" i="11"/>
  <c r="F294" i="11"/>
  <c r="F296" i="11"/>
  <c r="F298" i="11"/>
  <c r="F300" i="11"/>
  <c r="F302" i="11"/>
  <c r="F304" i="11"/>
  <c r="DW257" i="11"/>
  <c r="F258" i="11"/>
  <c r="DW259" i="11"/>
  <c r="F260" i="11"/>
  <c r="DW261" i="11"/>
  <c r="F262" i="11"/>
  <c r="F263" i="11"/>
  <c r="F264" i="11"/>
  <c r="F242" i="11"/>
  <c r="F243" i="11"/>
  <c r="F244" i="11"/>
  <c r="F245" i="11"/>
  <c r="F246" i="11"/>
  <c r="F248" i="11"/>
  <c r="F249" i="11"/>
  <c r="F250" i="11"/>
  <c r="F253" i="11"/>
  <c r="F255" i="11"/>
  <c r="DW227" i="11"/>
  <c r="F235" i="11"/>
  <c r="DW236" i="11"/>
  <c r="F238" i="11"/>
  <c r="DW240" i="11"/>
  <c r="F241" i="11"/>
  <c r="DW207" i="11"/>
  <c r="DW208" i="11"/>
  <c r="F210" i="11"/>
  <c r="DW211" i="11"/>
  <c r="DW212" i="11"/>
  <c r="F213" i="11"/>
  <c r="DW214" i="11"/>
  <c r="F217" i="11"/>
  <c r="DW218" i="11"/>
  <c r="DW223" i="11"/>
  <c r="DW224" i="11"/>
  <c r="F225" i="11"/>
  <c r="DW226" i="11"/>
  <c r="DW182" i="11"/>
  <c r="F186" i="11"/>
  <c r="F188" i="11"/>
  <c r="F189" i="11"/>
  <c r="F193" i="11"/>
  <c r="F196" i="11"/>
  <c r="DW199" i="11"/>
  <c r="F201" i="11"/>
  <c r="DW202" i="11"/>
  <c r="F203" i="11"/>
  <c r="F204" i="11"/>
  <c r="F166" i="11"/>
  <c r="DW167" i="11"/>
  <c r="DW169" i="11"/>
  <c r="DW170" i="11"/>
  <c r="DW171" i="11"/>
  <c r="F172" i="11"/>
  <c r="F173" i="11"/>
  <c r="F176" i="11"/>
  <c r="F179" i="11"/>
  <c r="F181" i="11"/>
  <c r="DW153" i="11"/>
  <c r="DW154" i="11"/>
  <c r="F156" i="11"/>
  <c r="F157" i="11"/>
  <c r="F159" i="11"/>
  <c r="F161" i="11"/>
  <c r="F162" i="11"/>
  <c r="F165" i="11"/>
  <c r="F133" i="11"/>
  <c r="F134" i="11"/>
  <c r="F136" i="11"/>
  <c r="DW139" i="11"/>
  <c r="F140" i="11"/>
  <c r="DW146" i="11"/>
  <c r="F147" i="11"/>
  <c r="DW148" i="11"/>
  <c r="F151" i="11"/>
  <c r="DW107" i="11"/>
  <c r="F109" i="11"/>
  <c r="F110" i="11"/>
  <c r="DW111" i="11"/>
  <c r="DW112" i="11"/>
  <c r="DW113" i="11"/>
  <c r="F116" i="11"/>
  <c r="F119" i="11"/>
  <c r="F121" i="11"/>
  <c r="DW122" i="11"/>
  <c r="F123" i="11"/>
  <c r="DW124" i="11"/>
  <c r="F128" i="11"/>
  <c r="DW88" i="11"/>
  <c r="F93" i="11"/>
  <c r="F102" i="11"/>
  <c r="F104" i="11"/>
  <c r="F105" i="11"/>
  <c r="F106" i="11"/>
  <c r="DW57" i="11"/>
  <c r="F58" i="11"/>
  <c r="F59" i="11"/>
  <c r="DW60" i="11"/>
  <c r="F70" i="11"/>
  <c r="F71" i="11"/>
  <c r="F78" i="11"/>
  <c r="DW81" i="11"/>
  <c r="F41" i="11"/>
  <c r="DW45" i="11"/>
  <c r="F47" i="11"/>
  <c r="DW49" i="11"/>
  <c r="F50" i="11"/>
  <c r="F51" i="11"/>
  <c r="F52" i="11"/>
  <c r="DW54" i="11"/>
  <c r="DW21" i="11"/>
  <c r="F22" i="11"/>
  <c r="DW24" i="11"/>
  <c r="F29" i="11"/>
  <c r="F31" i="11"/>
  <c r="F33" i="11"/>
  <c r="F40" i="11"/>
  <c r="F6" i="11"/>
  <c r="DW7" i="11"/>
  <c r="DW9" i="11"/>
  <c r="F11" i="11"/>
  <c r="DW12" i="11"/>
  <c r="F13" i="11"/>
  <c r="F16" i="11"/>
  <c r="F17" i="11"/>
  <c r="F18" i="11"/>
  <c r="F19" i="11"/>
  <c r="F20" i="11"/>
  <c r="RE52" i="10" l="1"/>
  <c r="F84" i="11"/>
  <c r="DW84" i="11"/>
  <c r="DW95" i="11"/>
  <c r="F95" i="11"/>
  <c r="F88" i="11"/>
  <c r="F306" i="11"/>
  <c r="F99" i="11"/>
  <c r="DW99" i="11"/>
  <c r="F224" i="11"/>
  <c r="F208" i="11"/>
  <c r="DW302" i="11"/>
  <c r="F259" i="11"/>
  <c r="DW372" i="11"/>
  <c r="DW186" i="11"/>
  <c r="DW392" i="11"/>
  <c r="F141" i="11"/>
  <c r="DW141" i="11"/>
  <c r="DW213" i="11"/>
  <c r="F207" i="11"/>
  <c r="F154" i="11"/>
  <c r="DW255" i="11"/>
  <c r="DW203" i="11"/>
  <c r="DW151" i="11"/>
  <c r="F199" i="11"/>
  <c r="DW217" i="11"/>
  <c r="DW123" i="11"/>
  <c r="DW376" i="11"/>
  <c r="F376" i="11"/>
  <c r="DW288" i="11"/>
  <c r="F288" i="11"/>
  <c r="DW366" i="11"/>
  <c r="F366" i="11"/>
  <c r="DW361" i="11"/>
  <c r="F361" i="11"/>
  <c r="DW351" i="11"/>
  <c r="F351" i="11"/>
  <c r="DW317" i="11"/>
  <c r="F317" i="11"/>
  <c r="DW346" i="11"/>
  <c r="F346" i="11"/>
  <c r="DW330" i="11"/>
  <c r="F330" i="11"/>
  <c r="DW316" i="11"/>
  <c r="F316" i="11"/>
  <c r="DW365" i="11"/>
  <c r="F365" i="11"/>
  <c r="DW360" i="11"/>
  <c r="F360" i="11"/>
  <c r="DW355" i="11"/>
  <c r="F355" i="11"/>
  <c r="DW381" i="11"/>
  <c r="F381" i="11"/>
  <c r="DW326" i="11"/>
  <c r="F326" i="11"/>
  <c r="DW322" i="11"/>
  <c r="F322" i="11"/>
  <c r="DW318" i="11"/>
  <c r="F318" i="11"/>
  <c r="DW315" i="11"/>
  <c r="F315" i="11"/>
  <c r="DW347" i="11"/>
  <c r="F347" i="11"/>
  <c r="DW59" i="11"/>
  <c r="F240" i="11"/>
  <c r="F214" i="11"/>
  <c r="DW204" i="11"/>
  <c r="DW165" i="11"/>
  <c r="DW110" i="11"/>
  <c r="DW262" i="11"/>
  <c r="DW357" i="11"/>
  <c r="DW387" i="11"/>
  <c r="F257" i="11"/>
  <c r="F211" i="11"/>
  <c r="F170" i="11"/>
  <c r="DW334" i="11"/>
  <c r="DW121" i="11"/>
  <c r="DW329" i="11"/>
  <c r="DW296" i="11"/>
  <c r="DW369" i="11"/>
  <c r="DW362" i="11"/>
  <c r="DW345" i="11"/>
  <c r="DW314" i="11"/>
  <c r="DW238" i="11"/>
  <c r="F60" i="11"/>
  <c r="DW105" i="11"/>
  <c r="DW248" i="11"/>
  <c r="DW181" i="11"/>
  <c r="DW116" i="11"/>
  <c r="DW22" i="11"/>
  <c r="F111" i="11"/>
  <c r="DW47" i="11"/>
  <c r="DW159" i="11"/>
  <c r="DW353" i="11"/>
  <c r="DW323" i="11"/>
  <c r="F122" i="11"/>
  <c r="DW52" i="11"/>
  <c r="DW19" i="11"/>
  <c r="DW33" i="11"/>
  <c r="DW321" i="11"/>
  <c r="DW225" i="11"/>
  <c r="F261" i="11"/>
  <c r="DW304" i="11"/>
  <c r="DW172" i="11"/>
  <c r="DW109" i="11"/>
  <c r="F202" i="11"/>
  <c r="F153" i="11"/>
  <c r="DW264" i="11"/>
  <c r="DW246" i="11"/>
  <c r="DW179" i="11"/>
  <c r="DW307" i="11"/>
  <c r="DW363" i="11"/>
  <c r="DW250" i="11"/>
  <c r="DW162" i="11"/>
  <c r="DW319" i="11"/>
  <c r="F227" i="11"/>
  <c r="F169" i="11"/>
  <c r="F113" i="11"/>
  <c r="DW300" i="11"/>
  <c r="DW253" i="11"/>
  <c r="DW244" i="11"/>
  <c r="DW210" i="11"/>
  <c r="DW306" i="11"/>
  <c r="F223" i="11"/>
  <c r="F212" i="11"/>
  <c r="DW119" i="11"/>
  <c r="DW350" i="11"/>
  <c r="DW161" i="11"/>
  <c r="DW78" i="11"/>
  <c r="DW70" i="11"/>
  <c r="F171" i="11"/>
  <c r="DW128" i="11"/>
  <c r="DW102" i="11"/>
  <c r="F21" i="11"/>
  <c r="F45" i="11"/>
  <c r="DW280" i="11"/>
  <c r="DW189" i="11"/>
  <c r="DW279" i="11"/>
  <c r="DW294" i="11"/>
  <c r="DW176" i="11"/>
  <c r="F9" i="11"/>
  <c r="F7" i="11"/>
  <c r="DW241" i="11"/>
  <c r="F182" i="11"/>
  <c r="DW349" i="11"/>
  <c r="DW367" i="11"/>
  <c r="DW324" i="11"/>
  <c r="DW303" i="11"/>
  <c r="DW173" i="11"/>
  <c r="DW156" i="11"/>
  <c r="DW166" i="11"/>
  <c r="F12" i="11"/>
  <c r="F54" i="11"/>
  <c r="DW50" i="11"/>
  <c r="F81" i="11"/>
  <c r="DW17" i="11"/>
  <c r="DW242" i="11"/>
  <c r="DW136" i="11"/>
  <c r="DW104" i="11"/>
  <c r="DW71" i="11"/>
  <c r="DW51" i="11"/>
  <c r="DW157" i="11"/>
  <c r="DW93" i="11"/>
  <c r="DW31" i="11"/>
  <c r="DW13" i="11"/>
  <c r="DW40" i="11"/>
  <c r="DW18" i="11"/>
  <c r="DW106" i="11"/>
  <c r="DW29" i="11"/>
  <c r="DW343" i="11"/>
  <c r="DW331" i="11"/>
  <c r="DW327" i="11"/>
  <c r="F49" i="11"/>
  <c r="F226" i="11"/>
  <c r="F112" i="11"/>
  <c r="F107" i="11"/>
  <c r="DW58" i="11"/>
  <c r="DW41" i="11"/>
  <c r="DW188" i="11"/>
  <c r="DW20" i="11"/>
  <c r="DW16" i="11"/>
  <c r="DW6" i="11"/>
  <c r="F218" i="11"/>
  <c r="F167" i="11"/>
  <c r="F57" i="11"/>
  <c r="F24" i="11"/>
  <c r="DW263" i="11"/>
  <c r="DW260" i="11"/>
  <c r="DW258" i="11"/>
  <c r="DW201" i="11"/>
  <c r="DW196" i="11"/>
  <c r="DW368" i="11"/>
  <c r="F236" i="11"/>
  <c r="DW249" i="11"/>
  <c r="DW245" i="11"/>
  <c r="DW243" i="11"/>
  <c r="F148" i="11"/>
  <c r="F139" i="11"/>
  <c r="F124" i="11"/>
  <c r="DW298" i="11"/>
  <c r="DW292" i="11"/>
  <c r="DW281" i="11"/>
  <c r="DW389" i="11"/>
  <c r="DW193" i="11"/>
  <c r="DW133" i="11"/>
  <c r="DW344" i="11"/>
  <c r="DW147" i="11"/>
  <c r="DW140" i="11"/>
  <c r="DW134" i="11"/>
  <c r="F146" i="11"/>
  <c r="DW386" i="11" l="1"/>
  <c r="F386" i="11"/>
  <c r="B384" i="11" l="1"/>
  <c r="F384" i="11" l="1"/>
  <c r="DW384" i="11" l="1"/>
  <c r="F27" i="11" l="1"/>
  <c r="DW27" i="11" l="1"/>
  <c r="DW67" i="11" l="1"/>
  <c r="F67" i="11" l="1"/>
  <c r="DW274" i="11" l="1"/>
  <c r="F274" i="11" l="1"/>
  <c r="DW65" i="11" l="1"/>
  <c r="F65" i="11"/>
  <c r="F97" i="11" l="1"/>
  <c r="DW97" i="11"/>
  <c r="B305" i="11" l="1"/>
  <c r="DW37" i="11"/>
  <c r="F37" i="11"/>
  <c r="F305" i="11" l="1"/>
  <c r="DW305" i="11"/>
  <c r="DW11" i="11" l="1"/>
  <c r="G393" i="11" l="1"/>
  <c r="G394" i="11" s="1"/>
  <c r="B390" i="11"/>
  <c r="F390" i="11" s="1"/>
  <c r="B393" i="11" l="1"/>
  <c r="DW390" i="11"/>
  <c r="F393" i="11" l="1"/>
  <c r="DW393" i="11"/>
  <c r="B394" i="11"/>
  <c r="DW394" i="11" l="1"/>
  <c r="F394" i="11"/>
</calcChain>
</file>

<file path=xl/comments1.xml><?xml version="1.0" encoding="utf-8"?>
<comments xmlns="http://schemas.openxmlformats.org/spreadsheetml/2006/main">
  <authors>
    <author>Lesli2005</author>
    <author>Office-pc</author>
  </authors>
  <commentList>
    <comment ref="RF2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09/01</t>
        </r>
      </text>
    </comment>
    <comment ref="RF3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F4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G6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07/02</t>
        </r>
      </text>
    </comment>
    <comment ref="RF8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11/01</t>
        </r>
      </text>
    </comment>
    <comment ref="RF11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F12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F13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G14" authorId="1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10/02</t>
        </r>
      </text>
    </comment>
    <comment ref="RE16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1980$ </t>
        </r>
      </text>
    </comment>
    <comment ref="RF17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27/01</t>
        </r>
      </text>
    </comment>
    <comment ref="RE18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 1980 $ курс 2,6386</t>
        </r>
      </text>
    </comment>
    <comment ref="RF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RG19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09/02</t>
        </r>
      </text>
    </comment>
    <comment ref="RF20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31/01</t>
        </r>
      </text>
    </comment>
    <comment ref="RE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 курс 2,6308</t>
        </r>
      </text>
    </comment>
    <comment ref="RF23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
20/01</t>
        </r>
      </text>
    </comment>
    <comment ref="RF26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20/01</t>
        </r>
      </text>
    </comment>
    <comment ref="RF27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05/01</t>
        </r>
      </text>
    </comment>
    <comment ref="RF28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12/01</t>
        </r>
      </text>
    </comment>
    <comment ref="RG29" authorId="1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10/02</t>
        </r>
      </text>
    </comment>
    <comment ref="RF30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24/01</t>
        </r>
      </text>
    </comment>
    <comment ref="RF31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F32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31/01</t>
        </r>
      </text>
    </comment>
    <comment ref="RF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20/01</t>
        </r>
      </text>
    </comment>
    <comment ref="RG34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</t>
        </r>
      </text>
    </comment>
    <comment ref="RG35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07/0209/02</t>
        </r>
      </text>
    </comment>
    <comment ref="RF36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26/01</t>
        </r>
      </text>
    </comment>
    <comment ref="RF38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 0,32 коп
24/01</t>
        </r>
      </text>
    </comment>
    <comment ref="RG39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08/02</t>
        </r>
      </text>
    </comment>
    <comment ref="RG41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</t>
        </r>
      </text>
    </comment>
    <comment ref="RF45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
31/01</t>
        </r>
      </text>
    </comment>
    <comment ref="RF47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переплата с 2022 г.</t>
        </r>
      </text>
    </comment>
    <comment ref="RF49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</t>
        </r>
      </text>
    </comment>
    <comment ref="RG50" authorId="0" shapeId="0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
13/02</t>
        </r>
      </text>
    </comment>
    <comment ref="RG51" authorId="1" shapeId="0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13/02</t>
        </r>
      </text>
    </comment>
  </commentList>
</comments>
</file>

<file path=xl/comments2.xml><?xml version="1.0" encoding="utf-8"?>
<comments xmlns="http://schemas.openxmlformats.org/spreadsheetml/2006/main">
  <authors>
    <author>Ольга</author>
  </authors>
  <commentList>
    <comment ref="DV2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DV3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<sst xmlns="http://schemas.openxmlformats.org/spreadsheetml/2006/main" count="1237" uniqueCount="579">
  <si>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</si>
  <si>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</si>
  <si>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</si>
  <si>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</si>
  <si>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</si>
  <si>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</si>
  <si>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</si>
  <si>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</si>
  <si>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</si>
  <si>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</si>
  <si>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</si>
  <si>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</si>
  <si>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</si>
  <si>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</si>
  <si>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</si>
  <si>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</si>
  <si>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</si>
  <si>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</si>
  <si>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</si>
  <si>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</si>
  <si>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</si>
  <si>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</si>
  <si>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</si>
  <si>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</si>
  <si>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</si>
  <si>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</si>
  <si>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</si>
  <si>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</si>
  <si>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</si>
  <si>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</si>
  <si>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</si>
  <si>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</si>
  <si>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</si>
  <si>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</si>
  <si>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</si>
  <si>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</si>
  <si>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</si>
  <si>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</si>
  <si>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</si>
  <si>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</si>
  <si>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</si>
  <si>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</si>
  <si>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</si>
  <si>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</si>
  <si>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</si>
  <si>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</si>
  <si>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</si>
  <si>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</si>
  <si>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</si>
  <si>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</si>
  <si>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</si>
  <si>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</si>
  <si>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</si>
  <si>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</si>
  <si>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</si>
  <si>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</si>
  <si>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</si>
  <si>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</si>
  <si>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</si>
  <si>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</si>
  <si>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</si>
  <si>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</si>
  <si>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</si>
  <si>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</si>
  <si>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</si>
  <si>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</si>
  <si>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</si>
  <si>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</si>
  <si>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</si>
  <si>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</si>
  <si>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</si>
  <si>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</si>
  <si>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</si>
  <si>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</si>
  <si>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</si>
  <si>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</si>
  <si>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</si>
  <si>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</si>
  <si>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</si>
  <si>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</si>
  <si>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</si>
  <si>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</si>
  <si>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</si>
  <si>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</si>
  <si>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</si>
  <si>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</si>
  <si>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</si>
  <si>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</si>
  <si>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</si>
  <si>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</si>
  <si>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</si>
  <si>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</si>
  <si>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</si>
  <si>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</si>
  <si>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</si>
  <si>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</si>
  <si>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</si>
  <si>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</si>
  <si>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</si>
  <si>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</si>
  <si>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</si>
  <si>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</si>
  <si>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</si>
  <si>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</si>
  <si>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</si>
  <si>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</si>
  <si>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</si>
  <si>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</si>
  <si>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</si>
  <si>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</si>
  <si>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</si>
  <si>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</si>
  <si>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</si>
  <si>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</si>
  <si>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</si>
  <si>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</si>
  <si>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</si>
  <si>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</si>
  <si>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</si>
  <si>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</si>
  <si>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</si>
  <si>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</si>
  <si>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</si>
  <si>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</si>
  <si>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</si>
  <si>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</si>
  <si>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</si>
  <si>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</si>
  <si>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</si>
  <si>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</si>
  <si>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</si>
  <si>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</si>
  <si>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</si>
  <si>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</si>
  <si>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</si>
  <si>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</si>
  <si>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</si>
  <si>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</si>
  <si>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</si>
  <si>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</si>
  <si>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</si>
  <si>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</si>
  <si>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</si>
  <si>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</si>
  <si>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</si>
  <si>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</si>
  <si>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</si>
  <si>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</si>
  <si>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</si>
  <si>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</si>
  <si>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</si>
  <si>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</si>
  <si>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</si>
  <si>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</si>
  <si>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</si>
  <si>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</si>
  <si>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</si>
  <si>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</si>
  <si>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</si>
  <si>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</si>
  <si>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</si>
  <si>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</si>
  <si>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</si>
  <si>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</si>
  <si>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</si>
  <si>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</si>
  <si>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</si>
  <si>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</si>
  <si>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</si>
  <si>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</si>
  <si>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</si>
  <si>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</si>
  <si>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</si>
  <si>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</si>
  <si>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</si>
  <si>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</si>
  <si>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</si>
  <si>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</si>
  <si>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</si>
  <si>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</si>
  <si>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</si>
  <si>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</si>
  <si>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</si>
  <si>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</si>
  <si>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</si>
  <si>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</si>
  <si>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</si>
  <si>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</si>
  <si>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</si>
  <si>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</si>
  <si>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</si>
  <si>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</si>
  <si>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</si>
  <si>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</si>
  <si>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</si>
  <si>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</si>
  <si>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</si>
  <si>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</si>
  <si>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</si>
  <si>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</si>
  <si>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</si>
  <si>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</si>
  <si>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</si>
  <si>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</si>
  <si>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</si>
  <si>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</si>
  <si>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</si>
  <si>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</si>
  <si>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</si>
  <si>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</si>
  <si>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</si>
  <si>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</si>
  <si>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</si>
  <si>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</si>
  <si>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</si>
  <si>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</si>
  <si>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</si>
  <si>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</si>
  <si>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</si>
  <si>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</si>
  <si>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</si>
  <si>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</si>
  <si>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</si>
  <si>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</si>
  <si>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</si>
  <si>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</si>
  <si>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</si>
  <si>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</si>
  <si>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</si>
  <si>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</si>
  <si>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</si>
  <si>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</si>
  <si>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</si>
  <si>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</si>
  <si>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</si>
  <si>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</si>
  <si>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</si>
  <si>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</si>
  <si>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</si>
  <si>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</si>
  <si>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</si>
  <si>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</si>
  <si>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</si>
  <si>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</si>
  <si>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</si>
  <si>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</si>
  <si>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</si>
  <si>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</si>
  <si>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</si>
  <si>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</si>
  <si>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</si>
  <si>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</si>
  <si>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</si>
  <si>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</si>
  <si>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</si>
  <si>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</si>
  <si>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</si>
  <si>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</si>
  <si>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</si>
  <si>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</si>
  <si>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</si>
  <si>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</si>
  <si>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</si>
  <si>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</si>
  <si>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</si>
  <si>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</si>
  <si>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</si>
  <si>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</si>
  <si>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</si>
  <si>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</si>
  <si>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</si>
  <si>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</si>
  <si>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</si>
  <si>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</si>
  <si>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</si>
  <si>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</si>
  <si>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</si>
  <si>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</si>
  <si>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</si>
  <si>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</si>
  <si>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</si>
  <si>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</si>
  <si>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</si>
  <si>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</si>
  <si>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</si>
  <si>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</si>
  <si>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</si>
  <si>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</si>
  <si>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</si>
  <si>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</si>
  <si>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</si>
  <si>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</si>
  <si>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</si>
  <si>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</si>
  <si>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</si>
  <si>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</si>
  <si>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</si>
  <si>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</si>
  <si>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</si>
  <si>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</si>
  <si>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</si>
  <si>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</si>
  <si>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</si>
  <si>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</si>
  <si>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</si>
  <si>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</si>
  <si>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</si>
  <si>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</si>
  <si>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</si>
  <si>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</si>
  <si>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</si>
  <si>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</si>
  <si>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</si>
  <si>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</si>
  <si>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</si>
  <si>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</si>
  <si>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</si>
  <si>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</si>
  <si>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</si>
  <si>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</si>
  <si>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</si>
  <si>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</si>
  <si>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</si>
  <si>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</si>
  <si>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</si>
  <si>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</si>
  <si>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</si>
  <si>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</si>
  <si>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</si>
  <si>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</si>
  <si>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</si>
  <si>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</si>
  <si>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</si>
  <si>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</si>
  <si>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</si>
  <si>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Белга</t>
  </si>
  <si>
    <t>Вишня 827 с красителем</t>
  </si>
  <si>
    <t>Вишня 1348</t>
  </si>
  <si>
    <t>Творожный крем 1109</t>
  </si>
  <si>
    <t>Масло сливочное 1116</t>
  </si>
  <si>
    <t>Фисташка 565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</si>
  <si>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</si>
  <si>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</si>
  <si>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</si>
  <si>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</si>
  <si>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</si>
  <si>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</si>
  <si>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</si>
  <si>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Ванильный 1201</t>
  </si>
  <si>
    <t>Миндаль горький 1305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</si>
  <si>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</si>
  <si>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</si>
  <si>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</si>
  <si>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</si>
  <si>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</si>
  <si>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</si>
  <si>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</si>
  <si>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</si>
  <si>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</si>
  <si>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</si>
  <si>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</si>
  <si>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</si>
  <si>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</si>
  <si>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</si>
  <si>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</si>
  <si>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</si>
  <si>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</si>
  <si>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</si>
  <si>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</si>
  <si>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</si>
  <si>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</si>
  <si>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</si>
  <si>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Зеленое яблоко 312 ES ЛАК</t>
  </si>
  <si>
    <t>Корица 514</t>
  </si>
  <si>
    <t>Гвоздика 709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</si>
  <si>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</si>
  <si>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</si>
  <si>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</si>
  <si>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</si>
  <si>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</si>
  <si>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</si>
  <si>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</si>
  <si>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</si>
  <si>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</si>
  <si>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</si>
  <si>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</si>
  <si>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</si>
  <si>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</si>
  <si>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</si>
  <si>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</si>
  <si>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</si>
  <si>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</si>
  <si>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</si>
  <si>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</si>
  <si>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</si>
  <si>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</si>
  <si>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тип Абрикос 1107</t>
  </si>
  <si>
    <t>Дан дистрибьюшен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</si>
  <si>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</si>
  <si>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</si>
  <si>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</si>
  <si>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</si>
  <si>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</si>
  <si>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</si>
  <si>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</si>
  <si>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</si>
  <si>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</si>
  <si>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</si>
  <si>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</si>
  <si>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</si>
  <si>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</si>
  <si>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</si>
  <si>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</si>
  <si>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</si>
  <si>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</si>
  <si>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Тоффи 714</t>
  </si>
  <si>
    <t>Мохито 1153</t>
  </si>
  <si>
    <t>Толочинские сыры</t>
  </si>
  <si>
    <t>Мед 818 с красителем Е150а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</si>
  <si>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</si>
  <si>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</si>
  <si>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</si>
  <si>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</si>
  <si>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</si>
  <si>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</si>
  <si>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</si>
  <si>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</si>
  <si>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</si>
  <si>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</si>
  <si>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</si>
  <si>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</si>
  <si>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</si>
  <si>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Бета каротин 10% CWS</t>
  </si>
  <si>
    <t>Грибы FL042 тип Грибы</t>
  </si>
  <si>
    <t>Ирисо-сливочный 733</t>
  </si>
  <si>
    <t>МИХРОМОВЫЙ Фиолетовый 0200U</t>
  </si>
  <si>
    <t>Грейпфрут 726</t>
  </si>
  <si>
    <t>Дятлово ЛВЗ</t>
  </si>
  <si>
    <t>Барбарис 1468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</si>
  <si>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</si>
  <si>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</si>
  <si>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</si>
  <si>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</si>
  <si>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Цитрусовый 724 тип Апельсин</t>
  </si>
  <si>
    <t>Монтбрук</t>
  </si>
  <si>
    <t>Эвкалипт 658</t>
  </si>
  <si>
    <t>Вишня 919/М</t>
  </si>
  <si>
    <t>Банан 917/М</t>
  </si>
  <si>
    <t>Карамель 928/М</t>
  </si>
  <si>
    <t>Белобст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</si>
  <si>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</si>
  <si>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</si>
  <si>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</si>
  <si>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</si>
  <si>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</si>
  <si>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Милкавита</t>
  </si>
  <si>
    <t>Биями</t>
  </si>
  <si>
    <t>Новотон G Зеленый виноград 206</t>
  </si>
  <si>
    <t>Новотон Y Солнечный лимон 203</t>
  </si>
  <si>
    <t>Вишня 061</t>
  </si>
  <si>
    <t>Цитрусовый 570 тип Лимон-лайм</t>
  </si>
  <si>
    <t>Персик</t>
  </si>
  <si>
    <t>Вишня 667</t>
  </si>
  <si>
    <t>Мед 1192</t>
  </si>
  <si>
    <t>Грейпфрутовый 1158</t>
  </si>
  <si>
    <t>Лимон 926/М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</si>
  <si>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</si>
  <si>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</si>
  <si>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</si>
  <si>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</si>
  <si>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</si>
  <si>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</si>
  <si>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Фруктовый 1332 тип Манго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</si>
  <si>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</si>
  <si>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</si>
  <si>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</si>
  <si>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</si>
  <si>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</si>
  <si>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</si>
  <si>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Масло-мол FL 603 тип Топленое молоко</t>
  </si>
  <si>
    <t>Экоклауд эмульсия нейтральная</t>
  </si>
  <si>
    <t>Аквабетин бетакаротин РS 1066В</t>
  </si>
  <si>
    <t>Вишнево яблочный 204</t>
  </si>
  <si>
    <t>Клюква 1203</t>
  </si>
  <si>
    <t>Черная смородина</t>
  </si>
  <si>
    <t>Экоплант Зкстракт желтый 0278 WS</t>
  </si>
  <si>
    <t>Грибы белые 1387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</si>
  <si>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</si>
  <si>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</si>
  <si>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</si>
  <si>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</si>
  <si>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</si>
  <si>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</si>
  <si>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</si>
  <si>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</si>
  <si>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</si>
  <si>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</si>
  <si>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</si>
  <si>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</si>
  <si>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</si>
  <si>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</si>
  <si>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</si>
  <si>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</si>
  <si>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</si>
  <si>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</si>
  <si>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</si>
  <si>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Новотон S голубой лед 209</t>
  </si>
  <si>
    <t>Черная смородина 625</t>
  </si>
  <si>
    <t>Унифид</t>
  </si>
  <si>
    <t>АРОМАКОЛОР 0983</t>
  </si>
  <si>
    <t>Манго 689</t>
  </si>
  <si>
    <t>Клубника со сливками 708</t>
  </si>
  <si>
    <t>Малина 1450</t>
  </si>
  <si>
    <t>Черная смородина 554</t>
  </si>
  <si>
    <t>31.10,14.11</t>
  </si>
  <si>
    <t>Ферронат горький шоколад 029</t>
  </si>
  <si>
    <t>Экотон Паприка 0010</t>
  </si>
  <si>
    <t>Гурман FL 606 тип Курица</t>
  </si>
  <si>
    <t>Пряности и травы FL 049 тип Имбирь</t>
  </si>
  <si>
    <t>Коричневый НТ</t>
  </si>
  <si>
    <t>Глиттер бирюзовый 050</t>
  </si>
  <si>
    <t>срок 20.02.2023</t>
  </si>
  <si>
    <t>срок 02.01.2023</t>
  </si>
  <si>
    <t>Клубника FF90406"</t>
  </si>
  <si>
    <t>Белый шоколад FF90062"</t>
  </si>
  <si>
    <t>остаток 03.01.2023</t>
  </si>
  <si>
    <t>Ваш хлеб</t>
  </si>
  <si>
    <t>срок 09.02.2023</t>
  </si>
  <si>
    <t>срок 10.02.2023</t>
  </si>
  <si>
    <t>срок 16.02.2023</t>
  </si>
  <si>
    <t>срок 11.02.2023</t>
  </si>
  <si>
    <t>срок 31.01.2023</t>
  </si>
  <si>
    <t>Мидаспро</t>
  </si>
  <si>
    <t>Гродно х/п</t>
  </si>
  <si>
    <t>Калина</t>
  </si>
  <si>
    <t>Фудмир</t>
  </si>
  <si>
    <t>КХПА</t>
  </si>
  <si>
    <t>ТД Аэросвит</t>
  </si>
  <si>
    <t>Джин 598</t>
  </si>
  <si>
    <t>Яблочный штрудель 1301</t>
  </si>
  <si>
    <t>срок 08.02.2023</t>
  </si>
  <si>
    <t>срок 19.02.2023</t>
  </si>
  <si>
    <t>срок 17.03.2023</t>
  </si>
  <si>
    <t>срок 30.01.2023</t>
  </si>
  <si>
    <t>срок 23.02.2023</t>
  </si>
  <si>
    <t>МЗВВ</t>
  </si>
  <si>
    <t>Роял фрут</t>
  </si>
  <si>
    <t>Городея</t>
  </si>
  <si>
    <t>Олвитранс</t>
  </si>
  <si>
    <t>срок 24.03.2023</t>
  </si>
  <si>
    <t>срок 15.02.2023</t>
  </si>
  <si>
    <t>срок 22.03.2023</t>
  </si>
  <si>
    <t>Семенов С.И.</t>
  </si>
  <si>
    <t>29.12.2022, 30.01.2023</t>
  </si>
  <si>
    <t>23.01.2023,30.01.2023</t>
  </si>
  <si>
    <t>Нордар</t>
  </si>
  <si>
    <t>Дятлово мол. Мир</t>
  </si>
  <si>
    <t>Морозпродукт</t>
  </si>
  <si>
    <t>Лидапищ</t>
  </si>
  <si>
    <t>срок 07.03.2023</t>
  </si>
  <si>
    <t>срок 01.03.2023</t>
  </si>
  <si>
    <t>Солигорск х/зд</t>
  </si>
  <si>
    <t>Гуарди</t>
  </si>
  <si>
    <t>ЭКОресурс</t>
  </si>
  <si>
    <t>Тархун R120</t>
  </si>
  <si>
    <t>Молочный гостинец</t>
  </si>
  <si>
    <t>Брест ЛВЗ</t>
  </si>
  <si>
    <t>Орша СЗ</t>
  </si>
  <si>
    <t>Универсал люкс</t>
  </si>
  <si>
    <t>Кр. Мозырянин</t>
  </si>
  <si>
    <t>Березкина А.В. ИП</t>
  </si>
  <si>
    <t>Берестейский пекарь Лунинец</t>
  </si>
  <si>
    <t>30.01,13.02.2023</t>
  </si>
  <si>
    <t>Апельсин сицилийский 1352</t>
  </si>
  <si>
    <t>30.01.13.02.2023</t>
  </si>
  <si>
    <t>23.01.13.02.2023</t>
  </si>
  <si>
    <t>Молочный 1145</t>
  </si>
  <si>
    <t>02.12,13.02.2023</t>
  </si>
  <si>
    <t>Компания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</si>
</sst>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9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1" fillId="0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5" fillId="13" borderId="3" xfId="0" applyNumberFormat="1" applyFont="1" applyFill="1" applyBorder="1"/>
    <xf numFmtId="167" fontId="7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0" fontId="1" fillId="0" borderId="0" xfId="0" applyNumberFormat="1" applyFont="1" applyFill="1" applyBorder="1" applyAlignment="1">
      <alignment horizontal="right"/>
    </xf>
    <xf numFmtId="14" fontId="5" fillId="0" borderId="0" xfId="0" applyNumberFormat="1" applyFont="1" applyFill="1" applyBorder="1" applyAlignment="1">
      <alignment horizontal="left"/>
    </xf>
    <xf numFmtId="14" fontId="4" fillId="0" borderId="0" xfId="0" applyNumberFormat="1" applyFont="1" applyFill="1"/>
    <xf numFmtId="4" fontId="5" fillId="14" borderId="3" xfId="0" applyNumberFormat="1" applyFont="1" applyFill="1" applyBorder="1" applyAlignment="1">
      <alignment horizontal="right"/>
    </xf>
    <xf numFmtId="0" fontId="0" fillId="11" borderId="3" xfId="0" applyFill="1" applyBorder="1" applyAlignment="1">
      <alignment horizontal="center"/>
    </xf>
    <xf numFmtId="14" fontId="0" fillId="0" borderId="0" xfId="0" applyNumberFormat="1" applyFill="1" applyBorder="1"/>
    <xf numFmtId="0" fontId="18" fillId="0" borderId="3" xfId="0" applyFont="1" applyFill="1" applyBorder="1"/>
  </cellXfs>
  <cellStyles count="2">
    <cellStyle name="Обычный" xfId="0" builtinId="0"/>
    <cellStyle name="Финансовый_Декабрь" xfId="1"/>
  </cellStyles>
  <dxfs count="1"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xmlns="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xmlns="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RI52"/>
  <sheetViews>
    <sheetView zoomScale="110" zoomScaleNormal="110" workbookViewId="0">
      <pane ySplit="1" topLeftCell="A2" activePane="bottomLeft" state="frozen"/>
      <selection pane="bottomLeft" activeCell="B39" sqref="B39"/>
    </sheetView>
  </sheetViews>
  <sheetFormatPr defaultColWidth="9.140625" defaultRowHeight="12.75" x14ac:dyDescent="0.2"/>
  <cols>
    <col min="1" max="1" width="8.140625" style="22" customWidth="1"/>
    <col min="2" max="2" width="20.28515625" style="37" customWidth="1"/>
    <col min="3" max="4" width="11.28515625" style="105" customWidth="1"/>
    <col min="5" max="5" width="10.5703125" style="105" customWidth="1"/>
    <col min="6" max="7" width="11.28515625" style="105" customWidth="1"/>
    <col min="8" max="8" width="12" style="105" customWidth="1"/>
    <col min="9" max="9" width="9.85546875" style="105" customWidth="1"/>
    <col min="10" max="13" width="10.7109375" style="105" customWidth="1"/>
    <col min="14" max="15" width="12.28515625" style="102" customWidth="1"/>
    <col min="16" max="17" width="13" style="102" customWidth="1"/>
    <col min="18" max="18" width="12.42578125" style="102" customWidth="1"/>
    <col min="19" max="19" width="12.28515625" style="102" customWidth="1"/>
    <col min="20" max="20" width="12.28515625" style="103" customWidth="1"/>
    <col min="21" max="21" width="9.7109375" style="103" customWidth="1"/>
    <col min="22" max="23" width="10.7109375" style="103" customWidth="1"/>
    <col min="24" max="25" width="12.7109375" style="103" customWidth="1"/>
    <col min="26" max="28" width="12.28515625" style="103" customWidth="1"/>
    <col min="29" max="31" width="9.85546875" style="103" customWidth="1"/>
    <col min="32" max="32" width="7.140625" style="103" customWidth="1"/>
    <col min="33" max="34" width="11.140625" style="103" customWidth="1"/>
    <col min="35" max="36" width="9.7109375" style="103" customWidth="1"/>
    <col min="37" max="38" width="12.140625" style="103" customWidth="1"/>
    <col min="39" max="39" width="17.5703125" style="103" customWidth="1"/>
    <col min="40" max="40" width="19.28515625" style="103" customWidth="1"/>
    <col min="41" max="43" width="19.28515625" style="104" customWidth="1"/>
    <col min="44" max="44" width="17.7109375" style="104" customWidth="1"/>
    <col min="45" max="45" width="13.28515625" style="104" customWidth="1"/>
    <col min="46" max="47" width="13.28515625" style="102" customWidth="1"/>
    <col min="48" max="48" width="14" style="102" customWidth="1"/>
    <col min="49" max="49" width="10.7109375" style="102" customWidth="1"/>
    <col min="50" max="51" width="12.7109375" style="102" customWidth="1"/>
    <col min="52" max="52" width="19" style="102" customWidth="1"/>
    <col min="53" max="54" width="18.42578125" style="102" customWidth="1"/>
    <col min="55" max="55" width="19.28515625" style="102" customWidth="1"/>
    <col min="56" max="57" width="11.42578125" style="102" customWidth="1"/>
    <col min="58" max="59" width="12.140625" style="102" customWidth="1"/>
    <col min="60" max="63" width="18.7109375" style="102" customWidth="1"/>
    <col min="64" max="65" width="9.5703125" style="104" customWidth="1"/>
    <col min="66" max="66" width="19.85546875" style="104" customWidth="1"/>
    <col min="67" max="68" width="17.140625" style="104" customWidth="1"/>
    <col min="69" max="71" width="11.140625" style="104" customWidth="1"/>
    <col min="72" max="74" width="13.7109375" style="104" customWidth="1"/>
    <col min="75" max="75" width="10.28515625" style="104" customWidth="1"/>
    <col min="76" max="76" width="9.28515625" style="102" customWidth="1"/>
    <col min="77" max="78" width="10.85546875" style="102" customWidth="1"/>
    <col min="79" max="79" width="10.140625" style="102" customWidth="1"/>
    <col min="80" max="80" width="12.7109375" style="102" customWidth="1"/>
    <col min="81" max="81" width="14.7109375" style="102" customWidth="1"/>
    <col min="82" max="85" width="12.7109375" style="102" customWidth="1"/>
    <col min="86" max="87" width="10.7109375" style="104" customWidth="1"/>
    <col min="88" max="88" width="15.7109375" style="104" customWidth="1"/>
    <col min="89" max="89" width="18.5703125" style="104" customWidth="1"/>
    <col min="90" max="91" width="9.28515625" style="104" customWidth="1"/>
    <col min="92" max="92" width="11.5703125" style="104" customWidth="1"/>
    <col min="93" max="93" width="11.42578125" style="104" customWidth="1"/>
    <col min="94" max="96" width="13" style="104" customWidth="1"/>
    <col min="97" max="98" width="18.28515625" style="104" customWidth="1"/>
    <col min="99" max="99" width="10.85546875" style="102" customWidth="1"/>
    <col min="100" max="101" width="17.7109375" style="102" customWidth="1"/>
    <col min="102" max="102" width="18.28515625" style="102" customWidth="1"/>
    <col min="103" max="104" width="10.28515625" style="102" customWidth="1"/>
    <col min="105" max="105" width="9.7109375" style="102" customWidth="1"/>
    <col min="106" max="110" width="12.28515625" style="102" customWidth="1"/>
    <col min="111" max="111" width="20" style="102" customWidth="1"/>
    <col min="112" max="112" width="9.7109375" style="102" customWidth="1"/>
    <col min="113" max="115" width="9" style="102" customWidth="1"/>
    <col min="116" max="116" width="12" style="103" customWidth="1"/>
    <col min="117" max="119" width="12" style="104" customWidth="1"/>
    <col min="120" max="120" width="11.28515625" style="104" customWidth="1"/>
    <col min="121" max="126" width="12.7109375" style="104" customWidth="1"/>
    <col min="127" max="127" width="10" style="104" customWidth="1"/>
    <col min="128" max="130" width="10.7109375" style="104" customWidth="1"/>
    <col min="131" max="131" width="14.140625" style="104" customWidth="1"/>
    <col min="132" max="133" width="9.7109375" style="104" customWidth="1"/>
    <col min="134" max="134" width="15.5703125" style="104" customWidth="1"/>
    <col min="135" max="136" width="14.7109375" style="104" customWidth="1"/>
    <col min="137" max="137" width="23.42578125" style="104" customWidth="1"/>
    <col min="138" max="139" width="9.28515625" style="104" customWidth="1"/>
    <col min="140" max="140" width="15.85546875" style="104" customWidth="1"/>
    <col min="141" max="145" width="9" style="104" customWidth="1"/>
    <col min="146" max="146" width="10.42578125" style="104" customWidth="1"/>
    <col min="147" max="147" width="13.140625" style="104" customWidth="1"/>
    <col min="148" max="148" width="19.85546875" style="104" customWidth="1"/>
    <col min="149" max="151" width="19.28515625" style="104" customWidth="1"/>
    <col min="152" max="152" width="13.28515625" style="104" customWidth="1"/>
    <col min="153" max="153" width="12.85546875" style="104" customWidth="1"/>
    <col min="154" max="154" width="12.85546875" style="102" customWidth="1"/>
    <col min="155" max="155" width="11.28515625" style="102" customWidth="1"/>
    <col min="156" max="156" width="18.5703125" style="102" customWidth="1"/>
    <col min="157" max="157" width="18.28515625" style="102" customWidth="1"/>
    <col min="158" max="158" width="19" style="102" customWidth="1"/>
    <col min="159" max="161" width="13.85546875" style="102" customWidth="1"/>
    <col min="162" max="162" width="13.42578125" style="102" customWidth="1"/>
    <col min="163" max="163" width="14.85546875" style="102" customWidth="1"/>
    <col min="164" max="165" width="15.7109375" style="102" customWidth="1"/>
    <col min="166" max="167" width="15.140625" style="102" customWidth="1"/>
    <col min="168" max="168" width="10.140625" style="103" customWidth="1"/>
    <col min="169" max="169" width="12.7109375" style="103" customWidth="1"/>
    <col min="170" max="170" width="10.140625" style="103" customWidth="1"/>
    <col min="171" max="172" width="10.140625" style="104" customWidth="1"/>
    <col min="173" max="173" width="11.7109375" style="102" customWidth="1"/>
    <col min="174" max="175" width="12.5703125" style="102" customWidth="1"/>
    <col min="176" max="176" width="13" style="102" customWidth="1"/>
    <col min="177" max="178" width="14.28515625" style="102" customWidth="1"/>
    <col min="179" max="182" width="10.85546875" style="102" customWidth="1"/>
    <col min="183" max="183" width="13.85546875" style="102" customWidth="1"/>
    <col min="184" max="185" width="9.85546875" style="102" customWidth="1"/>
    <col min="186" max="186" width="8.140625" style="103" customWidth="1"/>
    <col min="187" max="187" width="14.28515625" style="104" customWidth="1"/>
    <col min="188" max="190" width="11.7109375" style="104" customWidth="1"/>
    <col min="191" max="191" width="10.85546875" style="102" customWidth="1"/>
    <col min="192" max="192" width="13.140625" style="102" customWidth="1"/>
    <col min="193" max="193" width="15.28515625" style="102" customWidth="1"/>
    <col min="194" max="194" width="17.7109375" style="102" customWidth="1"/>
    <col min="195" max="195" width="11.28515625" style="102" customWidth="1"/>
    <col min="196" max="196" width="9.28515625" style="102" customWidth="1"/>
    <col min="197" max="197" width="15.28515625" style="102" customWidth="1"/>
    <col min="198" max="198" width="8.7109375" style="102" customWidth="1"/>
    <col min="199" max="199" width="9.42578125" style="102" customWidth="1"/>
    <col min="200" max="202" width="8.7109375" style="102" customWidth="1"/>
    <col min="203" max="204" width="7.85546875" style="102" customWidth="1"/>
    <col min="205" max="205" width="16" style="103" customWidth="1"/>
    <col min="206" max="206" width="17.7109375" style="104" customWidth="1"/>
    <col min="207" max="207" width="15.7109375" style="104" customWidth="1"/>
    <col min="208" max="208" width="11.7109375" style="104" customWidth="1"/>
    <col min="209" max="209" width="11.7109375" style="102" customWidth="1"/>
    <col min="210" max="212" width="18.28515625" style="102" customWidth="1"/>
    <col min="213" max="213" width="18.7109375" style="103" customWidth="1"/>
    <col min="214" max="214" width="18.7109375" style="104" customWidth="1"/>
    <col min="215" max="215" width="19.5703125" style="104" customWidth="1"/>
    <col min="216" max="218" width="17.28515625" style="104" customWidth="1"/>
    <col min="219" max="222" width="18.140625" style="104" customWidth="1"/>
    <col min="223" max="223" width="11.7109375" style="104" customWidth="1"/>
    <col min="224" max="224" width="6.28515625" style="103" customWidth="1"/>
    <col min="225" max="225" width="9.140625" style="104" customWidth="1"/>
    <col min="226" max="226" width="9.85546875" style="104" customWidth="1"/>
    <col min="227" max="227" width="10.7109375" style="104" customWidth="1"/>
    <col min="228" max="228" width="18.42578125" style="104" customWidth="1"/>
    <col min="229" max="229" width="12.28515625" style="104" customWidth="1"/>
    <col min="230" max="231" width="11.28515625" style="104" customWidth="1"/>
    <col min="232" max="234" width="10.5703125" style="104" customWidth="1"/>
    <col min="235" max="235" width="11.28515625" style="104" customWidth="1"/>
    <col min="236" max="236" width="17.7109375" style="102" customWidth="1"/>
    <col min="237" max="237" width="28" style="102" customWidth="1"/>
    <col min="238" max="238" width="19.28515625" style="102" customWidth="1"/>
    <col min="239" max="240" width="17.85546875" style="102" customWidth="1"/>
    <col min="241" max="241" width="9.5703125" style="102" customWidth="1"/>
    <col min="242" max="242" width="8.5703125" style="102" customWidth="1"/>
    <col min="243" max="243" width="11.85546875" style="102" customWidth="1"/>
    <col min="244" max="244" width="16.28515625" style="102" customWidth="1"/>
    <col min="245" max="245" width="10.140625" style="102" customWidth="1"/>
    <col min="246" max="246" width="11.7109375" style="102" customWidth="1"/>
    <col min="247" max="249" width="12.42578125" style="102" customWidth="1"/>
    <col min="250" max="250" width="10.5703125" style="102" customWidth="1"/>
    <col min="251" max="251" width="9.85546875" style="102" customWidth="1"/>
    <col min="252" max="253" width="10.5703125" style="102" customWidth="1"/>
    <col min="254" max="257" width="11.28515625" style="102" customWidth="1"/>
    <col min="258" max="258" width="18.140625" style="102" customWidth="1"/>
    <col min="259" max="259" width="17.85546875" style="102" customWidth="1"/>
    <col min="260" max="260" width="11.42578125" style="102" customWidth="1"/>
    <col min="261" max="261" width="8.5703125" style="102" customWidth="1"/>
    <col min="262" max="262" width="17.140625" style="102" customWidth="1"/>
    <col min="263" max="263" width="17.7109375" style="102" customWidth="1"/>
    <col min="264" max="264" width="10.42578125" style="102" customWidth="1"/>
    <col min="265" max="265" width="10.28515625" style="102" customWidth="1"/>
    <col min="266" max="266" width="17.7109375" style="102" customWidth="1"/>
    <col min="267" max="267" width="10.28515625" style="104" customWidth="1"/>
    <col min="268" max="268" width="11.7109375" style="104" customWidth="1"/>
    <col min="269" max="271" width="12.28515625" style="104" customWidth="1"/>
    <col min="272" max="273" width="14.140625" style="104" customWidth="1"/>
    <col min="274" max="274" width="12.28515625" style="104" customWidth="1"/>
    <col min="275" max="280" width="11.42578125" style="104" customWidth="1"/>
    <col min="281" max="281" width="12.7109375" style="103" customWidth="1"/>
    <col min="282" max="283" width="10.85546875" style="102" customWidth="1"/>
    <col min="284" max="284" width="11.7109375" style="102" customWidth="1"/>
    <col min="285" max="285" width="12.5703125" style="102" customWidth="1"/>
    <col min="286" max="286" width="13.28515625" style="102" customWidth="1"/>
    <col min="287" max="287" width="9.7109375" style="102" customWidth="1"/>
    <col min="288" max="290" width="11.28515625" style="102" customWidth="1"/>
    <col min="291" max="292" width="23.7109375" style="102" customWidth="1"/>
    <col min="293" max="294" width="21.42578125" style="102" customWidth="1"/>
    <col min="295" max="298" width="14.28515625" style="102" customWidth="1"/>
    <col min="299" max="300" width="18.5703125" style="102" customWidth="1"/>
    <col min="301" max="301" width="19.42578125" style="102" customWidth="1"/>
    <col min="302" max="302" width="13" style="104" customWidth="1"/>
    <col min="303" max="303" width="10.5703125" style="104" customWidth="1"/>
    <col min="304" max="304" width="13.28515625" style="104" customWidth="1"/>
    <col min="305" max="306" width="11.28515625" style="102" customWidth="1"/>
    <col min="307" max="307" width="12.140625" style="102" customWidth="1"/>
    <col min="308" max="311" width="11.7109375" style="102" customWidth="1"/>
    <col min="312" max="313" width="12.42578125" style="102" customWidth="1"/>
    <col min="314" max="314" width="17.140625" style="102" customWidth="1"/>
    <col min="315" max="316" width="14.42578125" style="102" customWidth="1"/>
    <col min="317" max="318" width="10.5703125" style="102" customWidth="1"/>
    <col min="319" max="320" width="11.28515625" style="102" customWidth="1"/>
    <col min="321" max="321" width="16.42578125" style="102" customWidth="1"/>
    <col min="322" max="322" width="9.7109375" style="102" customWidth="1"/>
    <col min="323" max="323" width="16.5703125" style="102" customWidth="1"/>
    <col min="324" max="324" width="12.28515625" style="102" customWidth="1"/>
    <col min="325" max="325" width="11.28515625" style="102" customWidth="1"/>
    <col min="326" max="327" width="13.7109375" style="102" customWidth="1"/>
    <col min="328" max="328" width="16.42578125" style="102" customWidth="1"/>
    <col min="329" max="330" width="16.28515625" style="102" customWidth="1"/>
    <col min="331" max="332" width="16.140625" style="102" customWidth="1"/>
    <col min="333" max="333" width="18.28515625" style="102" customWidth="1"/>
    <col min="334" max="335" width="19.28515625" style="102" customWidth="1"/>
    <col min="336" max="336" width="8.85546875" style="102" customWidth="1"/>
    <col min="337" max="337" width="17.85546875" style="102" customWidth="1"/>
    <col min="338" max="338" width="13.7109375" style="102" customWidth="1"/>
    <col min="339" max="339" width="12.7109375" style="102" customWidth="1"/>
    <col min="340" max="341" width="10.7109375" style="102" customWidth="1"/>
    <col min="342" max="343" width="12.85546875" style="102" customWidth="1"/>
    <col min="344" max="344" width="14.140625" style="102" customWidth="1"/>
    <col min="345" max="353" width="13.28515625" style="102" customWidth="1"/>
    <col min="354" max="354" width="11.85546875" style="102" customWidth="1"/>
    <col min="355" max="355" width="12.7109375" style="102" customWidth="1"/>
    <col min="356" max="356" width="16.7109375" style="102" customWidth="1"/>
    <col min="357" max="357" width="13" style="102" customWidth="1"/>
    <col min="358" max="358" width="11.5703125" style="102" customWidth="1"/>
    <col min="359" max="359" width="9.42578125" style="102" customWidth="1"/>
    <col min="360" max="360" width="11.5703125" style="102" customWidth="1"/>
    <col min="361" max="365" width="11.140625" style="102" customWidth="1"/>
    <col min="366" max="368" width="13.85546875" style="102" customWidth="1"/>
    <col min="369" max="369" width="15.85546875" style="102" customWidth="1"/>
    <col min="370" max="370" width="15" style="102" customWidth="1"/>
    <col min="371" max="371" width="11.85546875" style="102" customWidth="1"/>
    <col min="372" max="372" width="13.42578125" style="102" customWidth="1"/>
    <col min="373" max="373" width="14.85546875" style="102" customWidth="1"/>
    <col min="374" max="374" width="8.85546875" style="102" customWidth="1"/>
    <col min="375" max="376" width="7.42578125" style="102" customWidth="1"/>
    <col min="377" max="384" width="9" style="102" customWidth="1"/>
    <col min="385" max="385" width="16.85546875" style="102" customWidth="1"/>
    <col min="386" max="386" width="15.42578125" style="102" customWidth="1"/>
    <col min="387" max="389" width="10.42578125" style="102" customWidth="1"/>
    <col min="390" max="390" width="9.28515625" style="102" customWidth="1"/>
    <col min="391" max="391" width="15.42578125" style="102" customWidth="1"/>
    <col min="392" max="392" width="14.42578125" style="102" customWidth="1"/>
    <col min="393" max="394" width="16" style="102" customWidth="1"/>
    <col min="395" max="396" width="10.42578125" style="102" customWidth="1"/>
    <col min="397" max="397" width="12.140625" style="102" customWidth="1"/>
    <col min="398" max="398" width="14.140625" style="102" customWidth="1"/>
    <col min="399" max="402" width="12.85546875" style="102" customWidth="1"/>
    <col min="403" max="403" width="11.42578125" style="102" customWidth="1"/>
    <col min="404" max="404" width="11" style="102" customWidth="1"/>
    <col min="405" max="405" width="11.85546875" style="102" customWidth="1"/>
    <col min="406" max="407" width="11.28515625" style="102" customWidth="1"/>
    <col min="408" max="408" width="20.7109375" style="102" customWidth="1"/>
    <col min="409" max="409" width="19.28515625" style="102" customWidth="1"/>
    <col min="410" max="410" width="15.7109375" style="102" customWidth="1"/>
    <col min="411" max="412" width="20" style="102" customWidth="1"/>
    <col min="413" max="413" width="21.140625" style="102" customWidth="1"/>
    <col min="414" max="414" width="22.28515625" style="102" customWidth="1"/>
    <col min="415" max="415" width="20.140625" style="102" customWidth="1"/>
    <col min="416" max="416" width="18.7109375" style="102" customWidth="1"/>
    <col min="417" max="417" width="20.85546875" style="102" customWidth="1"/>
    <col min="418" max="418" width="15.42578125" style="102" customWidth="1"/>
    <col min="419" max="419" width="27.28515625" style="102" customWidth="1"/>
    <col min="420" max="421" width="15.42578125" style="102" customWidth="1"/>
    <col min="422" max="422" width="17.7109375" style="102" customWidth="1"/>
    <col min="423" max="423" width="17.85546875" style="102" customWidth="1"/>
    <col min="424" max="424" width="13.5703125" style="102" customWidth="1"/>
    <col min="425" max="426" width="22.5703125" style="102" customWidth="1"/>
    <col min="427" max="430" width="14.28515625" style="102" customWidth="1"/>
    <col min="431" max="432" width="13.28515625" style="102" customWidth="1"/>
    <col min="433" max="433" width="14.28515625" style="102" customWidth="1"/>
    <col min="434" max="434" width="12.85546875" style="102" customWidth="1"/>
    <col min="435" max="435" width="13.7109375" style="102" customWidth="1"/>
    <col min="436" max="437" width="9" style="102" customWidth="1"/>
    <col min="438" max="438" width="14.5703125" style="102" customWidth="1"/>
    <col min="439" max="439" width="18.5703125" style="102" customWidth="1"/>
    <col min="440" max="440" width="18.42578125" style="102" customWidth="1"/>
    <col min="441" max="441" width="18.5703125" style="102" customWidth="1"/>
    <col min="442" max="442" width="29.42578125" style="102" customWidth="1"/>
    <col min="443" max="443" width="31.28515625" style="102" customWidth="1"/>
    <col min="444" max="444" width="33.42578125" style="102" customWidth="1"/>
    <col min="445" max="445" width="23.140625" style="102" customWidth="1"/>
    <col min="446" max="446" width="23.5703125" style="102" customWidth="1"/>
    <col min="447" max="447" width="23.140625" style="102" customWidth="1"/>
    <col min="448" max="448" width="23.28515625" style="102" customWidth="1"/>
    <col min="449" max="449" width="10.7109375" style="102" customWidth="1"/>
    <col min="450" max="450" width="11.85546875" style="102" customWidth="1"/>
    <col min="451" max="451" width="13.85546875" style="102" customWidth="1"/>
    <col min="452" max="452" width="14" style="102" customWidth="1"/>
    <col min="453" max="453" width="12.7109375" style="102" customWidth="1"/>
    <col min="454" max="454" width="14.42578125" style="102" customWidth="1"/>
    <col min="455" max="457" width="20.7109375" style="102" customWidth="1"/>
    <col min="458" max="461" width="26.85546875" style="102" customWidth="1"/>
    <col min="462" max="462" width="17.28515625" style="102" customWidth="1"/>
    <col min="463" max="463" width="22.28515625" style="102" customWidth="1"/>
    <col min="464" max="466" width="10.28515625" style="102" customWidth="1"/>
    <col min="467" max="467" width="15" style="102" customWidth="1"/>
    <col min="468" max="468" width="11.140625" style="20" customWidth="1"/>
    <col min="469" max="469" width="9.85546875" style="6" customWidth="1"/>
    <col min="470" max="470" width="15" style="6" customWidth="1"/>
    <col min="471" max="471" width="15.42578125" style="6" customWidth="1"/>
    <col min="472" max="472" width="19.7109375" style="6" customWidth="1"/>
    <col min="473" max="473" width="10.140625" style="38" bestFit="1" customWidth="1"/>
    <col min="474" max="475" width="10.42578125" style="31" customWidth="1"/>
    <col min="476" max="476" width="11" style="29" customWidth="1"/>
    <col min="477" max="502" width="225.7109375" style="4" customWidth="1"/>
    <col min="503" max="16384" width="9.140625" style="4"/>
  </cols>
  <sheetData>
    <row r="1" spans="1:477" s="17" customFormat="1" ht="45" customHeight="1" x14ac:dyDescent="0.2">
      <c r="A1" s="84" t="s">
        <v>0</v>
      </c>
      <c r="B1" s="84" t="s">
        <v>578</v>
      </c>
      <c r="C1" s="17" t="s">
        <v>74</v>
      </c>
      <c r="D1" s="17" t="s">
        <v>74</v>
      </c>
      <c r="E1" s="21" t="s">
        <v>84</v>
      </c>
      <c r="F1" s="21" t="s">
        <v>179</v>
      </c>
      <c r="G1" s="21" t="s">
        <v>396</v>
      </c>
      <c r="H1" s="21" t="s">
        <v>334</v>
      </c>
      <c r="I1" s="21" t="s">
        <v>216</v>
      </c>
      <c r="J1" s="21" t="s">
        <v>168</v>
      </c>
      <c r="K1" s="21" t="s">
        <v>267</v>
      </c>
      <c r="L1" s="21" t="s">
        <v>504</v>
      </c>
      <c r="M1" s="21" t="s">
        <v>421</v>
      </c>
      <c r="N1" s="21" t="s">
        <v>82</v>
      </c>
      <c r="O1" s="21" t="s">
        <v>190</v>
      </c>
      <c r="P1" s="21" t="s">
        <v>264</v>
      </c>
      <c r="Q1" s="21" t="s">
        <v>206</v>
      </c>
      <c r="R1" s="21" t="s">
        <v>218</v>
      </c>
      <c r="S1" s="21" t="s">
        <v>111</v>
      </c>
      <c r="T1" s="11" t="s">
        <v>50</v>
      </c>
      <c r="U1" s="11" t="s">
        <v>77</v>
      </c>
      <c r="V1" s="11" t="s">
        <v>250</v>
      </c>
      <c r="W1" s="11" t="s">
        <v>376</v>
      </c>
      <c r="X1" s="11" t="s">
        <v>321</v>
      </c>
      <c r="Y1" s="11" t="s">
        <v>494</v>
      </c>
      <c r="Z1" s="11" t="s">
        <v>105</v>
      </c>
      <c r="AA1" s="11" t="s">
        <v>210</v>
      </c>
      <c r="AB1" s="11" t="s">
        <v>438</v>
      </c>
      <c r="AC1" s="11" t="s">
        <v>280</v>
      </c>
      <c r="AD1" s="11" t="s">
        <v>70</v>
      </c>
      <c r="AE1" s="11" t="s">
        <v>447</v>
      </c>
      <c r="AF1" s="11" t="s">
        <v>160</v>
      </c>
      <c r="AG1" s="11" t="s">
        <v>102</v>
      </c>
      <c r="AH1" s="11" t="s">
        <v>505</v>
      </c>
      <c r="AI1" s="11" t="s">
        <v>240</v>
      </c>
      <c r="AJ1" s="11" t="s">
        <v>427</v>
      </c>
      <c r="AK1" s="11" t="s">
        <v>343</v>
      </c>
      <c r="AL1" s="11" t="s">
        <v>305</v>
      </c>
      <c r="AM1" s="11" t="s">
        <v>76</v>
      </c>
      <c r="AN1" s="11" t="s">
        <v>12</v>
      </c>
      <c r="AO1" s="21" t="s">
        <v>398</v>
      </c>
      <c r="AP1" s="21" t="s">
        <v>426</v>
      </c>
      <c r="AQ1" s="21" t="s">
        <v>395</v>
      </c>
      <c r="AR1" s="21" t="s">
        <v>255</v>
      </c>
      <c r="AS1" s="21" t="s">
        <v>268</v>
      </c>
      <c r="AT1" s="21" t="s">
        <v>54</v>
      </c>
      <c r="AU1" s="47" t="s">
        <v>405</v>
      </c>
      <c r="AV1" s="21" t="s">
        <v>348</v>
      </c>
      <c r="AW1" s="21" t="s">
        <v>120</v>
      </c>
      <c r="AX1" s="21" t="s">
        <v>249</v>
      </c>
      <c r="AY1" s="21" t="s">
        <v>424</v>
      </c>
      <c r="AZ1" s="21" t="s">
        <v>451</v>
      </c>
      <c r="BA1" s="21" t="s">
        <v>214</v>
      </c>
      <c r="BB1" s="21" t="s">
        <v>290</v>
      </c>
      <c r="BC1" s="21" t="s">
        <v>236</v>
      </c>
      <c r="BD1" s="21" t="s">
        <v>141</v>
      </c>
      <c r="BE1" s="21" t="s">
        <v>169</v>
      </c>
      <c r="BF1" s="21" t="s">
        <v>208</v>
      </c>
      <c r="BG1" s="21" t="s">
        <v>231</v>
      </c>
      <c r="BH1" s="21" t="s">
        <v>265</v>
      </c>
      <c r="BI1" s="21" t="s">
        <v>482</v>
      </c>
      <c r="BJ1" s="21" t="s">
        <v>419</v>
      </c>
      <c r="BK1" s="21" t="s">
        <v>459</v>
      </c>
      <c r="BL1" s="21" t="s">
        <v>66</v>
      </c>
      <c r="BM1" s="21" t="s">
        <v>446</v>
      </c>
      <c r="BN1" s="21" t="s">
        <v>336</v>
      </c>
      <c r="BO1" s="21" t="s">
        <v>200</v>
      </c>
      <c r="BP1" s="21" t="s">
        <v>462</v>
      </c>
      <c r="BQ1" s="21" t="s">
        <v>332</v>
      </c>
      <c r="BR1" s="21" t="s">
        <v>366</v>
      </c>
      <c r="BS1" s="21" t="s">
        <v>337</v>
      </c>
      <c r="BT1" s="21" t="s">
        <v>237</v>
      </c>
      <c r="BU1" s="21" t="s">
        <v>374</v>
      </c>
      <c r="BV1" s="21" t="s">
        <v>486</v>
      </c>
      <c r="BW1" s="21" t="s">
        <v>212</v>
      </c>
      <c r="BX1" s="21" t="s">
        <v>13</v>
      </c>
      <c r="BY1" s="21" t="s">
        <v>257</v>
      </c>
      <c r="BZ1" s="21" t="s">
        <v>498</v>
      </c>
      <c r="CA1" s="21" t="s">
        <v>244</v>
      </c>
      <c r="CB1" s="21" t="s">
        <v>79</v>
      </c>
      <c r="CC1" s="11" t="s">
        <v>117</v>
      </c>
      <c r="CD1" s="11" t="s">
        <v>235</v>
      </c>
      <c r="CE1" s="21" t="s">
        <v>436</v>
      </c>
      <c r="CF1" s="21" t="s">
        <v>497</v>
      </c>
      <c r="CG1" s="21" t="s">
        <v>464</v>
      </c>
      <c r="CH1" s="21" t="s">
        <v>106</v>
      </c>
      <c r="CI1" s="21" t="s">
        <v>106</v>
      </c>
      <c r="CJ1" s="21" t="s">
        <v>78</v>
      </c>
      <c r="CK1" s="21" t="s">
        <v>256</v>
      </c>
      <c r="CL1" s="21" t="s">
        <v>135</v>
      </c>
      <c r="CM1" s="21" t="s">
        <v>495</v>
      </c>
      <c r="CN1" s="21" t="s">
        <v>324</v>
      </c>
      <c r="CO1" s="21" t="s">
        <v>220</v>
      </c>
      <c r="CP1" s="21" t="s">
        <v>146</v>
      </c>
      <c r="CQ1" s="21" t="s">
        <v>80</v>
      </c>
      <c r="CR1" s="21" t="s">
        <v>489</v>
      </c>
      <c r="CS1" s="21" t="s">
        <v>162</v>
      </c>
      <c r="CT1" s="21" t="s">
        <v>490</v>
      </c>
      <c r="CU1" s="21" t="s">
        <v>60</v>
      </c>
      <c r="CV1" s="21" t="s">
        <v>27</v>
      </c>
      <c r="CW1" s="21" t="s">
        <v>434</v>
      </c>
      <c r="CX1" s="21" t="s">
        <v>207</v>
      </c>
      <c r="CY1" s="21" t="s">
        <v>287</v>
      </c>
      <c r="CZ1" s="21" t="s">
        <v>328</v>
      </c>
      <c r="DA1" s="21" t="s">
        <v>175</v>
      </c>
      <c r="DB1" s="21" t="s">
        <v>71</v>
      </c>
      <c r="DC1" s="21" t="s">
        <v>118</v>
      </c>
      <c r="DD1" s="21" t="s">
        <v>356</v>
      </c>
      <c r="DE1" s="21" t="s">
        <v>233</v>
      </c>
      <c r="DF1" s="21" t="s">
        <v>448</v>
      </c>
      <c r="DG1" s="21" t="s">
        <v>164</v>
      </c>
      <c r="DH1" s="21" t="s">
        <v>147</v>
      </c>
      <c r="DI1" s="21" t="s">
        <v>215</v>
      </c>
      <c r="DJ1" s="11" t="s">
        <v>53</v>
      </c>
      <c r="DK1" s="11" t="s">
        <v>363</v>
      </c>
      <c r="DL1" s="11" t="s">
        <v>14</v>
      </c>
      <c r="DM1" s="11" t="s">
        <v>92</v>
      </c>
      <c r="DN1" s="11" t="s">
        <v>103</v>
      </c>
      <c r="DO1" s="11" t="s">
        <v>92</v>
      </c>
      <c r="DP1" s="11" t="s">
        <v>65</v>
      </c>
      <c r="DQ1" s="11" t="s">
        <v>452</v>
      </c>
      <c r="DR1" s="11" t="s">
        <v>476</v>
      </c>
      <c r="DS1" s="11" t="s">
        <v>511</v>
      </c>
      <c r="DT1" s="11" t="s">
        <v>357</v>
      </c>
      <c r="DU1" s="11" t="s">
        <v>173</v>
      </c>
      <c r="DV1" s="11" t="s">
        <v>251</v>
      </c>
      <c r="DW1" s="11" t="s">
        <v>143</v>
      </c>
      <c r="DX1" s="11" t="s">
        <v>142</v>
      </c>
      <c r="DY1" s="11" t="s">
        <v>48</v>
      </c>
      <c r="DZ1" s="11" t="s">
        <v>483</v>
      </c>
      <c r="EA1" s="11" t="s">
        <v>94</v>
      </c>
      <c r="EB1" s="11" t="s">
        <v>232</v>
      </c>
      <c r="EC1" s="11" t="s">
        <v>47</v>
      </c>
      <c r="ED1" s="11" t="s">
        <v>182</v>
      </c>
      <c r="EE1" s="11" t="s">
        <v>223</v>
      </c>
      <c r="EF1" s="11" t="s">
        <v>474</v>
      </c>
      <c r="EG1" s="11" t="s">
        <v>329</v>
      </c>
      <c r="EH1" s="11" t="s">
        <v>115</v>
      </c>
      <c r="EI1" s="11" t="s">
        <v>288</v>
      </c>
      <c r="EJ1" s="11" t="s">
        <v>193</v>
      </c>
      <c r="EK1" s="11" t="s">
        <v>186</v>
      </c>
      <c r="EL1" s="11" t="s">
        <v>422</v>
      </c>
      <c r="EM1" s="11" t="s">
        <v>150</v>
      </c>
      <c r="EN1" s="11" t="s">
        <v>157</v>
      </c>
      <c r="EO1" s="11" t="s">
        <v>364</v>
      </c>
      <c r="EP1" s="11" t="s">
        <v>326</v>
      </c>
      <c r="EQ1" s="11" t="s">
        <v>269</v>
      </c>
      <c r="ER1" s="11" t="s">
        <v>35</v>
      </c>
      <c r="ES1" s="11" t="s">
        <v>171</v>
      </c>
      <c r="ET1" s="11" t="s">
        <v>491</v>
      </c>
      <c r="EU1" s="11" t="s">
        <v>373</v>
      </c>
      <c r="EV1" s="11" t="s">
        <v>183</v>
      </c>
      <c r="EW1" s="11" t="s">
        <v>266</v>
      </c>
      <c r="EX1" s="11" t="s">
        <v>32</v>
      </c>
      <c r="EY1" s="11" t="s">
        <v>204</v>
      </c>
      <c r="EZ1" s="11" t="s">
        <v>252</v>
      </c>
      <c r="FA1" s="11" t="s">
        <v>303</v>
      </c>
      <c r="FB1" s="11" t="s">
        <v>176</v>
      </c>
      <c r="FC1" s="11" t="s">
        <v>341</v>
      </c>
      <c r="FD1" s="11" t="s">
        <v>61</v>
      </c>
      <c r="FE1" s="11" t="s">
        <v>163</v>
      </c>
      <c r="FF1" s="11" t="s">
        <v>248</v>
      </c>
      <c r="FG1" s="11" t="s">
        <v>51</v>
      </c>
      <c r="FH1" s="11" t="s">
        <v>144</v>
      </c>
      <c r="FI1" s="11" t="s">
        <v>450</v>
      </c>
      <c r="FJ1" s="11" t="s">
        <v>270</v>
      </c>
      <c r="FK1" s="11" t="s">
        <v>477</v>
      </c>
      <c r="FL1" s="11" t="s">
        <v>15</v>
      </c>
      <c r="FM1" s="11" t="s">
        <v>95</v>
      </c>
      <c r="FN1" s="11" t="s">
        <v>59</v>
      </c>
      <c r="FO1" s="21" t="s">
        <v>333</v>
      </c>
      <c r="FP1" s="21" t="s">
        <v>465</v>
      </c>
      <c r="FQ1" s="21" t="s">
        <v>16</v>
      </c>
      <c r="FR1" s="21" t="s">
        <v>148</v>
      </c>
      <c r="FS1" s="21" t="s">
        <v>420</v>
      </c>
      <c r="FT1" s="21" t="s">
        <v>239</v>
      </c>
      <c r="FU1" s="21" t="s">
        <v>320</v>
      </c>
      <c r="FV1" s="21" t="s">
        <v>473</v>
      </c>
      <c r="FW1" s="11" t="s">
        <v>211</v>
      </c>
      <c r="FX1" s="11" t="s">
        <v>414</v>
      </c>
      <c r="FY1" s="11" t="s">
        <v>187</v>
      </c>
      <c r="FZ1" s="11" t="s">
        <v>262</v>
      </c>
      <c r="GA1" s="11" t="s">
        <v>221</v>
      </c>
      <c r="GB1" s="11" t="s">
        <v>153</v>
      </c>
      <c r="GC1" s="11" t="s">
        <v>510</v>
      </c>
      <c r="GD1" s="11" t="s">
        <v>1</v>
      </c>
      <c r="GE1" s="21" t="s">
        <v>299</v>
      </c>
      <c r="GF1" s="21" t="s">
        <v>158</v>
      </c>
      <c r="GG1" s="21" t="s">
        <v>512</v>
      </c>
      <c r="GH1" s="21" t="s">
        <v>492</v>
      </c>
      <c r="GI1" s="21" t="s">
        <v>72</v>
      </c>
      <c r="GJ1" s="21" t="s">
        <v>306</v>
      </c>
      <c r="GK1" s="21" t="s">
        <v>247</v>
      </c>
      <c r="GL1" s="21" t="s">
        <v>297</v>
      </c>
      <c r="GM1" s="21" t="s">
        <v>339</v>
      </c>
      <c r="GN1" s="21" t="s">
        <v>271</v>
      </c>
      <c r="GO1" s="21" t="s">
        <v>209</v>
      </c>
      <c r="GP1" s="21" t="s">
        <v>25</v>
      </c>
      <c r="GQ1" s="11" t="s">
        <v>345</v>
      </c>
      <c r="GR1" s="21" t="s">
        <v>83</v>
      </c>
      <c r="GS1" s="21" t="s">
        <v>418</v>
      </c>
      <c r="GT1" s="21" t="s">
        <v>493</v>
      </c>
      <c r="GU1" s="11" t="s">
        <v>127</v>
      </c>
      <c r="GV1" s="11" t="s">
        <v>463</v>
      </c>
      <c r="GW1" s="11" t="s">
        <v>40</v>
      </c>
      <c r="GX1" s="11" t="s">
        <v>161</v>
      </c>
      <c r="GY1" s="11" t="s">
        <v>172</v>
      </c>
      <c r="GZ1" s="11" t="s">
        <v>350</v>
      </c>
      <c r="HA1" s="11" t="s">
        <v>26</v>
      </c>
      <c r="HB1" s="11" t="s">
        <v>349</v>
      </c>
      <c r="HC1" s="11" t="s">
        <v>184</v>
      </c>
      <c r="HD1" s="11" t="s">
        <v>367</v>
      </c>
      <c r="HE1" s="11" t="s">
        <v>29</v>
      </c>
      <c r="HF1" s="11" t="s">
        <v>89</v>
      </c>
      <c r="HG1" s="21" t="s">
        <v>243</v>
      </c>
      <c r="HH1" s="21" t="s">
        <v>194</v>
      </c>
      <c r="HI1" s="21" t="s">
        <v>67</v>
      </c>
      <c r="HJ1" s="21" t="s">
        <v>358</v>
      </c>
      <c r="HK1" s="21" t="s">
        <v>295</v>
      </c>
      <c r="HL1" s="21" t="s">
        <v>309</v>
      </c>
      <c r="HM1" s="21" t="s">
        <v>368</v>
      </c>
      <c r="HN1" s="21" t="s">
        <v>500</v>
      </c>
      <c r="HO1" s="21" t="s">
        <v>416</v>
      </c>
      <c r="HP1" s="11" t="s">
        <v>28</v>
      </c>
      <c r="HQ1" s="21" t="s">
        <v>128</v>
      </c>
      <c r="HR1" s="21" t="s">
        <v>149</v>
      </c>
      <c r="HS1" s="21" t="s">
        <v>177</v>
      </c>
      <c r="HT1" s="21" t="s">
        <v>322</v>
      </c>
      <c r="HU1" s="21" t="s">
        <v>351</v>
      </c>
      <c r="HV1" s="21" t="s">
        <v>263</v>
      </c>
      <c r="HW1" s="21" t="s">
        <v>461</v>
      </c>
      <c r="HX1" s="21" t="s">
        <v>17</v>
      </c>
      <c r="HY1" s="21" t="s">
        <v>107</v>
      </c>
      <c r="HZ1" s="21" t="s">
        <v>471</v>
      </c>
      <c r="IA1" s="21" t="s">
        <v>104</v>
      </c>
      <c r="IB1" s="21" t="s">
        <v>165</v>
      </c>
      <c r="IC1" s="21" t="s">
        <v>294</v>
      </c>
      <c r="ID1" s="21" t="s">
        <v>166</v>
      </c>
      <c r="IE1" s="21" t="s">
        <v>225</v>
      </c>
      <c r="IF1" s="21" t="s">
        <v>387</v>
      </c>
      <c r="IG1" s="21" t="s">
        <v>108</v>
      </c>
      <c r="IH1" s="21" t="s">
        <v>2</v>
      </c>
      <c r="II1" s="21" t="s">
        <v>224</v>
      </c>
      <c r="IJ1" s="21" t="s">
        <v>217</v>
      </c>
      <c r="IK1" s="21" t="s">
        <v>201</v>
      </c>
      <c r="IL1" s="21" t="s">
        <v>85</v>
      </c>
      <c r="IM1" s="21" t="s">
        <v>116</v>
      </c>
      <c r="IN1" s="21" t="s">
        <v>413</v>
      </c>
      <c r="IO1" s="21" t="s">
        <v>404</v>
      </c>
      <c r="IP1" s="21" t="s">
        <v>302</v>
      </c>
      <c r="IQ1" s="21" t="s">
        <v>185</v>
      </c>
      <c r="IR1" s="21" t="s">
        <v>42</v>
      </c>
      <c r="IS1" s="11" t="s">
        <v>49</v>
      </c>
      <c r="IT1" s="21" t="s">
        <v>119</v>
      </c>
      <c r="IU1" s="21" t="s">
        <v>453</v>
      </c>
      <c r="IV1" s="21" t="s">
        <v>346</v>
      </c>
      <c r="IW1" s="21" t="s">
        <v>242</v>
      </c>
      <c r="IX1" s="21" t="s">
        <v>272</v>
      </c>
      <c r="IY1" s="21" t="s">
        <v>347</v>
      </c>
      <c r="IZ1" s="21" t="s">
        <v>122</v>
      </c>
      <c r="JA1" s="21" t="s">
        <v>298</v>
      </c>
      <c r="JB1" s="21" t="s">
        <v>81</v>
      </c>
      <c r="JC1" s="21" t="s">
        <v>133</v>
      </c>
      <c r="JD1" s="21" t="s">
        <v>202</v>
      </c>
      <c r="JE1" s="21" t="s">
        <v>213</v>
      </c>
      <c r="JF1" s="21" t="s">
        <v>338</v>
      </c>
      <c r="JG1" s="11" t="s">
        <v>167</v>
      </c>
      <c r="JH1" s="11" t="s">
        <v>325</v>
      </c>
      <c r="JI1" s="11" t="s">
        <v>154</v>
      </c>
      <c r="JJ1" s="11" t="s">
        <v>415</v>
      </c>
      <c r="JK1" s="11" t="s">
        <v>407</v>
      </c>
      <c r="JL1" s="11" t="s">
        <v>125</v>
      </c>
      <c r="JM1" s="11" t="s">
        <v>475</v>
      </c>
      <c r="JN1" s="11" t="s">
        <v>355</v>
      </c>
      <c r="JO1" s="11" t="s">
        <v>289</v>
      </c>
      <c r="JP1" s="11" t="s">
        <v>472</v>
      </c>
      <c r="JQ1" s="11" t="s">
        <v>423</v>
      </c>
      <c r="JR1" s="11" t="s">
        <v>399</v>
      </c>
      <c r="JS1" s="11" t="s">
        <v>384</v>
      </c>
      <c r="JT1" s="11" t="s">
        <v>383</v>
      </c>
      <c r="JU1" s="11" t="s">
        <v>24</v>
      </c>
      <c r="JV1" s="11" t="s">
        <v>18</v>
      </c>
      <c r="JW1" s="11" t="s">
        <v>58</v>
      </c>
      <c r="JX1" s="11" t="s">
        <v>188</v>
      </c>
      <c r="JY1" s="11" t="s">
        <v>340</v>
      </c>
      <c r="JZ1" s="11" t="s">
        <v>191</v>
      </c>
      <c r="KA1" s="11" t="s">
        <v>101</v>
      </c>
      <c r="KB1" s="11" t="s">
        <v>195</v>
      </c>
      <c r="KC1" s="11" t="s">
        <v>403</v>
      </c>
      <c r="KD1" s="11" t="s">
        <v>460</v>
      </c>
      <c r="KE1" s="11" t="s">
        <v>222</v>
      </c>
      <c r="KF1" s="11" t="s">
        <v>159</v>
      </c>
      <c r="KG1" s="11" t="s">
        <v>109</v>
      </c>
      <c r="KH1" s="11" t="s">
        <v>443</v>
      </c>
      <c r="KI1" s="11" t="s">
        <v>277</v>
      </c>
      <c r="KJ1" s="11" t="s">
        <v>501</v>
      </c>
      <c r="KK1" s="11" t="s">
        <v>360</v>
      </c>
      <c r="KL1" s="11" t="s">
        <v>484</v>
      </c>
      <c r="KM1" s="11" t="s">
        <v>20</v>
      </c>
      <c r="KN1" s="21" t="s">
        <v>507</v>
      </c>
      <c r="KO1" s="21" t="s">
        <v>170</v>
      </c>
      <c r="KP1" s="21" t="s">
        <v>68</v>
      </c>
      <c r="KQ1" s="21" t="s">
        <v>139</v>
      </c>
      <c r="KR1" s="21" t="s">
        <v>330</v>
      </c>
      <c r="KS1" s="11" t="s">
        <v>234</v>
      </c>
      <c r="KT1" s="11" t="s">
        <v>126</v>
      </c>
      <c r="KU1" s="11" t="s">
        <v>129</v>
      </c>
      <c r="KV1" s="21" t="s">
        <v>62</v>
      </c>
      <c r="KW1" s="11" t="s">
        <v>93</v>
      </c>
      <c r="KX1" s="21" t="s">
        <v>454</v>
      </c>
      <c r="KY1" s="21" t="s">
        <v>502</v>
      </c>
      <c r="KZ1" s="21" t="s">
        <v>112</v>
      </c>
      <c r="LA1" s="21" t="s">
        <v>503</v>
      </c>
      <c r="LB1" s="21" t="s">
        <v>228</v>
      </c>
      <c r="LC1" s="21" t="s">
        <v>19</v>
      </c>
      <c r="LD1" s="21" t="s">
        <v>445</v>
      </c>
      <c r="LE1" s="11" t="s">
        <v>113</v>
      </c>
      <c r="LF1" s="11" t="s">
        <v>478</v>
      </c>
      <c r="LG1" s="11" t="s">
        <v>229</v>
      </c>
      <c r="LH1" s="11" t="s">
        <v>245</v>
      </c>
      <c r="LI1" s="11" t="s">
        <v>151</v>
      </c>
      <c r="LJ1" s="11" t="s">
        <v>203</v>
      </c>
      <c r="LK1" s="21" t="s">
        <v>181</v>
      </c>
      <c r="LL1" s="21" t="s">
        <v>110</v>
      </c>
      <c r="LM1" s="21" t="s">
        <v>138</v>
      </c>
      <c r="LN1" s="21" t="s">
        <v>136</v>
      </c>
      <c r="LO1" s="21" t="s">
        <v>485</v>
      </c>
      <c r="LP1" s="21" t="s">
        <v>197</v>
      </c>
      <c r="LQ1" s="21" t="s">
        <v>132</v>
      </c>
      <c r="LR1" s="21" t="s">
        <v>197</v>
      </c>
      <c r="LS1" s="11" t="s">
        <v>283</v>
      </c>
      <c r="LT1" s="11" t="s">
        <v>488</v>
      </c>
      <c r="LU1" s="11" t="s">
        <v>286</v>
      </c>
      <c r="LV1" s="26" t="s">
        <v>304</v>
      </c>
      <c r="LW1" s="26" t="s">
        <v>425</v>
      </c>
      <c r="LX1" s="26" t="s">
        <v>372</v>
      </c>
      <c r="LY1" s="26" t="s">
        <v>313</v>
      </c>
      <c r="LZ1" s="11" t="s">
        <v>314</v>
      </c>
      <c r="MA1" s="26" t="s">
        <v>308</v>
      </c>
      <c r="MB1" s="26" t="s">
        <v>307</v>
      </c>
      <c r="MC1" s="26" t="s">
        <v>431</v>
      </c>
      <c r="MD1" s="26" t="s">
        <v>284</v>
      </c>
      <c r="ME1" s="26" t="s">
        <v>408</v>
      </c>
      <c r="MF1" s="26" t="s">
        <v>311</v>
      </c>
      <c r="MG1" s="26" t="s">
        <v>391</v>
      </c>
      <c r="MH1" s="26" t="s">
        <v>392</v>
      </c>
      <c r="MI1" s="26" t="s">
        <v>440</v>
      </c>
      <c r="MJ1" s="26" t="s">
        <v>429</v>
      </c>
      <c r="MK1" s="26" t="s">
        <v>433</v>
      </c>
      <c r="ML1" s="26" t="s">
        <v>479</v>
      </c>
      <c r="MM1" s="26" t="s">
        <v>480</v>
      </c>
      <c r="MN1" s="26" t="s">
        <v>389</v>
      </c>
      <c r="MO1" s="26" t="s">
        <v>390</v>
      </c>
      <c r="MP1" s="11" t="s">
        <v>285</v>
      </c>
      <c r="MQ1" s="26" t="s">
        <v>315</v>
      </c>
      <c r="MR1" s="26" t="s">
        <v>316</v>
      </c>
      <c r="MS1" s="26" t="s">
        <v>317</v>
      </c>
      <c r="MT1" s="26" t="s">
        <v>318</v>
      </c>
      <c r="MU1" s="26" t="s">
        <v>319</v>
      </c>
      <c r="MV1" s="26" t="s">
        <v>375</v>
      </c>
      <c r="MW1" s="26" t="s">
        <v>354</v>
      </c>
      <c r="MX1" s="26" t="s">
        <v>468</v>
      </c>
      <c r="MY1" s="26" t="s">
        <v>180</v>
      </c>
      <c r="MZ1" s="26" t="s">
        <v>506</v>
      </c>
      <c r="NA1" s="26" t="s">
        <v>467</v>
      </c>
      <c r="NB1" s="26" t="s">
        <v>180</v>
      </c>
      <c r="NC1" s="26" t="s">
        <v>457</v>
      </c>
      <c r="ND1" s="26" t="s">
        <v>458</v>
      </c>
      <c r="NE1" s="26" t="s">
        <v>260</v>
      </c>
      <c r="NF1" s="26" t="s">
        <v>261</v>
      </c>
      <c r="NG1" s="26" t="s">
        <v>274</v>
      </c>
      <c r="NH1" s="26" t="s">
        <v>275</v>
      </c>
      <c r="NI1" s="26" t="s">
        <v>276</v>
      </c>
      <c r="NJ1" s="26" t="s">
        <v>300</v>
      </c>
      <c r="NK1" s="26" t="s">
        <v>377</v>
      </c>
      <c r="NL1" s="26" t="s">
        <v>400</v>
      </c>
      <c r="NM1" s="26" t="s">
        <v>378</v>
      </c>
      <c r="NN1" s="26" t="s">
        <v>411</v>
      </c>
      <c r="NO1" s="26" t="s">
        <v>412</v>
      </c>
      <c r="NP1" s="26" t="s">
        <v>409</v>
      </c>
      <c r="NQ1" s="26" t="s">
        <v>379</v>
      </c>
      <c r="NR1" s="26" t="s">
        <v>380</v>
      </c>
      <c r="NS1" s="26" t="s">
        <v>381</v>
      </c>
      <c r="NT1" s="26" t="s">
        <v>382</v>
      </c>
      <c r="NU1" s="26" t="s">
        <v>487</v>
      </c>
      <c r="NV1" s="26" t="s">
        <v>259</v>
      </c>
      <c r="NW1" s="26" t="s">
        <v>310</v>
      </c>
      <c r="NX1" s="26" t="s">
        <v>292</v>
      </c>
      <c r="NY1" s="26" t="s">
        <v>470</v>
      </c>
      <c r="NZ1" s="26" t="s">
        <v>293</v>
      </c>
      <c r="OA1" s="26" t="s">
        <v>301</v>
      </c>
      <c r="OB1" s="26" t="s">
        <v>258</v>
      </c>
      <c r="OC1" s="26" t="s">
        <v>198</v>
      </c>
      <c r="OD1" s="26" t="s">
        <v>385</v>
      </c>
      <c r="OE1" s="26" t="s">
        <v>394</v>
      </c>
      <c r="OF1" s="26" t="s">
        <v>312</v>
      </c>
      <c r="OG1" s="26" t="s">
        <v>246</v>
      </c>
      <c r="OH1" s="11" t="s">
        <v>178</v>
      </c>
      <c r="OI1" s="26" t="s">
        <v>100</v>
      </c>
      <c r="OJ1" s="26" t="s">
        <v>430</v>
      </c>
      <c r="OK1" s="26" t="s">
        <v>469</v>
      </c>
      <c r="OL1" s="26" t="s">
        <v>481</v>
      </c>
      <c r="OM1" s="26" t="s">
        <v>99</v>
      </c>
      <c r="ON1" s="26" t="s">
        <v>98</v>
      </c>
      <c r="OO1" s="26" t="s">
        <v>152</v>
      </c>
      <c r="OP1" s="26" t="s">
        <v>97</v>
      </c>
      <c r="OQ1" s="26" t="s">
        <v>441</v>
      </c>
      <c r="OR1" s="26" t="s">
        <v>442</v>
      </c>
      <c r="OS1" s="26" t="s">
        <v>230</v>
      </c>
      <c r="OT1" s="91" t="s">
        <v>281</v>
      </c>
      <c r="OU1" s="26" t="s">
        <v>114</v>
      </c>
      <c r="OV1" s="26" t="s">
        <v>402</v>
      </c>
      <c r="OW1" s="26" t="s">
        <v>96</v>
      </c>
      <c r="OX1" s="26" t="s">
        <v>273</v>
      </c>
      <c r="OY1" s="26" t="s">
        <v>361</v>
      </c>
      <c r="OZ1" s="26" t="s">
        <v>369</v>
      </c>
      <c r="PA1" s="26" t="s">
        <v>432</v>
      </c>
      <c r="PB1" s="26" t="s">
        <v>353</v>
      </c>
      <c r="PC1" s="26" t="s">
        <v>219</v>
      </c>
      <c r="PD1" s="11" t="s">
        <v>44</v>
      </c>
      <c r="PE1" s="11" t="s">
        <v>509</v>
      </c>
      <c r="PF1" s="11" t="s">
        <v>327</v>
      </c>
      <c r="PG1" s="11" t="s">
        <v>393</v>
      </c>
      <c r="PH1" s="11" t="s">
        <v>439</v>
      </c>
      <c r="PI1" s="11" t="s">
        <v>90</v>
      </c>
      <c r="PJ1" s="11" t="s">
        <v>227</v>
      </c>
      <c r="PK1" s="49" t="s">
        <v>124</v>
      </c>
      <c r="PL1" s="49" t="s">
        <v>323</v>
      </c>
      <c r="PM1" s="49" t="s">
        <v>428</v>
      </c>
      <c r="PN1" s="49" t="s">
        <v>428</v>
      </c>
      <c r="PO1" s="49" t="s">
        <v>428</v>
      </c>
      <c r="PP1" s="49" t="s">
        <v>199</v>
      </c>
      <c r="PQ1" s="49" t="s">
        <v>291</v>
      </c>
      <c r="PR1" s="49" t="s">
        <v>401</v>
      </c>
      <c r="PS1" s="49" t="s">
        <v>435</v>
      </c>
      <c r="PT1" s="49" t="s">
        <v>253</v>
      </c>
      <c r="PU1" s="49" t="s">
        <v>254</v>
      </c>
      <c r="PV1" s="49" t="s">
        <v>121</v>
      </c>
      <c r="PW1" s="11" t="s">
        <v>205</v>
      </c>
      <c r="PX1" s="11" t="s">
        <v>406</v>
      </c>
      <c r="PY1" s="11" t="s">
        <v>296</v>
      </c>
      <c r="PZ1" s="11" t="s">
        <v>362</v>
      </c>
      <c r="QA1" s="11" t="s">
        <v>371</v>
      </c>
      <c r="QB1" s="11" t="s">
        <v>370</v>
      </c>
      <c r="QC1" s="11" t="s">
        <v>226</v>
      </c>
      <c r="QD1" s="11" t="s">
        <v>410</v>
      </c>
      <c r="QE1" s="11" t="s">
        <v>226</v>
      </c>
      <c r="QF1" s="11" t="s">
        <v>386</v>
      </c>
      <c r="QG1" s="11" t="s">
        <v>365</v>
      </c>
      <c r="QH1" s="11" t="s">
        <v>241</v>
      </c>
      <c r="QI1" s="11" t="s">
        <v>130</v>
      </c>
      <c r="QJ1" s="11" t="s">
        <v>145</v>
      </c>
      <c r="QK1" s="11" t="s">
        <v>52</v>
      </c>
      <c r="QL1" s="11" t="s">
        <v>64</v>
      </c>
      <c r="QM1" s="11" t="s">
        <v>513</v>
      </c>
      <c r="QN1" s="11" t="s">
        <v>517</v>
      </c>
      <c r="QO1" s="11" t="s">
        <v>516</v>
      </c>
      <c r="QP1" s="11" t="s">
        <v>515</v>
      </c>
      <c r="QQ1" s="11" t="s">
        <v>519</v>
      </c>
      <c r="QR1" s="11" t="s">
        <v>520</v>
      </c>
      <c r="QS1" s="11" t="s">
        <v>518</v>
      </c>
      <c r="QT1" s="11" t="s">
        <v>523</v>
      </c>
      <c r="QU1" s="11" t="s">
        <v>524</v>
      </c>
      <c r="QV1" s="11" t="s">
        <v>538</v>
      </c>
      <c r="QW1" s="11" t="s">
        <v>539</v>
      </c>
      <c r="QX1" s="11" t="s">
        <v>564</v>
      </c>
      <c r="QY1" s="11" t="s">
        <v>46</v>
      </c>
      <c r="QZ1" s="85" t="s">
        <v>3</v>
      </c>
      <c r="RA1" s="86" t="s">
        <v>4</v>
      </c>
      <c r="RB1" s="24" t="s">
        <v>5</v>
      </c>
      <c r="RC1" s="25" t="s">
        <v>155</v>
      </c>
      <c r="RD1" s="12" t="s">
        <v>37</v>
      </c>
      <c r="RE1" s="64" t="s">
        <v>156</v>
      </c>
      <c r="RF1" s="87">
        <v>44929</v>
      </c>
      <c r="RG1" s="87">
        <v>44958</v>
      </c>
      <c r="RH1" s="85" t="s">
        <v>38</v>
      </c>
      <c r="RI1" s="79"/>
    </row>
    <row r="2" spans="1:477" s="5" customFormat="1" ht="12.75" customHeight="1" x14ac:dyDescent="0.2">
      <c r="A2" s="48">
        <v>44935</v>
      </c>
      <c r="B2" s="90" t="s">
        <v>526</v>
      </c>
      <c r="C2" s="98"/>
      <c r="D2" s="98"/>
      <c r="E2" s="99"/>
      <c r="F2" s="99"/>
      <c r="G2" s="99"/>
      <c r="H2" s="99"/>
      <c r="I2" s="99"/>
      <c r="J2" s="99"/>
      <c r="K2" s="99"/>
      <c r="L2" s="99"/>
      <c r="M2" s="99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  <c r="CB2" s="100"/>
      <c r="CC2" s="100"/>
      <c r="CD2" s="100"/>
      <c r="CE2" s="100"/>
      <c r="CF2" s="100"/>
      <c r="CG2" s="100"/>
      <c r="CH2" s="100"/>
      <c r="CI2" s="100"/>
      <c r="CJ2" s="100"/>
      <c r="CK2" s="100"/>
      <c r="CL2" s="100"/>
      <c r="CM2" s="100"/>
      <c r="CN2" s="100"/>
      <c r="CO2" s="100"/>
      <c r="CP2" s="100"/>
      <c r="CQ2" s="100"/>
      <c r="CR2" s="100"/>
      <c r="CS2" s="100"/>
      <c r="CT2" s="100"/>
      <c r="CU2" s="100"/>
      <c r="CV2" s="100"/>
      <c r="CW2" s="100"/>
      <c r="CX2" s="100"/>
      <c r="CY2" s="100"/>
      <c r="CZ2" s="100"/>
      <c r="DA2" s="100"/>
      <c r="DB2" s="100"/>
      <c r="DC2" s="100"/>
      <c r="DD2" s="100"/>
      <c r="DE2" s="100"/>
      <c r="DF2" s="100"/>
      <c r="DG2" s="100"/>
      <c r="DH2" s="100"/>
      <c r="DI2" s="100"/>
      <c r="DJ2" s="100"/>
      <c r="DK2" s="100"/>
      <c r="DL2" s="100"/>
      <c r="DM2" s="100"/>
      <c r="DN2" s="100"/>
      <c r="DO2" s="100"/>
      <c r="DP2" s="100"/>
      <c r="DQ2" s="100"/>
      <c r="DR2" s="100"/>
      <c r="DS2" s="100"/>
      <c r="DT2" s="100"/>
      <c r="DU2" s="100"/>
      <c r="DV2" s="100"/>
      <c r="DW2" s="100"/>
      <c r="DX2" s="100"/>
      <c r="DY2" s="100"/>
      <c r="DZ2" s="100"/>
      <c r="EA2" s="100"/>
      <c r="EB2" s="100"/>
      <c r="EC2" s="100"/>
      <c r="ED2" s="100"/>
      <c r="EE2" s="100"/>
      <c r="EF2" s="100"/>
      <c r="EG2" s="100"/>
      <c r="EH2" s="100"/>
      <c r="EI2" s="100"/>
      <c r="EJ2" s="100"/>
      <c r="EK2" s="100"/>
      <c r="EL2" s="100"/>
      <c r="EM2" s="100"/>
      <c r="EN2" s="100"/>
      <c r="EO2" s="100"/>
      <c r="EP2" s="100"/>
      <c r="EQ2" s="100"/>
      <c r="ER2" s="100"/>
      <c r="ES2" s="100"/>
      <c r="ET2" s="100"/>
      <c r="EU2" s="100"/>
      <c r="EV2" s="100"/>
      <c r="EW2" s="100"/>
      <c r="EX2" s="100"/>
      <c r="EY2" s="100"/>
      <c r="EZ2" s="100"/>
      <c r="FA2" s="100"/>
      <c r="FB2" s="100"/>
      <c r="FC2" s="100"/>
      <c r="FD2" s="100"/>
      <c r="FE2" s="100"/>
      <c r="FF2" s="100"/>
      <c r="FG2" s="100"/>
      <c r="FH2" s="100"/>
      <c r="FI2" s="100"/>
      <c r="FJ2" s="100"/>
      <c r="FK2" s="100"/>
      <c r="FL2" s="100"/>
      <c r="FM2" s="100"/>
      <c r="FN2" s="100"/>
      <c r="FO2" s="100"/>
      <c r="FP2" s="100"/>
      <c r="FQ2" s="100"/>
      <c r="FR2" s="100"/>
      <c r="FS2" s="100"/>
      <c r="FT2" s="100"/>
      <c r="FU2" s="100"/>
      <c r="FV2" s="100"/>
      <c r="FW2" s="100"/>
      <c r="FX2" s="100"/>
      <c r="FY2" s="100"/>
      <c r="FZ2" s="100"/>
      <c r="GA2" s="100"/>
      <c r="GB2" s="100"/>
      <c r="GC2" s="100"/>
      <c r="GD2" s="100"/>
      <c r="GE2" s="100"/>
      <c r="GF2" s="100"/>
      <c r="GG2" s="100"/>
      <c r="GH2" s="100"/>
      <c r="GI2" s="100"/>
      <c r="GJ2" s="100"/>
      <c r="GK2" s="100"/>
      <c r="GL2" s="100"/>
      <c r="GM2" s="100"/>
      <c r="GN2" s="100"/>
      <c r="GO2" s="100"/>
      <c r="GP2" s="100"/>
      <c r="GQ2" s="100"/>
      <c r="GR2" s="100"/>
      <c r="GS2" s="100"/>
      <c r="GT2" s="100"/>
      <c r="GU2" s="100"/>
      <c r="GV2" s="100"/>
      <c r="GW2" s="100"/>
      <c r="GX2" s="100"/>
      <c r="GY2" s="100"/>
      <c r="GZ2" s="100"/>
      <c r="HA2" s="100"/>
      <c r="HB2" s="100"/>
      <c r="HC2" s="100"/>
      <c r="HD2" s="100"/>
      <c r="HE2" s="100"/>
      <c r="HF2" s="100"/>
      <c r="HG2" s="100"/>
      <c r="HH2" s="100"/>
      <c r="HI2" s="100"/>
      <c r="HJ2" s="100"/>
      <c r="HK2" s="100"/>
      <c r="HL2" s="100"/>
      <c r="HM2" s="100"/>
      <c r="HN2" s="100"/>
      <c r="HO2" s="100"/>
      <c r="HP2" s="100"/>
      <c r="HQ2" s="100"/>
      <c r="HR2" s="100"/>
      <c r="HS2" s="100"/>
      <c r="HT2" s="100"/>
      <c r="HU2" s="100"/>
      <c r="HV2" s="100"/>
      <c r="HW2" s="100"/>
      <c r="HX2" s="100"/>
      <c r="HY2" s="100"/>
      <c r="HZ2" s="100"/>
      <c r="IA2" s="100"/>
      <c r="IB2" s="100"/>
      <c r="IC2" s="100"/>
      <c r="ID2" s="100"/>
      <c r="IE2" s="100"/>
      <c r="IF2" s="100"/>
      <c r="IG2" s="100"/>
      <c r="IH2" s="100"/>
      <c r="II2" s="100"/>
      <c r="IJ2" s="100"/>
      <c r="IK2" s="100"/>
      <c r="IL2" s="100"/>
      <c r="IM2" s="100"/>
      <c r="IN2" s="100"/>
      <c r="IO2" s="100"/>
      <c r="IP2" s="100"/>
      <c r="IQ2" s="100"/>
      <c r="IR2" s="100"/>
      <c r="IS2" s="100"/>
      <c r="IT2" s="100"/>
      <c r="IU2" s="100"/>
      <c r="IV2" s="100"/>
      <c r="IW2" s="100"/>
      <c r="IX2" s="100"/>
      <c r="IY2" s="100"/>
      <c r="IZ2" s="100"/>
      <c r="JA2" s="100"/>
      <c r="JB2" s="100"/>
      <c r="JC2" s="100"/>
      <c r="JD2" s="100"/>
      <c r="JE2" s="100"/>
      <c r="JF2" s="100"/>
      <c r="JG2" s="100"/>
      <c r="JH2" s="100"/>
      <c r="JI2" s="100"/>
      <c r="JJ2" s="100"/>
      <c r="JK2" s="100"/>
      <c r="JL2" s="100"/>
      <c r="JM2" s="100"/>
      <c r="JN2" s="100"/>
      <c r="JO2" s="100"/>
      <c r="JP2" s="100"/>
      <c r="JQ2" s="100"/>
      <c r="JR2" s="100"/>
      <c r="JS2" s="100"/>
      <c r="JT2" s="100"/>
      <c r="JU2" s="100"/>
      <c r="JV2" s="100"/>
      <c r="JW2" s="100"/>
      <c r="JX2" s="100"/>
      <c r="JY2" s="100"/>
      <c r="JZ2" s="100"/>
      <c r="KA2" s="100"/>
      <c r="KB2" s="100"/>
      <c r="KC2" s="100"/>
      <c r="KD2" s="100"/>
      <c r="KE2" s="100"/>
      <c r="KF2" s="100"/>
      <c r="KG2" s="100"/>
      <c r="KH2" s="100"/>
      <c r="KI2" s="100"/>
      <c r="KJ2" s="100"/>
      <c r="KK2" s="100"/>
      <c r="KL2" s="100"/>
      <c r="KM2" s="100"/>
      <c r="KN2" s="100"/>
      <c r="KO2" s="100"/>
      <c r="KP2" s="100"/>
      <c r="KQ2" s="100"/>
      <c r="KR2" s="100"/>
      <c r="KS2" s="100"/>
      <c r="KT2" s="100"/>
      <c r="KU2" s="100"/>
      <c r="KV2" s="100"/>
      <c r="KW2" s="100"/>
      <c r="KX2" s="100"/>
      <c r="KY2" s="100"/>
      <c r="KZ2" s="100"/>
      <c r="LA2" s="100"/>
      <c r="LB2" s="100"/>
      <c r="LC2" s="100"/>
      <c r="LD2" s="100"/>
      <c r="LE2" s="100"/>
      <c r="LF2" s="100"/>
      <c r="LG2" s="100"/>
      <c r="LH2" s="100"/>
      <c r="LI2" s="100"/>
      <c r="LJ2" s="100"/>
      <c r="LK2" s="100"/>
      <c r="LL2" s="100"/>
      <c r="LM2" s="100"/>
      <c r="LN2" s="100"/>
      <c r="LO2" s="100"/>
      <c r="LP2" s="100"/>
      <c r="LQ2" s="100"/>
      <c r="LR2" s="100"/>
      <c r="LS2" s="100"/>
      <c r="LT2" s="100"/>
      <c r="LU2" s="100"/>
      <c r="LV2" s="100"/>
      <c r="LW2" s="100"/>
      <c r="LX2" s="100"/>
      <c r="LY2" s="100"/>
      <c r="LZ2" s="100"/>
      <c r="MA2" s="100"/>
      <c r="MB2" s="100"/>
      <c r="MC2" s="100"/>
      <c r="MD2" s="100"/>
      <c r="ME2" s="100"/>
      <c r="MF2" s="100"/>
      <c r="MG2" s="100"/>
      <c r="MH2" s="100"/>
      <c r="MI2" s="100"/>
      <c r="MJ2" s="100"/>
      <c r="MK2" s="100"/>
      <c r="ML2" s="100"/>
      <c r="MM2" s="100"/>
      <c r="MN2" s="100"/>
      <c r="MO2" s="100"/>
      <c r="MP2" s="100"/>
      <c r="MQ2" s="100"/>
      <c r="MR2" s="100"/>
      <c r="MS2" s="100"/>
      <c r="MT2" s="100"/>
      <c r="MU2" s="100"/>
      <c r="MV2" s="100"/>
      <c r="MW2" s="100"/>
      <c r="MX2" s="100"/>
      <c r="MY2" s="100"/>
      <c r="MZ2" s="100"/>
      <c r="NA2" s="100"/>
      <c r="NB2" s="100"/>
      <c r="NC2" s="100"/>
      <c r="ND2" s="100"/>
      <c r="NE2" s="100"/>
      <c r="NF2" s="100"/>
      <c r="NG2" s="100"/>
      <c r="NH2" s="100"/>
      <c r="NI2" s="100"/>
      <c r="NJ2" s="100"/>
      <c r="NK2" s="100"/>
      <c r="NL2" s="100"/>
      <c r="NM2" s="100"/>
      <c r="NN2" s="100"/>
      <c r="NO2" s="100"/>
      <c r="NP2" s="100"/>
      <c r="NQ2" s="100"/>
      <c r="NR2" s="100"/>
      <c r="NS2" s="100"/>
      <c r="NT2" s="100"/>
      <c r="NU2" s="100"/>
      <c r="NV2" s="100"/>
      <c r="NW2" s="100"/>
      <c r="NX2" s="100"/>
      <c r="NY2" s="100"/>
      <c r="NZ2" s="100"/>
      <c r="OA2" s="100"/>
      <c r="OB2" s="100"/>
      <c r="OC2" s="100">
        <v>5</v>
      </c>
      <c r="OD2" s="100"/>
      <c r="OE2" s="100"/>
      <c r="OF2" s="100"/>
      <c r="OG2" s="100"/>
      <c r="OH2" s="100"/>
      <c r="OI2" s="100"/>
      <c r="OJ2" s="100"/>
      <c r="OK2" s="100"/>
      <c r="OL2" s="100"/>
      <c r="OM2" s="100"/>
      <c r="ON2" s="100"/>
      <c r="OO2" s="100"/>
      <c r="OP2" s="100"/>
      <c r="OQ2" s="100"/>
      <c r="OR2" s="100"/>
      <c r="OS2" s="100"/>
      <c r="OT2" s="100"/>
      <c r="OU2" s="100"/>
      <c r="OV2" s="100"/>
      <c r="OW2" s="100"/>
      <c r="OX2" s="100"/>
      <c r="OY2" s="100"/>
      <c r="OZ2" s="100"/>
      <c r="PA2" s="100"/>
      <c r="PB2" s="100"/>
      <c r="PC2" s="100"/>
      <c r="PD2" s="100"/>
      <c r="PE2" s="100"/>
      <c r="PF2" s="100"/>
      <c r="PG2" s="100"/>
      <c r="PH2" s="100"/>
      <c r="PI2" s="100"/>
      <c r="PJ2" s="100"/>
      <c r="PK2" s="100"/>
      <c r="PL2" s="100"/>
      <c r="PM2" s="100"/>
      <c r="PN2" s="100"/>
      <c r="PO2" s="100"/>
      <c r="PP2" s="100"/>
      <c r="PQ2" s="100"/>
      <c r="PR2" s="100"/>
      <c r="PS2" s="100"/>
      <c r="PT2" s="100"/>
      <c r="PU2" s="100"/>
      <c r="PV2" s="100"/>
      <c r="PW2" s="100"/>
      <c r="PX2" s="100"/>
      <c r="PY2" s="100"/>
      <c r="PZ2" s="100"/>
      <c r="QA2" s="100"/>
      <c r="QB2" s="100"/>
      <c r="QC2" s="100"/>
      <c r="QD2" s="100"/>
      <c r="QE2" s="100"/>
      <c r="QF2" s="100"/>
      <c r="QG2" s="100"/>
      <c r="QH2" s="100"/>
      <c r="QI2" s="100"/>
      <c r="QJ2" s="100"/>
      <c r="QK2" s="100"/>
      <c r="QL2" s="100"/>
      <c r="QM2" s="100"/>
      <c r="QN2" s="100"/>
      <c r="QO2" s="100"/>
      <c r="QP2" s="100"/>
      <c r="QQ2" s="100"/>
      <c r="QR2" s="100"/>
      <c r="QS2" s="100"/>
      <c r="QT2" s="100"/>
      <c r="QU2" s="100"/>
      <c r="QV2" s="100"/>
      <c r="QW2" s="100"/>
      <c r="QX2" s="100"/>
      <c r="QY2" s="100"/>
      <c r="QZ2" s="23">
        <f t="shared" ref="QZ2:QZ33" si="0">SUBTOTAL(9,C2:QY2)</f>
        <v>5</v>
      </c>
      <c r="RA2" s="47" t="s">
        <v>36</v>
      </c>
      <c r="RB2" s="97">
        <v>219</v>
      </c>
      <c r="RC2" s="63">
        <f>RF2</f>
        <v>219</v>
      </c>
      <c r="RD2" s="63">
        <v>153.35000000000002</v>
      </c>
      <c r="RE2" s="97">
        <f t="shared" ref="RE2:RE33" si="1">RB2-RC2</f>
        <v>0</v>
      </c>
      <c r="RF2" s="107">
        <v>219</v>
      </c>
      <c r="RG2" s="107"/>
      <c r="RH2" s="83">
        <f t="shared" ref="RH2:RH33" si="2">RB2/RD2</f>
        <v>1.4281056406912289</v>
      </c>
      <c r="RI2" s="116" t="s">
        <v>527</v>
      </c>
    </row>
    <row r="3" spans="1:477" s="5" customFormat="1" ht="12.75" customHeight="1" x14ac:dyDescent="0.2">
      <c r="A3" s="48">
        <v>44935</v>
      </c>
      <c r="B3" s="90" t="s">
        <v>196</v>
      </c>
      <c r="C3" s="98"/>
      <c r="D3" s="98"/>
      <c r="E3" s="99"/>
      <c r="F3" s="99"/>
      <c r="G3" s="99"/>
      <c r="H3" s="99"/>
      <c r="I3" s="99"/>
      <c r="J3" s="99"/>
      <c r="K3" s="99"/>
      <c r="L3" s="99"/>
      <c r="M3" s="99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/>
      <c r="AR3" s="100"/>
      <c r="AS3" s="100"/>
      <c r="AT3" s="100"/>
      <c r="AU3" s="100"/>
      <c r="AV3" s="100"/>
      <c r="AW3" s="100"/>
      <c r="AX3" s="100"/>
      <c r="AY3" s="100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  <c r="CC3" s="100"/>
      <c r="CD3" s="100"/>
      <c r="CE3" s="100"/>
      <c r="CF3" s="100"/>
      <c r="CG3" s="100"/>
      <c r="CH3" s="100"/>
      <c r="CI3" s="100"/>
      <c r="CJ3" s="100"/>
      <c r="CK3" s="100"/>
      <c r="CL3" s="100"/>
      <c r="CM3" s="100"/>
      <c r="CN3" s="100"/>
      <c r="CO3" s="100"/>
      <c r="CP3" s="100"/>
      <c r="CQ3" s="100"/>
      <c r="CR3" s="100"/>
      <c r="CS3" s="100"/>
      <c r="CT3" s="100"/>
      <c r="CU3" s="100">
        <v>18</v>
      </c>
      <c r="CV3" s="100"/>
      <c r="CW3" s="100"/>
      <c r="CX3" s="100"/>
      <c r="CY3" s="100"/>
      <c r="CZ3" s="100"/>
      <c r="DA3" s="100"/>
      <c r="DB3" s="100"/>
      <c r="DC3" s="100"/>
      <c r="DD3" s="100"/>
      <c r="DE3" s="100"/>
      <c r="DF3" s="100"/>
      <c r="DG3" s="100"/>
      <c r="DH3" s="100"/>
      <c r="DI3" s="100"/>
      <c r="DJ3" s="100"/>
      <c r="DK3" s="100"/>
      <c r="DL3" s="100"/>
      <c r="DM3" s="100"/>
      <c r="DN3" s="100"/>
      <c r="DO3" s="100"/>
      <c r="DP3" s="100"/>
      <c r="DQ3" s="100"/>
      <c r="DR3" s="100"/>
      <c r="DS3" s="100"/>
      <c r="DT3" s="100"/>
      <c r="DU3" s="100"/>
      <c r="DV3" s="100"/>
      <c r="DW3" s="100"/>
      <c r="DX3" s="100"/>
      <c r="DY3" s="100"/>
      <c r="DZ3" s="100"/>
      <c r="EA3" s="100"/>
      <c r="EB3" s="100"/>
      <c r="EC3" s="100"/>
      <c r="ED3" s="100"/>
      <c r="EE3" s="100"/>
      <c r="EF3" s="100"/>
      <c r="EG3" s="100"/>
      <c r="EH3" s="100"/>
      <c r="EI3" s="100"/>
      <c r="EJ3" s="100"/>
      <c r="EK3" s="100"/>
      <c r="EL3" s="100"/>
      <c r="EM3" s="100"/>
      <c r="EN3" s="100"/>
      <c r="EO3" s="100"/>
      <c r="EP3" s="100"/>
      <c r="EQ3" s="100"/>
      <c r="ER3" s="100"/>
      <c r="ES3" s="100"/>
      <c r="ET3" s="100"/>
      <c r="EU3" s="100"/>
      <c r="EV3" s="100"/>
      <c r="EW3" s="100"/>
      <c r="EX3" s="100"/>
      <c r="EY3" s="100"/>
      <c r="EZ3" s="100"/>
      <c r="FA3" s="100"/>
      <c r="FB3" s="100"/>
      <c r="FC3" s="100"/>
      <c r="FD3" s="100"/>
      <c r="FE3" s="100"/>
      <c r="FF3" s="100"/>
      <c r="FG3" s="100"/>
      <c r="FH3" s="100"/>
      <c r="FI3" s="100"/>
      <c r="FJ3" s="100"/>
      <c r="FK3" s="100"/>
      <c r="FL3" s="100"/>
      <c r="FM3" s="100"/>
      <c r="FN3" s="100">
        <v>16</v>
      </c>
      <c r="FO3" s="100"/>
      <c r="FP3" s="100"/>
      <c r="FQ3" s="100"/>
      <c r="FR3" s="100"/>
      <c r="FS3" s="100"/>
      <c r="FT3" s="100"/>
      <c r="FU3" s="100"/>
      <c r="FV3" s="100"/>
      <c r="FW3" s="100"/>
      <c r="FX3" s="100"/>
      <c r="FY3" s="100"/>
      <c r="FZ3" s="100"/>
      <c r="GA3" s="100"/>
      <c r="GB3" s="100"/>
      <c r="GC3" s="100"/>
      <c r="GD3" s="100"/>
      <c r="GE3" s="100"/>
      <c r="GF3" s="100"/>
      <c r="GG3" s="100"/>
      <c r="GH3" s="100"/>
      <c r="GI3" s="100"/>
      <c r="GJ3" s="100">
        <v>10</v>
      </c>
      <c r="GK3" s="100"/>
      <c r="GL3" s="100"/>
      <c r="GM3" s="100"/>
      <c r="GN3" s="100"/>
      <c r="GO3" s="100"/>
      <c r="GP3" s="100"/>
      <c r="GQ3" s="100"/>
      <c r="GR3" s="100"/>
      <c r="GS3" s="100"/>
      <c r="GT3" s="100"/>
      <c r="GU3" s="100"/>
      <c r="GV3" s="100"/>
      <c r="GW3" s="100"/>
      <c r="GX3" s="100"/>
      <c r="GY3" s="100"/>
      <c r="GZ3" s="100"/>
      <c r="HA3" s="100"/>
      <c r="HB3" s="100"/>
      <c r="HC3" s="100"/>
      <c r="HD3" s="100"/>
      <c r="HE3" s="100"/>
      <c r="HF3" s="100"/>
      <c r="HG3" s="100"/>
      <c r="HH3" s="100"/>
      <c r="HI3" s="100"/>
      <c r="HJ3" s="100"/>
      <c r="HK3" s="100"/>
      <c r="HL3" s="100"/>
      <c r="HM3" s="100"/>
      <c r="HN3" s="100"/>
      <c r="HO3" s="100"/>
      <c r="HP3" s="100"/>
      <c r="HQ3" s="100"/>
      <c r="HR3" s="100"/>
      <c r="HS3" s="100"/>
      <c r="HT3" s="100"/>
      <c r="HU3" s="100"/>
      <c r="HV3" s="100"/>
      <c r="HW3" s="100"/>
      <c r="HX3" s="100"/>
      <c r="HY3" s="100"/>
      <c r="HZ3" s="100"/>
      <c r="IA3" s="100"/>
      <c r="IB3" s="100"/>
      <c r="IC3" s="100"/>
      <c r="ID3" s="100"/>
      <c r="IE3" s="100"/>
      <c r="IF3" s="100"/>
      <c r="IG3" s="100"/>
      <c r="IH3" s="100"/>
      <c r="II3" s="100"/>
      <c r="IJ3" s="100"/>
      <c r="IK3" s="100"/>
      <c r="IL3" s="100"/>
      <c r="IM3" s="100"/>
      <c r="IN3" s="100"/>
      <c r="IO3" s="100"/>
      <c r="IP3" s="100"/>
      <c r="IQ3" s="100"/>
      <c r="IR3" s="100"/>
      <c r="IS3" s="100"/>
      <c r="IT3" s="100"/>
      <c r="IU3" s="100"/>
      <c r="IV3" s="100"/>
      <c r="IW3" s="100"/>
      <c r="IX3" s="100"/>
      <c r="IY3" s="100"/>
      <c r="IZ3" s="100"/>
      <c r="JA3" s="100"/>
      <c r="JB3" s="100"/>
      <c r="JC3" s="100"/>
      <c r="JD3" s="100"/>
      <c r="JE3" s="100"/>
      <c r="JF3" s="100"/>
      <c r="JG3" s="100"/>
      <c r="JH3" s="100"/>
      <c r="JI3" s="100"/>
      <c r="JJ3" s="100"/>
      <c r="JK3" s="100"/>
      <c r="JL3" s="100"/>
      <c r="JM3" s="100"/>
      <c r="JN3" s="100"/>
      <c r="JO3" s="100"/>
      <c r="JP3" s="100"/>
      <c r="JQ3" s="100"/>
      <c r="JR3" s="100"/>
      <c r="JS3" s="100"/>
      <c r="JT3" s="100"/>
      <c r="JU3" s="100"/>
      <c r="JV3" s="100"/>
      <c r="JW3" s="100"/>
      <c r="JX3" s="100"/>
      <c r="JY3" s="100"/>
      <c r="JZ3" s="100"/>
      <c r="KA3" s="100"/>
      <c r="KB3" s="100"/>
      <c r="KC3" s="100"/>
      <c r="KD3" s="100"/>
      <c r="KE3" s="100"/>
      <c r="KF3" s="100"/>
      <c r="KG3" s="100"/>
      <c r="KH3" s="100"/>
      <c r="KI3" s="100"/>
      <c r="KJ3" s="100"/>
      <c r="KK3" s="100"/>
      <c r="KL3" s="100"/>
      <c r="KM3" s="100"/>
      <c r="KN3" s="100"/>
      <c r="KO3" s="100"/>
      <c r="KP3" s="100"/>
      <c r="KQ3" s="100"/>
      <c r="KR3" s="100"/>
      <c r="KS3" s="100"/>
      <c r="KT3" s="100"/>
      <c r="KU3" s="100"/>
      <c r="KV3" s="100"/>
      <c r="KW3" s="100"/>
      <c r="KX3" s="100"/>
      <c r="KY3" s="100"/>
      <c r="KZ3" s="100"/>
      <c r="LA3" s="100"/>
      <c r="LB3" s="100"/>
      <c r="LC3" s="100"/>
      <c r="LD3" s="100"/>
      <c r="LE3" s="100"/>
      <c r="LF3" s="100"/>
      <c r="LG3" s="100"/>
      <c r="LH3" s="100"/>
      <c r="LI3" s="100"/>
      <c r="LJ3" s="100"/>
      <c r="LK3" s="100"/>
      <c r="LL3" s="100"/>
      <c r="LM3" s="100"/>
      <c r="LN3" s="100"/>
      <c r="LO3" s="100"/>
      <c r="LP3" s="100"/>
      <c r="LQ3" s="100"/>
      <c r="LR3" s="100"/>
      <c r="LS3" s="100"/>
      <c r="LT3" s="100"/>
      <c r="LU3" s="100"/>
      <c r="LV3" s="100"/>
      <c r="LW3" s="100"/>
      <c r="LX3" s="100"/>
      <c r="LY3" s="100"/>
      <c r="LZ3" s="100"/>
      <c r="MA3" s="100"/>
      <c r="MB3" s="100"/>
      <c r="MC3" s="100"/>
      <c r="MD3" s="100"/>
      <c r="ME3" s="100"/>
      <c r="MF3" s="100"/>
      <c r="MG3" s="100"/>
      <c r="MH3" s="100"/>
      <c r="MI3" s="100"/>
      <c r="MJ3" s="100"/>
      <c r="MK3" s="100"/>
      <c r="ML3" s="100"/>
      <c r="MM3" s="100"/>
      <c r="MN3" s="100"/>
      <c r="MO3" s="100"/>
      <c r="MP3" s="100"/>
      <c r="MQ3" s="100"/>
      <c r="MR3" s="100"/>
      <c r="MS3" s="100"/>
      <c r="MT3" s="100"/>
      <c r="MU3" s="100"/>
      <c r="MV3" s="100"/>
      <c r="MW3" s="100"/>
      <c r="MX3" s="100"/>
      <c r="MY3" s="100"/>
      <c r="MZ3" s="100"/>
      <c r="NA3" s="100"/>
      <c r="NB3" s="100"/>
      <c r="NC3" s="100"/>
      <c r="ND3" s="100"/>
      <c r="NE3" s="100"/>
      <c r="NF3" s="100"/>
      <c r="NG3" s="100"/>
      <c r="NH3" s="100"/>
      <c r="NI3" s="100"/>
      <c r="NJ3" s="100"/>
      <c r="NK3" s="100"/>
      <c r="NL3" s="100"/>
      <c r="NM3" s="100"/>
      <c r="NN3" s="100"/>
      <c r="NO3" s="100"/>
      <c r="NP3" s="100"/>
      <c r="NQ3" s="100"/>
      <c r="NR3" s="100"/>
      <c r="NS3" s="100"/>
      <c r="NT3" s="100"/>
      <c r="NU3" s="100"/>
      <c r="NV3" s="100"/>
      <c r="NW3" s="100"/>
      <c r="NX3" s="100"/>
      <c r="NY3" s="100"/>
      <c r="NZ3" s="100"/>
      <c r="OA3" s="100"/>
      <c r="OB3" s="100"/>
      <c r="OC3" s="100"/>
      <c r="OD3" s="100"/>
      <c r="OE3" s="100"/>
      <c r="OF3" s="100"/>
      <c r="OG3" s="100"/>
      <c r="OH3" s="100"/>
      <c r="OI3" s="100"/>
      <c r="OJ3" s="100"/>
      <c r="OK3" s="100"/>
      <c r="OL3" s="100"/>
      <c r="OM3" s="100"/>
      <c r="ON3" s="100"/>
      <c r="OO3" s="100"/>
      <c r="OP3" s="100"/>
      <c r="OQ3" s="100"/>
      <c r="OR3" s="100"/>
      <c r="OS3" s="100"/>
      <c r="OT3" s="100"/>
      <c r="OU3" s="100"/>
      <c r="OV3" s="100"/>
      <c r="OW3" s="100"/>
      <c r="OX3" s="100"/>
      <c r="OY3" s="100"/>
      <c r="OZ3" s="100"/>
      <c r="PA3" s="100"/>
      <c r="PB3" s="100"/>
      <c r="PC3" s="100"/>
      <c r="PD3" s="100"/>
      <c r="PE3" s="100"/>
      <c r="PF3" s="100"/>
      <c r="PG3" s="100"/>
      <c r="PH3" s="100"/>
      <c r="PI3" s="100"/>
      <c r="PJ3" s="100"/>
      <c r="PK3" s="100"/>
      <c r="PL3" s="100"/>
      <c r="PM3" s="100"/>
      <c r="PN3" s="100"/>
      <c r="PO3" s="100"/>
      <c r="PP3" s="100"/>
      <c r="PQ3" s="100"/>
      <c r="PR3" s="100"/>
      <c r="PS3" s="100"/>
      <c r="PT3" s="100"/>
      <c r="PU3" s="100"/>
      <c r="PV3" s="100"/>
      <c r="PW3" s="100"/>
      <c r="PX3" s="100"/>
      <c r="PY3" s="100"/>
      <c r="PZ3" s="100"/>
      <c r="QA3" s="100"/>
      <c r="QB3" s="100"/>
      <c r="QC3" s="100"/>
      <c r="QD3" s="100"/>
      <c r="QE3" s="100"/>
      <c r="QF3" s="100"/>
      <c r="QG3" s="100"/>
      <c r="QH3" s="100"/>
      <c r="QI3" s="100"/>
      <c r="QJ3" s="100"/>
      <c r="QK3" s="100"/>
      <c r="QL3" s="100"/>
      <c r="QM3" s="100"/>
      <c r="QN3" s="100"/>
      <c r="QO3" s="100"/>
      <c r="QP3" s="100"/>
      <c r="QQ3" s="100"/>
      <c r="QR3" s="100"/>
      <c r="QS3" s="100"/>
      <c r="QT3" s="100"/>
      <c r="QU3" s="100"/>
      <c r="QV3" s="100"/>
      <c r="QW3" s="100"/>
      <c r="QX3" s="100"/>
      <c r="QY3" s="100"/>
      <c r="QZ3" s="23">
        <f t="shared" si="0"/>
        <v>44</v>
      </c>
      <c r="RA3" s="47" t="s">
        <v>36</v>
      </c>
      <c r="RB3" s="97">
        <v>4258.46</v>
      </c>
      <c r="RC3" s="63">
        <f>RF3</f>
        <v>4258.46</v>
      </c>
      <c r="RD3" s="63">
        <v>2718.12</v>
      </c>
      <c r="RE3" s="97">
        <f t="shared" si="1"/>
        <v>0</v>
      </c>
      <c r="RF3" s="107">
        <v>4258.46</v>
      </c>
      <c r="RG3" s="107"/>
      <c r="RH3" s="83">
        <f t="shared" si="2"/>
        <v>1.5666931555634043</v>
      </c>
      <c r="RI3" s="116"/>
    </row>
    <row r="4" spans="1:477" s="5" customFormat="1" ht="12.75" customHeight="1" x14ac:dyDescent="0.2">
      <c r="A4" s="48">
        <v>44935</v>
      </c>
      <c r="B4" s="90" t="s">
        <v>342</v>
      </c>
      <c r="C4" s="98"/>
      <c r="D4" s="98"/>
      <c r="E4" s="99"/>
      <c r="F4" s="99"/>
      <c r="G4" s="99"/>
      <c r="H4" s="99"/>
      <c r="I4" s="99"/>
      <c r="J4" s="99"/>
      <c r="K4" s="99"/>
      <c r="L4" s="99"/>
      <c r="M4" s="99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0"/>
      <c r="CP4" s="100"/>
      <c r="CQ4" s="100"/>
      <c r="CR4" s="100"/>
      <c r="CS4" s="100"/>
      <c r="CT4" s="100"/>
      <c r="CU4" s="100"/>
      <c r="CV4" s="100"/>
      <c r="CW4" s="100"/>
      <c r="CX4" s="100"/>
      <c r="CY4" s="100"/>
      <c r="CZ4" s="100"/>
      <c r="DA4" s="100"/>
      <c r="DB4" s="100"/>
      <c r="DC4" s="100"/>
      <c r="DD4" s="100"/>
      <c r="DE4" s="100"/>
      <c r="DF4" s="100"/>
      <c r="DG4" s="100"/>
      <c r="DH4" s="100"/>
      <c r="DI4" s="100"/>
      <c r="DJ4" s="100"/>
      <c r="DK4" s="100"/>
      <c r="DL4" s="100"/>
      <c r="DM4" s="100"/>
      <c r="DN4" s="100"/>
      <c r="DO4" s="100"/>
      <c r="DP4" s="100"/>
      <c r="DQ4" s="100"/>
      <c r="DR4" s="100"/>
      <c r="DS4" s="100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0"/>
      <c r="EG4" s="100"/>
      <c r="EH4" s="100"/>
      <c r="EI4" s="100"/>
      <c r="EJ4" s="100"/>
      <c r="EK4" s="100"/>
      <c r="EL4" s="100"/>
      <c r="EM4" s="100"/>
      <c r="EN4" s="100"/>
      <c r="EO4" s="100"/>
      <c r="EP4" s="100"/>
      <c r="EQ4" s="100"/>
      <c r="ER4" s="100"/>
      <c r="ES4" s="100"/>
      <c r="ET4" s="100"/>
      <c r="EU4" s="100"/>
      <c r="EV4" s="100"/>
      <c r="EW4" s="100"/>
      <c r="EX4" s="100"/>
      <c r="EY4" s="100"/>
      <c r="EZ4" s="100"/>
      <c r="FA4" s="100"/>
      <c r="FB4" s="100"/>
      <c r="FC4" s="100"/>
      <c r="FD4" s="100"/>
      <c r="FE4" s="100"/>
      <c r="FF4" s="100"/>
      <c r="FG4" s="100"/>
      <c r="FH4" s="100"/>
      <c r="FI4" s="100"/>
      <c r="FJ4" s="100"/>
      <c r="FK4" s="100"/>
      <c r="FL4" s="100"/>
      <c r="FM4" s="100"/>
      <c r="FN4" s="100"/>
      <c r="FO4" s="100"/>
      <c r="FP4" s="100"/>
      <c r="FQ4" s="100"/>
      <c r="FR4" s="100"/>
      <c r="FS4" s="100"/>
      <c r="FT4" s="100"/>
      <c r="FU4" s="100"/>
      <c r="FV4" s="100"/>
      <c r="FW4" s="100">
        <v>10</v>
      </c>
      <c r="FX4" s="100"/>
      <c r="FY4" s="100"/>
      <c r="FZ4" s="100"/>
      <c r="GA4" s="100"/>
      <c r="GB4" s="100"/>
      <c r="GC4" s="100"/>
      <c r="GD4" s="100"/>
      <c r="GE4" s="100"/>
      <c r="GF4" s="100"/>
      <c r="GG4" s="100"/>
      <c r="GH4" s="100"/>
      <c r="GI4" s="100"/>
      <c r="GJ4" s="100"/>
      <c r="GK4" s="100"/>
      <c r="GL4" s="100"/>
      <c r="GM4" s="100"/>
      <c r="GN4" s="100"/>
      <c r="GO4" s="100"/>
      <c r="GP4" s="100"/>
      <c r="GQ4" s="100"/>
      <c r="GR4" s="100"/>
      <c r="GS4" s="100"/>
      <c r="GT4" s="100"/>
      <c r="GU4" s="100"/>
      <c r="GV4" s="100"/>
      <c r="GW4" s="100"/>
      <c r="GX4" s="100"/>
      <c r="GY4" s="100"/>
      <c r="GZ4" s="100"/>
      <c r="HA4" s="100"/>
      <c r="HB4" s="100"/>
      <c r="HC4" s="100"/>
      <c r="HD4" s="100"/>
      <c r="HE4" s="100"/>
      <c r="HF4" s="100"/>
      <c r="HG4" s="100"/>
      <c r="HH4" s="100"/>
      <c r="HI4" s="100"/>
      <c r="HJ4" s="100"/>
      <c r="HK4" s="100"/>
      <c r="HL4" s="100"/>
      <c r="HM4" s="100"/>
      <c r="HN4" s="100"/>
      <c r="HO4" s="100"/>
      <c r="HP4" s="100"/>
      <c r="HQ4" s="100"/>
      <c r="HR4" s="100"/>
      <c r="HS4" s="100"/>
      <c r="HT4" s="100"/>
      <c r="HU4" s="100"/>
      <c r="HV4" s="100"/>
      <c r="HW4" s="100"/>
      <c r="HX4" s="100">
        <v>3</v>
      </c>
      <c r="HY4" s="100"/>
      <c r="HZ4" s="100"/>
      <c r="IA4" s="100"/>
      <c r="IB4" s="100"/>
      <c r="IC4" s="100"/>
      <c r="ID4" s="100"/>
      <c r="IE4" s="100"/>
      <c r="IF4" s="100"/>
      <c r="IG4" s="100"/>
      <c r="IH4" s="100"/>
      <c r="II4" s="100"/>
      <c r="IJ4" s="100"/>
      <c r="IK4" s="100"/>
      <c r="IL4" s="100"/>
      <c r="IM4" s="100"/>
      <c r="IN4" s="100"/>
      <c r="IO4" s="100"/>
      <c r="IP4" s="100"/>
      <c r="IQ4" s="100"/>
      <c r="IR4" s="100"/>
      <c r="IS4" s="100"/>
      <c r="IT4" s="100"/>
      <c r="IU4" s="100"/>
      <c r="IV4" s="100"/>
      <c r="IW4" s="100"/>
      <c r="IX4" s="100"/>
      <c r="IY4" s="100"/>
      <c r="IZ4" s="100"/>
      <c r="JA4" s="100"/>
      <c r="JB4" s="100"/>
      <c r="JC4" s="100"/>
      <c r="JD4" s="100"/>
      <c r="JE4" s="100"/>
      <c r="JF4" s="100"/>
      <c r="JG4" s="100"/>
      <c r="JH4" s="100"/>
      <c r="JI4" s="100"/>
      <c r="JJ4" s="100"/>
      <c r="JK4" s="100"/>
      <c r="JL4" s="100"/>
      <c r="JM4" s="100"/>
      <c r="JN4" s="100"/>
      <c r="JO4" s="100"/>
      <c r="JP4" s="100"/>
      <c r="JQ4" s="100"/>
      <c r="JR4" s="100"/>
      <c r="JS4" s="100"/>
      <c r="JT4" s="100"/>
      <c r="JU4" s="100"/>
      <c r="JV4" s="100"/>
      <c r="JW4" s="100"/>
      <c r="JX4" s="100"/>
      <c r="JY4" s="100"/>
      <c r="JZ4" s="100"/>
      <c r="KA4" s="100"/>
      <c r="KB4" s="100"/>
      <c r="KC4" s="100"/>
      <c r="KD4" s="100"/>
      <c r="KE4" s="100"/>
      <c r="KF4" s="100"/>
      <c r="KG4" s="100"/>
      <c r="KH4" s="100"/>
      <c r="KI4" s="100"/>
      <c r="KJ4" s="100"/>
      <c r="KK4" s="100"/>
      <c r="KL4" s="100"/>
      <c r="KM4" s="100"/>
      <c r="KN4" s="100"/>
      <c r="KO4" s="100"/>
      <c r="KP4" s="100"/>
      <c r="KQ4" s="100"/>
      <c r="KR4" s="100"/>
      <c r="KS4" s="100"/>
      <c r="KT4" s="100"/>
      <c r="KU4" s="100"/>
      <c r="KV4" s="100"/>
      <c r="KW4" s="100"/>
      <c r="KX4" s="100"/>
      <c r="KY4" s="100"/>
      <c r="KZ4" s="100"/>
      <c r="LA4" s="100"/>
      <c r="LB4" s="100"/>
      <c r="LC4" s="100"/>
      <c r="LD4" s="100"/>
      <c r="LE4" s="100"/>
      <c r="LF4" s="100"/>
      <c r="LG4" s="100"/>
      <c r="LH4" s="100"/>
      <c r="LI4" s="100"/>
      <c r="LJ4" s="100"/>
      <c r="LK4" s="100"/>
      <c r="LL4" s="100"/>
      <c r="LM4" s="100"/>
      <c r="LN4" s="100"/>
      <c r="LO4" s="100"/>
      <c r="LP4" s="100"/>
      <c r="LQ4" s="100"/>
      <c r="LR4" s="100"/>
      <c r="LS4" s="100"/>
      <c r="LT4" s="100"/>
      <c r="LU4" s="100"/>
      <c r="LV4" s="100"/>
      <c r="LW4" s="100"/>
      <c r="LX4" s="100"/>
      <c r="LY4" s="100"/>
      <c r="LZ4" s="100"/>
      <c r="MA4" s="100"/>
      <c r="MB4" s="100"/>
      <c r="MC4" s="100"/>
      <c r="MD4" s="100"/>
      <c r="ME4" s="100"/>
      <c r="MF4" s="100"/>
      <c r="MG4" s="100"/>
      <c r="MH4" s="100"/>
      <c r="MI4" s="100"/>
      <c r="MJ4" s="100"/>
      <c r="MK4" s="100"/>
      <c r="ML4" s="100"/>
      <c r="MM4" s="100"/>
      <c r="MN4" s="100"/>
      <c r="MO4" s="100"/>
      <c r="MP4" s="100"/>
      <c r="MQ4" s="100"/>
      <c r="MR4" s="100"/>
      <c r="MS4" s="100"/>
      <c r="MT4" s="100"/>
      <c r="MU4" s="100"/>
      <c r="MV4" s="100"/>
      <c r="MW4" s="100"/>
      <c r="MX4" s="100"/>
      <c r="MY4" s="100"/>
      <c r="MZ4" s="100"/>
      <c r="NA4" s="100"/>
      <c r="NB4" s="100"/>
      <c r="NC4" s="100"/>
      <c r="ND4" s="100"/>
      <c r="NE4" s="100"/>
      <c r="NF4" s="100"/>
      <c r="NG4" s="100"/>
      <c r="NH4" s="100"/>
      <c r="NI4" s="100"/>
      <c r="NJ4" s="100"/>
      <c r="NK4" s="100"/>
      <c r="NL4" s="100"/>
      <c r="NM4" s="100"/>
      <c r="NN4" s="100"/>
      <c r="NO4" s="100"/>
      <c r="NP4" s="100"/>
      <c r="NQ4" s="100"/>
      <c r="NR4" s="100"/>
      <c r="NS4" s="100"/>
      <c r="NT4" s="100"/>
      <c r="NU4" s="100"/>
      <c r="NV4" s="100"/>
      <c r="NW4" s="100"/>
      <c r="NX4" s="100"/>
      <c r="NY4" s="100"/>
      <c r="NZ4" s="100"/>
      <c r="OA4" s="100"/>
      <c r="OB4" s="100"/>
      <c r="OC4" s="100"/>
      <c r="OD4" s="100"/>
      <c r="OE4" s="100"/>
      <c r="OF4" s="100"/>
      <c r="OG4" s="100"/>
      <c r="OH4" s="100"/>
      <c r="OI4" s="100"/>
      <c r="OJ4" s="100"/>
      <c r="OK4" s="100"/>
      <c r="OL4" s="100"/>
      <c r="OM4" s="100"/>
      <c r="ON4" s="100"/>
      <c r="OO4" s="100"/>
      <c r="OP4" s="100"/>
      <c r="OQ4" s="100"/>
      <c r="OR4" s="100"/>
      <c r="OS4" s="100"/>
      <c r="OT4" s="100"/>
      <c r="OU4" s="100"/>
      <c r="OV4" s="100"/>
      <c r="OW4" s="100"/>
      <c r="OX4" s="100"/>
      <c r="OY4" s="100"/>
      <c r="OZ4" s="100"/>
      <c r="PA4" s="100"/>
      <c r="PB4" s="100"/>
      <c r="PC4" s="100"/>
      <c r="PD4" s="100"/>
      <c r="PE4" s="100"/>
      <c r="PF4" s="100"/>
      <c r="PG4" s="100"/>
      <c r="PH4" s="100"/>
      <c r="PI4" s="100"/>
      <c r="PJ4" s="100"/>
      <c r="PK4" s="100"/>
      <c r="PL4" s="100"/>
      <c r="PM4" s="100"/>
      <c r="PN4" s="100"/>
      <c r="PO4" s="100"/>
      <c r="PP4" s="100"/>
      <c r="PQ4" s="100"/>
      <c r="PR4" s="100"/>
      <c r="PS4" s="100"/>
      <c r="PT4" s="100"/>
      <c r="PU4" s="100"/>
      <c r="PV4" s="100"/>
      <c r="PW4" s="100"/>
      <c r="PX4" s="100"/>
      <c r="PY4" s="100"/>
      <c r="PZ4" s="100"/>
      <c r="QA4" s="100"/>
      <c r="QB4" s="100"/>
      <c r="QC4" s="100"/>
      <c r="QD4" s="100"/>
      <c r="QE4" s="100"/>
      <c r="QF4" s="100"/>
      <c r="QG4" s="100"/>
      <c r="QH4" s="100"/>
      <c r="QI4" s="100"/>
      <c r="QJ4" s="100"/>
      <c r="QK4" s="100"/>
      <c r="QL4" s="100"/>
      <c r="QM4" s="100"/>
      <c r="QN4" s="100"/>
      <c r="QO4" s="100"/>
      <c r="QP4" s="100"/>
      <c r="QQ4" s="100"/>
      <c r="QR4" s="100"/>
      <c r="QS4" s="100"/>
      <c r="QT4" s="100"/>
      <c r="QU4" s="100"/>
      <c r="QV4" s="100"/>
      <c r="QW4" s="100"/>
      <c r="QX4" s="100"/>
      <c r="QY4" s="100"/>
      <c r="QZ4" s="23">
        <f t="shared" si="0"/>
        <v>13</v>
      </c>
      <c r="RA4" s="47" t="s">
        <v>36</v>
      </c>
      <c r="RB4" s="97">
        <v>603.12</v>
      </c>
      <c r="RC4" s="63">
        <f>RF4</f>
        <v>603.12</v>
      </c>
      <c r="RD4" s="63">
        <v>330.8</v>
      </c>
      <c r="RE4" s="97">
        <f t="shared" si="1"/>
        <v>0</v>
      </c>
      <c r="RF4" s="107">
        <v>603.12</v>
      </c>
      <c r="RG4" s="107"/>
      <c r="RH4" s="83">
        <f t="shared" si="2"/>
        <v>1.8232164449818622</v>
      </c>
      <c r="RI4" s="116"/>
    </row>
    <row r="5" spans="1:477" s="5" customFormat="1" ht="12.75" customHeight="1" x14ac:dyDescent="0.2">
      <c r="A5" s="48">
        <v>44936</v>
      </c>
      <c r="B5" s="81" t="s">
        <v>282</v>
      </c>
      <c r="C5" s="98"/>
      <c r="D5" s="98"/>
      <c r="E5" s="99"/>
      <c r="F5" s="99"/>
      <c r="G5" s="99"/>
      <c r="H5" s="99"/>
      <c r="I5" s="99"/>
      <c r="J5" s="99"/>
      <c r="K5" s="99"/>
      <c r="L5" s="99"/>
      <c r="M5" s="99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  <c r="BR5" s="100"/>
      <c r="BS5" s="100"/>
      <c r="BT5" s="100"/>
      <c r="BU5" s="100"/>
      <c r="BV5" s="100"/>
      <c r="BW5" s="100"/>
      <c r="BX5" s="100"/>
      <c r="BY5" s="100"/>
      <c r="BZ5" s="100"/>
      <c r="CA5" s="100"/>
      <c r="CB5" s="100"/>
      <c r="CC5" s="100">
        <v>140</v>
      </c>
      <c r="CD5" s="100"/>
      <c r="CE5" s="100"/>
      <c r="CF5" s="100"/>
      <c r="CG5" s="100"/>
      <c r="CH5" s="100"/>
      <c r="CI5" s="100"/>
      <c r="CJ5" s="100"/>
      <c r="CK5" s="100"/>
      <c r="CL5" s="100"/>
      <c r="CM5" s="100"/>
      <c r="CN5" s="100"/>
      <c r="CO5" s="100"/>
      <c r="CP5" s="100"/>
      <c r="CQ5" s="100"/>
      <c r="CR5" s="100"/>
      <c r="CS5" s="100"/>
      <c r="CT5" s="100"/>
      <c r="CU5" s="100"/>
      <c r="CV5" s="100"/>
      <c r="CW5" s="100"/>
      <c r="CX5" s="100"/>
      <c r="CY5" s="100"/>
      <c r="CZ5" s="100"/>
      <c r="DA5" s="100"/>
      <c r="DB5" s="100"/>
      <c r="DC5" s="100"/>
      <c r="DD5" s="100"/>
      <c r="DE5" s="100"/>
      <c r="DF5" s="100"/>
      <c r="DG5" s="100"/>
      <c r="DH5" s="100"/>
      <c r="DI5" s="100"/>
      <c r="DJ5" s="100"/>
      <c r="DK5" s="100"/>
      <c r="DL5" s="100"/>
      <c r="DM5" s="100"/>
      <c r="DN5" s="100"/>
      <c r="DO5" s="100"/>
      <c r="DP5" s="100"/>
      <c r="DQ5" s="100"/>
      <c r="DR5" s="100"/>
      <c r="DS5" s="100"/>
      <c r="DT5" s="100"/>
      <c r="DU5" s="100"/>
      <c r="DV5" s="100"/>
      <c r="DW5" s="100"/>
      <c r="DX5" s="100"/>
      <c r="DY5" s="100"/>
      <c r="DZ5" s="100"/>
      <c r="EA5" s="100"/>
      <c r="EB5" s="100"/>
      <c r="EC5" s="100"/>
      <c r="ED5" s="100"/>
      <c r="EE5" s="100"/>
      <c r="EF5" s="100"/>
      <c r="EG5" s="100"/>
      <c r="EH5" s="100"/>
      <c r="EI5" s="100"/>
      <c r="EJ5" s="100"/>
      <c r="EK5" s="100"/>
      <c r="EL5" s="100"/>
      <c r="EM5" s="100"/>
      <c r="EN5" s="100"/>
      <c r="EO5" s="100"/>
      <c r="EP5" s="100"/>
      <c r="EQ5" s="100"/>
      <c r="ER5" s="100"/>
      <c r="ES5" s="100"/>
      <c r="ET5" s="100"/>
      <c r="EU5" s="100"/>
      <c r="EV5" s="100"/>
      <c r="EW5" s="100"/>
      <c r="EX5" s="100"/>
      <c r="EY5" s="100"/>
      <c r="EZ5" s="100"/>
      <c r="FA5" s="100"/>
      <c r="FB5" s="100"/>
      <c r="FC5" s="100"/>
      <c r="FD5" s="100"/>
      <c r="FE5" s="100"/>
      <c r="FF5" s="100"/>
      <c r="FG5" s="100"/>
      <c r="FH5" s="100"/>
      <c r="FI5" s="100"/>
      <c r="FJ5" s="100"/>
      <c r="FK5" s="100"/>
      <c r="FL5" s="100"/>
      <c r="FM5" s="100"/>
      <c r="FN5" s="100"/>
      <c r="FO5" s="100"/>
      <c r="FP5" s="100"/>
      <c r="FQ5" s="100"/>
      <c r="FR5" s="100"/>
      <c r="FS5" s="100"/>
      <c r="FT5" s="100"/>
      <c r="FU5" s="100"/>
      <c r="FV5" s="100"/>
      <c r="FW5" s="100"/>
      <c r="FX5" s="100"/>
      <c r="FY5" s="100"/>
      <c r="FZ5" s="100"/>
      <c r="GA5" s="100"/>
      <c r="GB5" s="100"/>
      <c r="GC5" s="100"/>
      <c r="GD5" s="100"/>
      <c r="GE5" s="100"/>
      <c r="GF5" s="100"/>
      <c r="GG5" s="100"/>
      <c r="GH5" s="100"/>
      <c r="GI5" s="100"/>
      <c r="GJ5" s="100"/>
      <c r="GK5" s="100"/>
      <c r="GL5" s="100"/>
      <c r="GM5" s="100"/>
      <c r="GN5" s="100"/>
      <c r="GO5" s="100"/>
      <c r="GP5" s="100"/>
      <c r="GQ5" s="100"/>
      <c r="GR5" s="100"/>
      <c r="GS5" s="100"/>
      <c r="GT5" s="100"/>
      <c r="GU5" s="100"/>
      <c r="GV5" s="100"/>
      <c r="GW5" s="100"/>
      <c r="GX5" s="100"/>
      <c r="GY5" s="100"/>
      <c r="GZ5" s="100"/>
      <c r="HA5" s="100"/>
      <c r="HB5" s="100"/>
      <c r="HC5" s="100"/>
      <c r="HD5" s="100"/>
      <c r="HE5" s="100"/>
      <c r="HF5" s="100"/>
      <c r="HG5" s="100"/>
      <c r="HH5" s="100"/>
      <c r="HI5" s="100"/>
      <c r="HJ5" s="100"/>
      <c r="HK5" s="100"/>
      <c r="HL5" s="100"/>
      <c r="HM5" s="100"/>
      <c r="HN5" s="100"/>
      <c r="HO5" s="100"/>
      <c r="HP5" s="100"/>
      <c r="HQ5" s="100"/>
      <c r="HR5" s="100"/>
      <c r="HS5" s="100"/>
      <c r="HT5" s="100"/>
      <c r="HU5" s="100"/>
      <c r="HV5" s="100"/>
      <c r="HW5" s="100"/>
      <c r="HX5" s="100"/>
      <c r="HY5" s="100"/>
      <c r="HZ5" s="100"/>
      <c r="IA5" s="100"/>
      <c r="IB5" s="100"/>
      <c r="IC5" s="100"/>
      <c r="ID5" s="100"/>
      <c r="IE5" s="100"/>
      <c r="IF5" s="100"/>
      <c r="IG5" s="100"/>
      <c r="IH5" s="100"/>
      <c r="II5" s="100"/>
      <c r="IJ5" s="100"/>
      <c r="IK5" s="100"/>
      <c r="IL5" s="100"/>
      <c r="IM5" s="100"/>
      <c r="IN5" s="100"/>
      <c r="IO5" s="100"/>
      <c r="IP5" s="100"/>
      <c r="IQ5" s="100"/>
      <c r="IR5" s="100"/>
      <c r="IS5" s="100"/>
      <c r="IT5" s="100"/>
      <c r="IU5" s="100"/>
      <c r="IV5" s="100"/>
      <c r="IW5" s="100"/>
      <c r="IX5" s="100"/>
      <c r="IY5" s="100"/>
      <c r="IZ5" s="100"/>
      <c r="JA5" s="100"/>
      <c r="JB5" s="100"/>
      <c r="JC5" s="100"/>
      <c r="JD5" s="100"/>
      <c r="JE5" s="100"/>
      <c r="JF5" s="100"/>
      <c r="JG5" s="100"/>
      <c r="JH5" s="100"/>
      <c r="JI5" s="100"/>
      <c r="JJ5" s="100"/>
      <c r="JK5" s="100"/>
      <c r="JL5" s="100"/>
      <c r="JM5" s="100"/>
      <c r="JN5" s="100"/>
      <c r="JO5" s="100"/>
      <c r="JP5" s="100"/>
      <c r="JQ5" s="100"/>
      <c r="JR5" s="100"/>
      <c r="JS5" s="100"/>
      <c r="JT5" s="100"/>
      <c r="JU5" s="100"/>
      <c r="JV5" s="100"/>
      <c r="JW5" s="100"/>
      <c r="JX5" s="100"/>
      <c r="JY5" s="100"/>
      <c r="JZ5" s="100"/>
      <c r="KA5" s="100"/>
      <c r="KB5" s="100"/>
      <c r="KC5" s="100"/>
      <c r="KD5" s="100"/>
      <c r="KE5" s="100"/>
      <c r="KF5" s="100"/>
      <c r="KG5" s="100"/>
      <c r="KH5" s="100"/>
      <c r="KI5" s="100"/>
      <c r="KJ5" s="100"/>
      <c r="KK5" s="100"/>
      <c r="KL5" s="100"/>
      <c r="KM5" s="100"/>
      <c r="KN5" s="100"/>
      <c r="KO5" s="100"/>
      <c r="KP5" s="100"/>
      <c r="KQ5" s="100"/>
      <c r="KR5" s="100"/>
      <c r="KS5" s="100"/>
      <c r="KT5" s="100"/>
      <c r="KU5" s="100"/>
      <c r="KV5" s="100"/>
      <c r="KW5" s="100"/>
      <c r="KX5" s="100"/>
      <c r="KY5" s="100"/>
      <c r="KZ5" s="100"/>
      <c r="LA5" s="100"/>
      <c r="LB5" s="100"/>
      <c r="LC5" s="100"/>
      <c r="LD5" s="100"/>
      <c r="LE5" s="100"/>
      <c r="LF5" s="100"/>
      <c r="LG5" s="100"/>
      <c r="LH5" s="100"/>
      <c r="LI5" s="100"/>
      <c r="LJ5" s="100"/>
      <c r="LK5" s="100"/>
      <c r="LL5" s="100"/>
      <c r="LM5" s="100"/>
      <c r="LN5" s="100"/>
      <c r="LO5" s="100"/>
      <c r="LP5" s="100"/>
      <c r="LQ5" s="100"/>
      <c r="LR5" s="100"/>
      <c r="LS5" s="100"/>
      <c r="LT5" s="100"/>
      <c r="LU5" s="100"/>
      <c r="LV5" s="100"/>
      <c r="LW5" s="100"/>
      <c r="LX5" s="100"/>
      <c r="LY5" s="100"/>
      <c r="LZ5" s="100"/>
      <c r="MA5" s="100"/>
      <c r="MB5" s="100"/>
      <c r="MC5" s="100"/>
      <c r="MD5" s="100"/>
      <c r="ME5" s="100"/>
      <c r="MF5" s="100"/>
      <c r="MG5" s="100"/>
      <c r="MH5" s="100"/>
      <c r="MI5" s="100"/>
      <c r="MJ5" s="100"/>
      <c r="MK5" s="100"/>
      <c r="ML5" s="100"/>
      <c r="MM5" s="100"/>
      <c r="MN5" s="100"/>
      <c r="MO5" s="100"/>
      <c r="MP5" s="100"/>
      <c r="MQ5" s="100"/>
      <c r="MR5" s="100"/>
      <c r="MS5" s="100"/>
      <c r="MT5" s="100"/>
      <c r="MU5" s="100"/>
      <c r="MV5" s="100"/>
      <c r="MW5" s="100"/>
      <c r="MX5" s="100"/>
      <c r="MY5" s="100"/>
      <c r="MZ5" s="100"/>
      <c r="NA5" s="100"/>
      <c r="NB5" s="100"/>
      <c r="NC5" s="100"/>
      <c r="ND5" s="100"/>
      <c r="NE5" s="100"/>
      <c r="NF5" s="100"/>
      <c r="NG5" s="100"/>
      <c r="NH5" s="100"/>
      <c r="NI5" s="100"/>
      <c r="NJ5" s="100"/>
      <c r="NK5" s="100"/>
      <c r="NL5" s="100"/>
      <c r="NM5" s="100"/>
      <c r="NN5" s="100"/>
      <c r="NO5" s="100"/>
      <c r="NP5" s="100"/>
      <c r="NQ5" s="100"/>
      <c r="NR5" s="100"/>
      <c r="NS5" s="100"/>
      <c r="NT5" s="100"/>
      <c r="NU5" s="100"/>
      <c r="NV5" s="100"/>
      <c r="NW5" s="100"/>
      <c r="NX5" s="100"/>
      <c r="NY5" s="100"/>
      <c r="NZ5" s="100"/>
      <c r="OA5" s="100"/>
      <c r="OB5" s="100"/>
      <c r="OC5" s="100"/>
      <c r="OD5" s="100"/>
      <c r="OE5" s="100"/>
      <c r="OF5" s="100"/>
      <c r="OG5" s="100"/>
      <c r="OH5" s="100"/>
      <c r="OI5" s="100"/>
      <c r="OJ5" s="100"/>
      <c r="OK5" s="100"/>
      <c r="OL5" s="100"/>
      <c r="OM5" s="100"/>
      <c r="ON5" s="100"/>
      <c r="OO5" s="100"/>
      <c r="OP5" s="100"/>
      <c r="OQ5" s="100"/>
      <c r="OR5" s="100"/>
      <c r="OS5" s="100"/>
      <c r="OT5" s="100"/>
      <c r="OU5" s="100"/>
      <c r="OV5" s="100"/>
      <c r="OW5" s="100"/>
      <c r="OX5" s="100"/>
      <c r="OY5" s="100"/>
      <c r="OZ5" s="100"/>
      <c r="PA5" s="100"/>
      <c r="PB5" s="100"/>
      <c r="PC5" s="100"/>
      <c r="PD5" s="100"/>
      <c r="PE5" s="100"/>
      <c r="PF5" s="100"/>
      <c r="PG5" s="100"/>
      <c r="PH5" s="100"/>
      <c r="PI5" s="100"/>
      <c r="PJ5" s="100"/>
      <c r="PK5" s="100"/>
      <c r="PL5" s="100"/>
      <c r="PM5" s="100"/>
      <c r="PN5" s="100"/>
      <c r="PO5" s="100"/>
      <c r="PP5" s="100"/>
      <c r="PQ5" s="100"/>
      <c r="PR5" s="100"/>
      <c r="PS5" s="100"/>
      <c r="PT5" s="100"/>
      <c r="PU5" s="100"/>
      <c r="PV5" s="100"/>
      <c r="PW5" s="100"/>
      <c r="PX5" s="100"/>
      <c r="PY5" s="100"/>
      <c r="PZ5" s="100"/>
      <c r="QA5" s="100"/>
      <c r="QB5" s="100"/>
      <c r="QC5" s="100"/>
      <c r="QD5" s="100"/>
      <c r="QE5" s="100"/>
      <c r="QF5" s="100"/>
      <c r="QG5" s="100"/>
      <c r="QH5" s="100"/>
      <c r="QI5" s="100"/>
      <c r="QJ5" s="100"/>
      <c r="QK5" s="100"/>
      <c r="QL5" s="100"/>
      <c r="QM5" s="100"/>
      <c r="QN5" s="100"/>
      <c r="QO5" s="100"/>
      <c r="QP5" s="100"/>
      <c r="QQ5" s="100"/>
      <c r="QR5" s="100"/>
      <c r="QS5" s="100"/>
      <c r="QT5" s="100"/>
      <c r="QU5" s="100"/>
      <c r="QV5" s="100"/>
      <c r="QW5" s="100"/>
      <c r="QX5" s="100"/>
      <c r="QY5" s="100"/>
      <c r="QZ5" s="23">
        <f t="shared" si="0"/>
        <v>140</v>
      </c>
      <c r="RA5" s="47" t="s">
        <v>36</v>
      </c>
      <c r="RB5" s="97">
        <v>7056</v>
      </c>
      <c r="RC5" s="63">
        <f>RF5+RG5</f>
        <v>0</v>
      </c>
      <c r="RD5" s="63">
        <v>4459</v>
      </c>
      <c r="RE5" s="97">
        <f t="shared" si="1"/>
        <v>7056</v>
      </c>
      <c r="RF5" s="107"/>
      <c r="RG5" s="107"/>
      <c r="RH5" s="83">
        <f t="shared" si="2"/>
        <v>1.5824175824175823</v>
      </c>
      <c r="RI5" s="116" t="s">
        <v>528</v>
      </c>
    </row>
    <row r="6" spans="1:477" s="5" customFormat="1" ht="12.75" customHeight="1" x14ac:dyDescent="0.2">
      <c r="A6" s="48">
        <v>44936</v>
      </c>
      <c r="B6" s="90" t="s">
        <v>238</v>
      </c>
      <c r="C6" s="98"/>
      <c r="D6" s="98"/>
      <c r="E6" s="99"/>
      <c r="F6" s="99"/>
      <c r="G6" s="99"/>
      <c r="H6" s="99"/>
      <c r="I6" s="99"/>
      <c r="J6" s="99"/>
      <c r="K6" s="99"/>
      <c r="L6" s="99"/>
      <c r="M6" s="99"/>
      <c r="N6" s="100"/>
      <c r="O6" s="100"/>
      <c r="P6" s="100">
        <v>8</v>
      </c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00"/>
      <c r="BG6" s="100"/>
      <c r="BH6" s="100"/>
      <c r="BI6" s="100"/>
      <c r="BJ6" s="100"/>
      <c r="BK6" s="100"/>
      <c r="BL6" s="100"/>
      <c r="BM6" s="100"/>
      <c r="BN6" s="100"/>
      <c r="BO6" s="100"/>
      <c r="BP6" s="100"/>
      <c r="BQ6" s="100"/>
      <c r="BR6" s="100"/>
      <c r="BS6" s="100"/>
      <c r="BT6" s="100"/>
      <c r="BU6" s="100"/>
      <c r="BV6" s="100"/>
      <c r="BW6" s="100"/>
      <c r="BX6" s="100"/>
      <c r="BY6" s="100"/>
      <c r="BZ6" s="100"/>
      <c r="CA6" s="100"/>
      <c r="CB6" s="100"/>
      <c r="CC6" s="100"/>
      <c r="CD6" s="100"/>
      <c r="CE6" s="100"/>
      <c r="CF6" s="100"/>
      <c r="CG6" s="100"/>
      <c r="CH6" s="100"/>
      <c r="CI6" s="100"/>
      <c r="CJ6" s="100"/>
      <c r="CK6" s="100"/>
      <c r="CL6" s="100"/>
      <c r="CM6" s="100"/>
      <c r="CN6" s="100"/>
      <c r="CO6" s="100"/>
      <c r="CP6" s="100"/>
      <c r="CQ6" s="100"/>
      <c r="CR6" s="100"/>
      <c r="CS6" s="100"/>
      <c r="CT6" s="100"/>
      <c r="CU6" s="100"/>
      <c r="CV6" s="100"/>
      <c r="CW6" s="100"/>
      <c r="CX6" s="100"/>
      <c r="CY6" s="100"/>
      <c r="CZ6" s="100"/>
      <c r="DA6" s="100"/>
      <c r="DB6" s="100"/>
      <c r="DC6" s="100"/>
      <c r="DD6" s="100"/>
      <c r="DE6" s="100"/>
      <c r="DF6" s="100"/>
      <c r="DG6" s="100"/>
      <c r="DH6" s="100"/>
      <c r="DI6" s="100"/>
      <c r="DJ6" s="100"/>
      <c r="DK6" s="100"/>
      <c r="DL6" s="100"/>
      <c r="DM6" s="100"/>
      <c r="DN6" s="100"/>
      <c r="DO6" s="100"/>
      <c r="DP6" s="100"/>
      <c r="DQ6" s="100"/>
      <c r="DR6" s="100"/>
      <c r="DS6" s="100"/>
      <c r="DT6" s="100"/>
      <c r="DU6" s="100"/>
      <c r="DV6" s="100"/>
      <c r="DW6" s="100"/>
      <c r="DX6" s="100"/>
      <c r="DY6" s="100">
        <v>10</v>
      </c>
      <c r="DZ6" s="100"/>
      <c r="EA6" s="100"/>
      <c r="EB6" s="100"/>
      <c r="EC6" s="100"/>
      <c r="ED6" s="100"/>
      <c r="EE6" s="100"/>
      <c r="EF6" s="100"/>
      <c r="EG6" s="100"/>
      <c r="EH6" s="100"/>
      <c r="EI6" s="100"/>
      <c r="EJ6" s="100">
        <v>10</v>
      </c>
      <c r="EK6" s="100"/>
      <c r="EL6" s="100"/>
      <c r="EM6" s="100"/>
      <c r="EN6" s="100"/>
      <c r="EO6" s="100"/>
      <c r="EP6" s="100"/>
      <c r="EQ6" s="100"/>
      <c r="ER6" s="100"/>
      <c r="ES6" s="100"/>
      <c r="ET6" s="100"/>
      <c r="EU6" s="100"/>
      <c r="EV6" s="100"/>
      <c r="EW6" s="100"/>
      <c r="EX6" s="100"/>
      <c r="EY6" s="100"/>
      <c r="EZ6" s="100"/>
      <c r="FA6" s="100"/>
      <c r="FB6" s="100"/>
      <c r="FC6" s="100"/>
      <c r="FD6" s="100"/>
      <c r="FE6" s="100"/>
      <c r="FF6" s="100"/>
      <c r="FG6" s="100"/>
      <c r="FH6" s="100"/>
      <c r="FI6" s="100"/>
      <c r="FJ6" s="100"/>
      <c r="FK6" s="100"/>
      <c r="FL6" s="100"/>
      <c r="FM6" s="100"/>
      <c r="FN6" s="100">
        <v>8</v>
      </c>
      <c r="FO6" s="100"/>
      <c r="FP6" s="100"/>
      <c r="FQ6" s="100"/>
      <c r="FR6" s="100"/>
      <c r="FS6" s="100"/>
      <c r="FT6" s="100"/>
      <c r="FU6" s="100"/>
      <c r="FV6" s="100"/>
      <c r="FW6" s="100"/>
      <c r="FX6" s="100"/>
      <c r="FY6" s="100"/>
      <c r="FZ6" s="100"/>
      <c r="GA6" s="100"/>
      <c r="GB6" s="100"/>
      <c r="GC6" s="100"/>
      <c r="GD6" s="100"/>
      <c r="GE6" s="100"/>
      <c r="GF6" s="100"/>
      <c r="GG6" s="100"/>
      <c r="GH6" s="100"/>
      <c r="GI6" s="100"/>
      <c r="GJ6" s="100"/>
      <c r="GK6" s="100"/>
      <c r="GL6" s="100"/>
      <c r="GM6" s="100"/>
      <c r="GN6" s="100"/>
      <c r="GO6" s="100"/>
      <c r="GP6" s="100"/>
      <c r="GQ6" s="100"/>
      <c r="GR6" s="100"/>
      <c r="GS6" s="100"/>
      <c r="GT6" s="100"/>
      <c r="GU6" s="100"/>
      <c r="GV6" s="100"/>
      <c r="GW6" s="100"/>
      <c r="GX6" s="100"/>
      <c r="GY6" s="100"/>
      <c r="GZ6" s="100"/>
      <c r="HA6" s="100"/>
      <c r="HB6" s="100"/>
      <c r="HC6" s="100"/>
      <c r="HD6" s="100"/>
      <c r="HE6" s="100"/>
      <c r="HF6" s="100"/>
      <c r="HG6" s="100"/>
      <c r="HH6" s="100"/>
      <c r="HI6" s="100"/>
      <c r="HJ6" s="100"/>
      <c r="HK6" s="100"/>
      <c r="HL6" s="100"/>
      <c r="HM6" s="100"/>
      <c r="HN6" s="100"/>
      <c r="HO6" s="100"/>
      <c r="HP6" s="100"/>
      <c r="HQ6" s="100"/>
      <c r="HR6" s="100"/>
      <c r="HS6" s="100"/>
      <c r="HT6" s="100"/>
      <c r="HU6" s="100"/>
      <c r="HV6" s="100"/>
      <c r="HW6" s="100"/>
      <c r="HX6" s="100"/>
      <c r="HY6" s="100"/>
      <c r="HZ6" s="100"/>
      <c r="IA6" s="100"/>
      <c r="IB6" s="100"/>
      <c r="IC6" s="100"/>
      <c r="ID6" s="100"/>
      <c r="IE6" s="100"/>
      <c r="IF6" s="100"/>
      <c r="IG6" s="100"/>
      <c r="IH6" s="100">
        <v>9</v>
      </c>
      <c r="II6" s="100"/>
      <c r="IJ6" s="100"/>
      <c r="IK6" s="100"/>
      <c r="IL6" s="100"/>
      <c r="IM6" s="100"/>
      <c r="IN6" s="100"/>
      <c r="IO6" s="100"/>
      <c r="IP6" s="100"/>
      <c r="IQ6" s="100"/>
      <c r="IR6" s="100"/>
      <c r="IS6" s="100"/>
      <c r="IT6" s="100"/>
      <c r="IU6" s="100"/>
      <c r="IV6" s="100"/>
      <c r="IW6" s="100"/>
      <c r="IX6" s="100"/>
      <c r="IY6" s="100"/>
      <c r="IZ6" s="100"/>
      <c r="JA6" s="100"/>
      <c r="JB6" s="100"/>
      <c r="JC6" s="100"/>
      <c r="JD6" s="100"/>
      <c r="JE6" s="100"/>
      <c r="JF6" s="100"/>
      <c r="JG6" s="100"/>
      <c r="JH6" s="100"/>
      <c r="JI6" s="100"/>
      <c r="JJ6" s="100">
        <v>10</v>
      </c>
      <c r="JK6" s="100"/>
      <c r="JL6" s="100"/>
      <c r="JM6" s="100"/>
      <c r="JN6" s="100"/>
      <c r="JO6" s="100"/>
      <c r="JP6" s="100"/>
      <c r="JQ6" s="100"/>
      <c r="JR6" s="100"/>
      <c r="JS6" s="100"/>
      <c r="JT6" s="100"/>
      <c r="JU6" s="100"/>
      <c r="JV6" s="100"/>
      <c r="JW6" s="100"/>
      <c r="JX6" s="100">
        <v>10</v>
      </c>
      <c r="JY6" s="100"/>
      <c r="JZ6" s="100"/>
      <c r="KA6" s="100"/>
      <c r="KB6" s="100"/>
      <c r="KC6" s="100"/>
      <c r="KD6" s="100"/>
      <c r="KE6" s="100"/>
      <c r="KF6" s="100"/>
      <c r="KG6" s="100"/>
      <c r="KH6" s="100"/>
      <c r="KI6" s="100"/>
      <c r="KJ6" s="100"/>
      <c r="KK6" s="100"/>
      <c r="KL6" s="100"/>
      <c r="KM6" s="100"/>
      <c r="KN6" s="100"/>
      <c r="KO6" s="100">
        <v>10</v>
      </c>
      <c r="KP6" s="100"/>
      <c r="KQ6" s="100"/>
      <c r="KR6" s="100"/>
      <c r="KS6" s="100"/>
      <c r="KT6" s="100"/>
      <c r="KU6" s="100"/>
      <c r="KV6" s="100"/>
      <c r="KW6" s="100"/>
      <c r="KX6" s="100"/>
      <c r="KY6" s="100"/>
      <c r="KZ6" s="100"/>
      <c r="LA6" s="100"/>
      <c r="LB6" s="100"/>
      <c r="LC6" s="100"/>
      <c r="LD6" s="100"/>
      <c r="LE6" s="100"/>
      <c r="LF6" s="100"/>
      <c r="LG6" s="100"/>
      <c r="LH6" s="100"/>
      <c r="LI6" s="100"/>
      <c r="LJ6" s="100"/>
      <c r="LK6" s="100"/>
      <c r="LL6" s="100"/>
      <c r="LM6" s="100"/>
      <c r="LN6" s="100"/>
      <c r="LO6" s="100"/>
      <c r="LP6" s="100"/>
      <c r="LQ6" s="100"/>
      <c r="LR6" s="100"/>
      <c r="LS6" s="100"/>
      <c r="LT6" s="100"/>
      <c r="LU6" s="100"/>
      <c r="LV6" s="100"/>
      <c r="LW6" s="100"/>
      <c r="LX6" s="100"/>
      <c r="LY6" s="100"/>
      <c r="LZ6" s="100"/>
      <c r="MA6" s="100"/>
      <c r="MB6" s="100"/>
      <c r="MC6" s="100"/>
      <c r="MD6" s="100"/>
      <c r="ME6" s="100"/>
      <c r="MF6" s="100"/>
      <c r="MG6" s="100"/>
      <c r="MH6" s="100"/>
      <c r="MI6" s="100"/>
      <c r="MJ6" s="100"/>
      <c r="MK6" s="100"/>
      <c r="ML6" s="100"/>
      <c r="MM6" s="100"/>
      <c r="MN6" s="100"/>
      <c r="MO6" s="100"/>
      <c r="MP6" s="100"/>
      <c r="MQ6" s="100"/>
      <c r="MR6" s="100"/>
      <c r="MS6" s="100"/>
      <c r="MT6" s="100"/>
      <c r="MU6" s="100"/>
      <c r="MV6" s="100"/>
      <c r="MW6" s="100"/>
      <c r="MX6" s="100"/>
      <c r="MY6" s="100"/>
      <c r="MZ6" s="100"/>
      <c r="NA6" s="100"/>
      <c r="NB6" s="100"/>
      <c r="NC6" s="100"/>
      <c r="ND6" s="100"/>
      <c r="NE6" s="100"/>
      <c r="NF6" s="100"/>
      <c r="NG6" s="100"/>
      <c r="NH6" s="100"/>
      <c r="NI6" s="100"/>
      <c r="NJ6" s="100"/>
      <c r="NK6" s="100"/>
      <c r="NL6" s="100"/>
      <c r="NM6" s="100"/>
      <c r="NN6" s="100"/>
      <c r="NO6" s="100"/>
      <c r="NP6" s="100"/>
      <c r="NQ6" s="100"/>
      <c r="NR6" s="100"/>
      <c r="NS6" s="100"/>
      <c r="NT6" s="100"/>
      <c r="NU6" s="100"/>
      <c r="NV6" s="100"/>
      <c r="NW6" s="100"/>
      <c r="NX6" s="100"/>
      <c r="NY6" s="100"/>
      <c r="NZ6" s="100"/>
      <c r="OA6" s="100"/>
      <c r="OB6" s="100"/>
      <c r="OC6" s="100"/>
      <c r="OD6" s="100"/>
      <c r="OE6" s="100"/>
      <c r="OF6" s="100"/>
      <c r="OG6" s="100"/>
      <c r="OH6" s="100"/>
      <c r="OI6" s="100"/>
      <c r="OJ6" s="100"/>
      <c r="OK6" s="100"/>
      <c r="OL6" s="100"/>
      <c r="OM6" s="100"/>
      <c r="ON6" s="100"/>
      <c r="OO6" s="100"/>
      <c r="OP6" s="100"/>
      <c r="OQ6" s="100"/>
      <c r="OR6" s="100"/>
      <c r="OS6" s="100"/>
      <c r="OT6" s="100"/>
      <c r="OU6" s="100"/>
      <c r="OV6" s="100"/>
      <c r="OW6" s="100"/>
      <c r="OX6" s="100"/>
      <c r="OY6" s="100"/>
      <c r="OZ6" s="100"/>
      <c r="PA6" s="100"/>
      <c r="PB6" s="100"/>
      <c r="PC6" s="100"/>
      <c r="PD6" s="100"/>
      <c r="PE6" s="100"/>
      <c r="PF6" s="100"/>
      <c r="PG6" s="100"/>
      <c r="PH6" s="100"/>
      <c r="PI6" s="100"/>
      <c r="PJ6" s="100"/>
      <c r="PK6" s="100"/>
      <c r="PL6" s="100"/>
      <c r="PM6" s="100"/>
      <c r="PN6" s="100"/>
      <c r="PO6" s="100"/>
      <c r="PP6" s="100"/>
      <c r="PQ6" s="100"/>
      <c r="PR6" s="100"/>
      <c r="PS6" s="100"/>
      <c r="PT6" s="100"/>
      <c r="PU6" s="100"/>
      <c r="PV6" s="100"/>
      <c r="PW6" s="100"/>
      <c r="PX6" s="100"/>
      <c r="PY6" s="100"/>
      <c r="PZ6" s="100"/>
      <c r="QA6" s="100"/>
      <c r="QB6" s="100"/>
      <c r="QC6" s="100"/>
      <c r="QD6" s="100"/>
      <c r="QE6" s="100"/>
      <c r="QF6" s="100"/>
      <c r="QG6" s="100"/>
      <c r="QH6" s="100"/>
      <c r="QI6" s="100"/>
      <c r="QJ6" s="100"/>
      <c r="QK6" s="100"/>
      <c r="QL6" s="100"/>
      <c r="QM6" s="100"/>
      <c r="QN6" s="100"/>
      <c r="QO6" s="100"/>
      <c r="QP6" s="100"/>
      <c r="QQ6" s="100"/>
      <c r="QR6" s="100"/>
      <c r="QS6" s="100"/>
      <c r="QT6" s="100"/>
      <c r="QU6" s="100"/>
      <c r="QV6" s="100"/>
      <c r="QW6" s="100"/>
      <c r="QX6" s="100"/>
      <c r="QY6" s="100"/>
      <c r="QZ6" s="23">
        <f t="shared" si="0"/>
        <v>75</v>
      </c>
      <c r="RA6" s="47" t="s">
        <v>36</v>
      </c>
      <c r="RB6" s="97">
        <v>5082.4799999999996</v>
      </c>
      <c r="RC6" s="63">
        <f>RF6+RG6</f>
        <v>5082.4799999999996</v>
      </c>
      <c r="RD6" s="63">
        <v>3361.22</v>
      </c>
      <c r="RE6" s="97">
        <f t="shared" si="1"/>
        <v>0</v>
      </c>
      <c r="RF6" s="107"/>
      <c r="RG6" s="107">
        <v>5082.4799999999996</v>
      </c>
      <c r="RH6" s="83">
        <f t="shared" si="2"/>
        <v>1.5120938230761449</v>
      </c>
      <c r="RI6" s="116" t="s">
        <v>528</v>
      </c>
    </row>
    <row r="7" spans="1:477" s="5" customFormat="1" ht="12.75" customHeight="1" x14ac:dyDescent="0.2">
      <c r="A7" s="48">
        <v>44937</v>
      </c>
      <c r="B7" s="81" t="s">
        <v>282</v>
      </c>
      <c r="C7" s="98"/>
      <c r="D7" s="98"/>
      <c r="E7" s="99"/>
      <c r="F7" s="99"/>
      <c r="G7" s="99"/>
      <c r="H7" s="99"/>
      <c r="I7" s="99"/>
      <c r="J7" s="99"/>
      <c r="K7" s="99"/>
      <c r="L7" s="99"/>
      <c r="M7" s="99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0"/>
      <c r="AU7" s="100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00"/>
      <c r="BG7" s="100"/>
      <c r="BH7" s="100"/>
      <c r="BI7" s="100"/>
      <c r="BJ7" s="100"/>
      <c r="BK7" s="100"/>
      <c r="BL7" s="100"/>
      <c r="BM7" s="100"/>
      <c r="BN7" s="100"/>
      <c r="BO7" s="100"/>
      <c r="BP7" s="100"/>
      <c r="BQ7" s="100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0"/>
      <c r="CK7" s="100"/>
      <c r="CL7" s="100"/>
      <c r="CM7" s="100"/>
      <c r="CN7" s="100"/>
      <c r="CO7" s="100"/>
      <c r="CP7" s="100"/>
      <c r="CQ7" s="100"/>
      <c r="CR7" s="100"/>
      <c r="CS7" s="100"/>
      <c r="CT7" s="100"/>
      <c r="CU7" s="100"/>
      <c r="CV7" s="100"/>
      <c r="CW7" s="100"/>
      <c r="CX7" s="100"/>
      <c r="CY7" s="100"/>
      <c r="CZ7" s="100"/>
      <c r="DA7" s="100"/>
      <c r="DB7" s="100"/>
      <c r="DC7" s="100"/>
      <c r="DD7" s="100"/>
      <c r="DE7" s="100"/>
      <c r="DF7" s="100"/>
      <c r="DG7" s="100"/>
      <c r="DH7" s="100"/>
      <c r="DI7" s="100"/>
      <c r="DJ7" s="100"/>
      <c r="DK7" s="100"/>
      <c r="DL7" s="100"/>
      <c r="DM7" s="100"/>
      <c r="DN7" s="100"/>
      <c r="DO7" s="100"/>
      <c r="DP7" s="100"/>
      <c r="DQ7" s="100"/>
      <c r="DR7" s="100"/>
      <c r="DS7" s="100"/>
      <c r="DT7" s="100"/>
      <c r="DU7" s="100"/>
      <c r="DV7" s="100"/>
      <c r="DW7" s="100"/>
      <c r="DX7" s="100"/>
      <c r="DY7" s="100"/>
      <c r="DZ7" s="100"/>
      <c r="EA7" s="100"/>
      <c r="EB7" s="100"/>
      <c r="EC7" s="100"/>
      <c r="ED7" s="100"/>
      <c r="EE7" s="100"/>
      <c r="EF7" s="100"/>
      <c r="EG7" s="100"/>
      <c r="EH7" s="100"/>
      <c r="EI7" s="100"/>
      <c r="EJ7" s="100"/>
      <c r="EK7" s="100"/>
      <c r="EL7" s="100"/>
      <c r="EM7" s="100"/>
      <c r="EN7" s="100"/>
      <c r="EO7" s="100"/>
      <c r="EP7" s="100"/>
      <c r="EQ7" s="100"/>
      <c r="ER7" s="100"/>
      <c r="ES7" s="100"/>
      <c r="ET7" s="100"/>
      <c r="EU7" s="100"/>
      <c r="EV7" s="100"/>
      <c r="EW7" s="100"/>
      <c r="EX7" s="100"/>
      <c r="EY7" s="100"/>
      <c r="EZ7" s="100"/>
      <c r="FA7" s="100"/>
      <c r="FB7" s="100"/>
      <c r="FC7" s="100"/>
      <c r="FD7" s="100"/>
      <c r="FE7" s="100"/>
      <c r="FF7" s="100"/>
      <c r="FG7" s="100"/>
      <c r="FH7" s="100"/>
      <c r="FI7" s="100"/>
      <c r="FJ7" s="100"/>
      <c r="FK7" s="100"/>
      <c r="FL7" s="100"/>
      <c r="FM7" s="100"/>
      <c r="FN7" s="100"/>
      <c r="FO7" s="100"/>
      <c r="FP7" s="100"/>
      <c r="FQ7" s="100"/>
      <c r="FR7" s="100"/>
      <c r="FS7" s="100"/>
      <c r="FT7" s="100"/>
      <c r="FU7" s="100"/>
      <c r="FV7" s="100"/>
      <c r="FW7" s="100"/>
      <c r="FX7" s="100"/>
      <c r="FY7" s="100"/>
      <c r="FZ7" s="100"/>
      <c r="GA7" s="100"/>
      <c r="GB7" s="100"/>
      <c r="GC7" s="100"/>
      <c r="GD7" s="100"/>
      <c r="GE7" s="100"/>
      <c r="GF7" s="100"/>
      <c r="GG7" s="100"/>
      <c r="GH7" s="100"/>
      <c r="GI7" s="100"/>
      <c r="GJ7" s="100"/>
      <c r="GK7" s="100"/>
      <c r="GL7" s="100"/>
      <c r="GM7" s="100"/>
      <c r="GN7" s="100"/>
      <c r="GO7" s="100"/>
      <c r="GP7" s="100"/>
      <c r="GQ7" s="100"/>
      <c r="GR7" s="100"/>
      <c r="GS7" s="100"/>
      <c r="GT7" s="100"/>
      <c r="GU7" s="100"/>
      <c r="GV7" s="100"/>
      <c r="GW7" s="100"/>
      <c r="GX7" s="100"/>
      <c r="GY7" s="100"/>
      <c r="GZ7" s="100"/>
      <c r="HA7" s="100"/>
      <c r="HB7" s="100"/>
      <c r="HC7" s="100"/>
      <c r="HD7" s="100"/>
      <c r="HE7" s="100"/>
      <c r="HF7" s="100"/>
      <c r="HG7" s="100"/>
      <c r="HH7" s="100"/>
      <c r="HI7" s="100"/>
      <c r="HJ7" s="100"/>
      <c r="HK7" s="100"/>
      <c r="HL7" s="100"/>
      <c r="HM7" s="100"/>
      <c r="HN7" s="100"/>
      <c r="HO7" s="100"/>
      <c r="HP7" s="100"/>
      <c r="HQ7" s="100"/>
      <c r="HR7" s="100"/>
      <c r="HS7" s="100"/>
      <c r="HT7" s="100"/>
      <c r="HU7" s="100"/>
      <c r="HV7" s="100"/>
      <c r="HW7" s="100"/>
      <c r="HX7" s="100"/>
      <c r="HY7" s="100"/>
      <c r="HZ7" s="100"/>
      <c r="IA7" s="100"/>
      <c r="IB7" s="100"/>
      <c r="IC7" s="100"/>
      <c r="ID7" s="100"/>
      <c r="IE7" s="100"/>
      <c r="IF7" s="100"/>
      <c r="IG7" s="100"/>
      <c r="IH7" s="100"/>
      <c r="II7" s="100"/>
      <c r="IJ7" s="100"/>
      <c r="IK7" s="100"/>
      <c r="IL7" s="100"/>
      <c r="IM7" s="100"/>
      <c r="IN7" s="100"/>
      <c r="IO7" s="100"/>
      <c r="IP7" s="100"/>
      <c r="IQ7" s="100"/>
      <c r="IR7" s="100"/>
      <c r="IS7" s="100">
        <v>11</v>
      </c>
      <c r="IT7" s="100"/>
      <c r="IU7" s="100"/>
      <c r="IV7" s="100"/>
      <c r="IW7" s="100"/>
      <c r="IX7" s="100"/>
      <c r="IY7" s="100"/>
      <c r="IZ7" s="100"/>
      <c r="JA7" s="100"/>
      <c r="JB7" s="100"/>
      <c r="JC7" s="100"/>
      <c r="JD7" s="100"/>
      <c r="JE7" s="100"/>
      <c r="JF7" s="100"/>
      <c r="JG7" s="100"/>
      <c r="JH7" s="100"/>
      <c r="JI7" s="100"/>
      <c r="JJ7" s="100"/>
      <c r="JK7" s="100"/>
      <c r="JL7" s="100"/>
      <c r="JM7" s="100"/>
      <c r="JN7" s="100"/>
      <c r="JO7" s="100"/>
      <c r="JP7" s="100"/>
      <c r="JQ7" s="100"/>
      <c r="JR7" s="100"/>
      <c r="JS7" s="100"/>
      <c r="JT7" s="100"/>
      <c r="JU7" s="100"/>
      <c r="JV7" s="100"/>
      <c r="JW7" s="100"/>
      <c r="JX7" s="100"/>
      <c r="JY7" s="100"/>
      <c r="JZ7" s="100"/>
      <c r="KA7" s="100"/>
      <c r="KB7" s="100"/>
      <c r="KC7" s="100"/>
      <c r="KD7" s="100"/>
      <c r="KE7" s="100"/>
      <c r="KF7" s="100"/>
      <c r="KG7" s="100"/>
      <c r="KH7" s="100"/>
      <c r="KI7" s="100"/>
      <c r="KJ7" s="100"/>
      <c r="KK7" s="100"/>
      <c r="KL7" s="100"/>
      <c r="KM7" s="100"/>
      <c r="KN7" s="100"/>
      <c r="KO7" s="100"/>
      <c r="KP7" s="100"/>
      <c r="KQ7" s="100"/>
      <c r="KR7" s="100"/>
      <c r="KS7" s="100"/>
      <c r="KT7" s="100"/>
      <c r="KU7" s="100"/>
      <c r="KV7" s="100"/>
      <c r="KW7" s="100"/>
      <c r="KX7" s="100"/>
      <c r="KY7" s="100"/>
      <c r="KZ7" s="100"/>
      <c r="LA7" s="100"/>
      <c r="LB7" s="100"/>
      <c r="LC7" s="100"/>
      <c r="LD7" s="100"/>
      <c r="LE7" s="100"/>
      <c r="LF7" s="100"/>
      <c r="LG7" s="100"/>
      <c r="LH7" s="100"/>
      <c r="LI7" s="100"/>
      <c r="LJ7" s="100"/>
      <c r="LK7" s="100"/>
      <c r="LL7" s="100"/>
      <c r="LM7" s="100"/>
      <c r="LN7" s="100"/>
      <c r="LO7" s="100"/>
      <c r="LP7" s="100"/>
      <c r="LQ7" s="100"/>
      <c r="LR7" s="100"/>
      <c r="LS7" s="100"/>
      <c r="LT7" s="100"/>
      <c r="LU7" s="100"/>
      <c r="LV7" s="100"/>
      <c r="LW7" s="100"/>
      <c r="LX7" s="100"/>
      <c r="LY7" s="100"/>
      <c r="LZ7" s="100"/>
      <c r="MA7" s="100"/>
      <c r="MB7" s="100"/>
      <c r="MC7" s="100"/>
      <c r="MD7" s="100"/>
      <c r="ME7" s="100"/>
      <c r="MF7" s="100"/>
      <c r="MG7" s="100"/>
      <c r="MH7" s="100"/>
      <c r="MI7" s="100"/>
      <c r="MJ7" s="100"/>
      <c r="MK7" s="100"/>
      <c r="ML7" s="100"/>
      <c r="MM7" s="100"/>
      <c r="MN7" s="100"/>
      <c r="MO7" s="100"/>
      <c r="MP7" s="100"/>
      <c r="MQ7" s="100"/>
      <c r="MR7" s="100"/>
      <c r="MS7" s="100"/>
      <c r="MT7" s="100"/>
      <c r="MU7" s="100"/>
      <c r="MV7" s="100"/>
      <c r="MW7" s="100"/>
      <c r="MX7" s="100"/>
      <c r="MY7" s="100"/>
      <c r="MZ7" s="100"/>
      <c r="NA7" s="100"/>
      <c r="NB7" s="100"/>
      <c r="NC7" s="100"/>
      <c r="ND7" s="100"/>
      <c r="NE7" s="100"/>
      <c r="NF7" s="100"/>
      <c r="NG7" s="100"/>
      <c r="NH7" s="100"/>
      <c r="NI7" s="100"/>
      <c r="NJ7" s="100"/>
      <c r="NK7" s="100"/>
      <c r="NL7" s="100"/>
      <c r="NM7" s="100"/>
      <c r="NN7" s="100"/>
      <c r="NO7" s="100"/>
      <c r="NP7" s="100"/>
      <c r="NQ7" s="100"/>
      <c r="NR7" s="100"/>
      <c r="NS7" s="100"/>
      <c r="NT7" s="100"/>
      <c r="NU7" s="100"/>
      <c r="NV7" s="100"/>
      <c r="NW7" s="100"/>
      <c r="NX7" s="100"/>
      <c r="NY7" s="100"/>
      <c r="NZ7" s="100"/>
      <c r="OA7" s="100"/>
      <c r="OB7" s="100"/>
      <c r="OC7" s="100"/>
      <c r="OD7" s="100"/>
      <c r="OE7" s="100"/>
      <c r="OF7" s="100"/>
      <c r="OG7" s="100"/>
      <c r="OH7" s="100"/>
      <c r="OI7" s="100"/>
      <c r="OJ7" s="100"/>
      <c r="OK7" s="100"/>
      <c r="OL7" s="100"/>
      <c r="OM7" s="100"/>
      <c r="ON7" s="100"/>
      <c r="OO7" s="100"/>
      <c r="OP7" s="100"/>
      <c r="OQ7" s="100"/>
      <c r="OR7" s="100"/>
      <c r="OS7" s="100"/>
      <c r="OT7" s="100"/>
      <c r="OU7" s="100"/>
      <c r="OV7" s="100"/>
      <c r="OW7" s="100"/>
      <c r="OX7" s="100"/>
      <c r="OY7" s="100"/>
      <c r="OZ7" s="100"/>
      <c r="PA7" s="100"/>
      <c r="PB7" s="100"/>
      <c r="PC7" s="100"/>
      <c r="PD7" s="100"/>
      <c r="PE7" s="100"/>
      <c r="PF7" s="100"/>
      <c r="PG7" s="100"/>
      <c r="PH7" s="100"/>
      <c r="PI7" s="100"/>
      <c r="PJ7" s="100"/>
      <c r="PK7" s="100"/>
      <c r="PL7" s="100"/>
      <c r="PM7" s="100"/>
      <c r="PN7" s="100"/>
      <c r="PO7" s="100"/>
      <c r="PP7" s="100"/>
      <c r="PQ7" s="100"/>
      <c r="PR7" s="100"/>
      <c r="PS7" s="100"/>
      <c r="PT7" s="100"/>
      <c r="PU7" s="100"/>
      <c r="PV7" s="100"/>
      <c r="PW7" s="100"/>
      <c r="PX7" s="100"/>
      <c r="PY7" s="100"/>
      <c r="PZ7" s="100"/>
      <c r="QA7" s="100"/>
      <c r="QB7" s="100"/>
      <c r="QC7" s="100"/>
      <c r="QD7" s="100"/>
      <c r="QE7" s="100"/>
      <c r="QF7" s="100"/>
      <c r="QG7" s="100"/>
      <c r="QH7" s="100"/>
      <c r="QI7" s="100"/>
      <c r="QJ7" s="100"/>
      <c r="QK7" s="100"/>
      <c r="QL7" s="100"/>
      <c r="QM7" s="100"/>
      <c r="QN7" s="100"/>
      <c r="QO7" s="100"/>
      <c r="QP7" s="100"/>
      <c r="QQ7" s="100"/>
      <c r="QR7" s="100"/>
      <c r="QS7" s="100"/>
      <c r="QT7" s="100"/>
      <c r="QU7" s="100"/>
      <c r="QV7" s="100"/>
      <c r="QW7" s="100"/>
      <c r="QX7" s="100"/>
      <c r="QY7" s="100"/>
      <c r="QZ7" s="23">
        <f t="shared" si="0"/>
        <v>11</v>
      </c>
      <c r="RA7" s="47" t="s">
        <v>36</v>
      </c>
      <c r="RB7" s="97">
        <v>488.4</v>
      </c>
      <c r="RC7" s="63">
        <f>RF7+RG7</f>
        <v>0</v>
      </c>
      <c r="RD7" s="63">
        <v>316.90999999999997</v>
      </c>
      <c r="RE7" s="97">
        <f t="shared" si="1"/>
        <v>488.4</v>
      </c>
      <c r="RF7" s="107"/>
      <c r="RG7" s="107"/>
      <c r="RH7" s="83">
        <f t="shared" si="2"/>
        <v>1.5411315515446027</v>
      </c>
      <c r="RI7" s="116"/>
    </row>
    <row r="8" spans="1:477" s="5" customFormat="1" ht="12.75" customHeight="1" x14ac:dyDescent="0.2">
      <c r="A8" s="48">
        <v>44937</v>
      </c>
      <c r="B8" s="81" t="s">
        <v>359</v>
      </c>
      <c r="C8" s="98"/>
      <c r="D8" s="98"/>
      <c r="E8" s="99"/>
      <c r="F8" s="99"/>
      <c r="G8" s="99"/>
      <c r="H8" s="99"/>
      <c r="I8" s="99"/>
      <c r="J8" s="99"/>
      <c r="K8" s="99"/>
      <c r="L8" s="99"/>
      <c r="M8" s="99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>
        <v>100</v>
      </c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BO8" s="100"/>
      <c r="BP8" s="100"/>
      <c r="BQ8" s="100"/>
      <c r="BR8" s="100"/>
      <c r="BS8" s="100"/>
      <c r="BT8" s="100"/>
      <c r="BU8" s="100"/>
      <c r="BV8" s="100"/>
      <c r="BW8" s="100"/>
      <c r="BX8" s="100"/>
      <c r="BY8" s="100"/>
      <c r="BZ8" s="100"/>
      <c r="CA8" s="100"/>
      <c r="CB8" s="100"/>
      <c r="CC8" s="100"/>
      <c r="CD8" s="100"/>
      <c r="CE8" s="100"/>
      <c r="CF8" s="100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0"/>
      <c r="CR8" s="100"/>
      <c r="CS8" s="100"/>
      <c r="CT8" s="100"/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00"/>
      <c r="DM8" s="100"/>
      <c r="DN8" s="100"/>
      <c r="DO8" s="100"/>
      <c r="DP8" s="100"/>
      <c r="DQ8" s="100"/>
      <c r="DR8" s="100"/>
      <c r="DS8" s="100"/>
      <c r="DT8" s="100"/>
      <c r="DU8" s="100"/>
      <c r="DV8" s="100"/>
      <c r="DW8" s="100"/>
      <c r="DX8" s="100"/>
      <c r="DY8" s="100"/>
      <c r="DZ8" s="100"/>
      <c r="EA8" s="100"/>
      <c r="EB8" s="100"/>
      <c r="EC8" s="100"/>
      <c r="ED8" s="100"/>
      <c r="EE8" s="100"/>
      <c r="EF8" s="100"/>
      <c r="EG8" s="100"/>
      <c r="EH8" s="100"/>
      <c r="EI8" s="100"/>
      <c r="EJ8" s="100"/>
      <c r="EK8" s="100"/>
      <c r="EL8" s="100"/>
      <c r="EM8" s="100"/>
      <c r="EN8" s="100"/>
      <c r="EO8" s="100"/>
      <c r="EP8" s="100"/>
      <c r="EQ8" s="100"/>
      <c r="ER8" s="100"/>
      <c r="ES8" s="100"/>
      <c r="ET8" s="100"/>
      <c r="EU8" s="100"/>
      <c r="EV8" s="100"/>
      <c r="EW8" s="100"/>
      <c r="EX8" s="100"/>
      <c r="EY8" s="100"/>
      <c r="EZ8" s="100"/>
      <c r="FA8" s="100"/>
      <c r="FB8" s="100"/>
      <c r="FC8" s="100"/>
      <c r="FD8" s="100"/>
      <c r="FE8" s="100"/>
      <c r="FF8" s="100"/>
      <c r="FG8" s="100"/>
      <c r="FH8" s="100"/>
      <c r="FI8" s="100"/>
      <c r="FJ8" s="100"/>
      <c r="FK8" s="100"/>
      <c r="FL8" s="100"/>
      <c r="FM8" s="100"/>
      <c r="FN8" s="100"/>
      <c r="FO8" s="100"/>
      <c r="FP8" s="100"/>
      <c r="FQ8" s="100"/>
      <c r="FR8" s="100"/>
      <c r="FS8" s="100"/>
      <c r="FT8" s="100"/>
      <c r="FU8" s="100"/>
      <c r="FV8" s="100"/>
      <c r="FW8" s="100"/>
      <c r="FX8" s="100"/>
      <c r="FY8" s="100"/>
      <c r="FZ8" s="100"/>
      <c r="GA8" s="100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0"/>
      <c r="GM8" s="100"/>
      <c r="GN8" s="100"/>
      <c r="GO8" s="100"/>
      <c r="GP8" s="100"/>
      <c r="GQ8" s="100"/>
      <c r="GR8" s="100"/>
      <c r="GS8" s="100"/>
      <c r="GT8" s="100"/>
      <c r="GU8" s="100"/>
      <c r="GV8" s="100"/>
      <c r="GW8" s="100"/>
      <c r="GX8" s="100"/>
      <c r="GY8" s="100"/>
      <c r="GZ8" s="100"/>
      <c r="HA8" s="100"/>
      <c r="HB8" s="100"/>
      <c r="HC8" s="100"/>
      <c r="HD8" s="100"/>
      <c r="HE8" s="100"/>
      <c r="HF8" s="100"/>
      <c r="HG8" s="100"/>
      <c r="HH8" s="100"/>
      <c r="HI8" s="100"/>
      <c r="HJ8" s="100"/>
      <c r="HK8" s="100"/>
      <c r="HL8" s="100"/>
      <c r="HM8" s="100"/>
      <c r="HN8" s="100"/>
      <c r="HO8" s="100"/>
      <c r="HP8" s="100"/>
      <c r="HQ8" s="100"/>
      <c r="HR8" s="100"/>
      <c r="HS8" s="100"/>
      <c r="HT8" s="100"/>
      <c r="HU8" s="100"/>
      <c r="HV8" s="100"/>
      <c r="HW8" s="100"/>
      <c r="HX8" s="100"/>
      <c r="HY8" s="100"/>
      <c r="HZ8" s="100"/>
      <c r="IA8" s="100"/>
      <c r="IB8" s="100"/>
      <c r="IC8" s="100"/>
      <c r="ID8" s="100"/>
      <c r="IE8" s="100"/>
      <c r="IF8" s="100"/>
      <c r="IG8" s="100"/>
      <c r="IH8" s="100"/>
      <c r="II8" s="100"/>
      <c r="IJ8" s="100"/>
      <c r="IK8" s="100"/>
      <c r="IL8" s="100"/>
      <c r="IM8" s="100"/>
      <c r="IN8" s="100"/>
      <c r="IO8" s="100"/>
      <c r="IP8" s="100"/>
      <c r="IQ8" s="100"/>
      <c r="IR8" s="100"/>
      <c r="IS8" s="100"/>
      <c r="IT8" s="100"/>
      <c r="IU8" s="100"/>
      <c r="IV8" s="100"/>
      <c r="IW8" s="100"/>
      <c r="IX8" s="100"/>
      <c r="IY8" s="100"/>
      <c r="IZ8" s="100"/>
      <c r="JA8" s="100">
        <v>45</v>
      </c>
      <c r="JB8" s="100"/>
      <c r="JC8" s="100"/>
      <c r="JD8" s="100"/>
      <c r="JE8" s="100"/>
      <c r="JF8" s="100"/>
      <c r="JG8" s="100"/>
      <c r="JH8" s="100"/>
      <c r="JI8" s="100"/>
      <c r="JJ8" s="100"/>
      <c r="JK8" s="100"/>
      <c r="JL8" s="100"/>
      <c r="JM8" s="100"/>
      <c r="JN8" s="100"/>
      <c r="JO8" s="100"/>
      <c r="JP8" s="100"/>
      <c r="JQ8" s="100"/>
      <c r="JR8" s="100"/>
      <c r="JS8" s="100"/>
      <c r="JT8" s="100"/>
      <c r="JU8" s="100"/>
      <c r="JV8" s="100"/>
      <c r="JW8" s="100"/>
      <c r="JX8" s="100"/>
      <c r="JY8" s="100"/>
      <c r="JZ8" s="100"/>
      <c r="KA8" s="100"/>
      <c r="KB8" s="100"/>
      <c r="KC8" s="100"/>
      <c r="KD8" s="100"/>
      <c r="KE8" s="100"/>
      <c r="KF8" s="100"/>
      <c r="KG8" s="100"/>
      <c r="KH8" s="100"/>
      <c r="KI8" s="100"/>
      <c r="KJ8" s="100"/>
      <c r="KK8" s="100"/>
      <c r="KL8" s="100"/>
      <c r="KM8" s="100"/>
      <c r="KN8" s="100"/>
      <c r="KO8" s="100"/>
      <c r="KP8" s="100"/>
      <c r="KQ8" s="100"/>
      <c r="KR8" s="100"/>
      <c r="KS8" s="100"/>
      <c r="KT8" s="100"/>
      <c r="KU8" s="100"/>
      <c r="KV8" s="100"/>
      <c r="KW8" s="100"/>
      <c r="KX8" s="100"/>
      <c r="KY8" s="100"/>
      <c r="KZ8" s="100"/>
      <c r="LA8" s="100"/>
      <c r="LB8" s="100"/>
      <c r="LC8" s="100"/>
      <c r="LD8" s="100"/>
      <c r="LE8" s="100"/>
      <c r="LF8" s="100"/>
      <c r="LG8" s="100"/>
      <c r="LH8" s="100"/>
      <c r="LI8" s="100"/>
      <c r="LJ8" s="100"/>
      <c r="LK8" s="100"/>
      <c r="LL8" s="100"/>
      <c r="LM8" s="100"/>
      <c r="LN8" s="100"/>
      <c r="LO8" s="100"/>
      <c r="LP8" s="100"/>
      <c r="LQ8" s="100"/>
      <c r="LR8" s="100"/>
      <c r="LS8" s="100"/>
      <c r="LT8" s="100"/>
      <c r="LU8" s="100"/>
      <c r="LV8" s="100"/>
      <c r="LW8" s="100"/>
      <c r="LX8" s="100"/>
      <c r="LY8" s="100"/>
      <c r="LZ8" s="100"/>
      <c r="MA8" s="100"/>
      <c r="MB8" s="100"/>
      <c r="MC8" s="100"/>
      <c r="MD8" s="100"/>
      <c r="ME8" s="100"/>
      <c r="MF8" s="100"/>
      <c r="MG8" s="100"/>
      <c r="MH8" s="100"/>
      <c r="MI8" s="100"/>
      <c r="MJ8" s="100"/>
      <c r="MK8" s="100"/>
      <c r="ML8" s="100"/>
      <c r="MM8" s="100"/>
      <c r="MN8" s="100"/>
      <c r="MO8" s="100"/>
      <c r="MP8" s="100"/>
      <c r="MQ8" s="100"/>
      <c r="MR8" s="100"/>
      <c r="MS8" s="100"/>
      <c r="MT8" s="100"/>
      <c r="MU8" s="100"/>
      <c r="MV8" s="100"/>
      <c r="MW8" s="100"/>
      <c r="MX8" s="100"/>
      <c r="MY8" s="100"/>
      <c r="MZ8" s="100"/>
      <c r="NA8" s="100"/>
      <c r="NB8" s="100"/>
      <c r="NC8" s="100"/>
      <c r="ND8" s="100"/>
      <c r="NE8" s="100"/>
      <c r="NF8" s="100"/>
      <c r="NG8" s="100"/>
      <c r="NH8" s="100"/>
      <c r="NI8" s="100"/>
      <c r="NJ8" s="100"/>
      <c r="NK8" s="100"/>
      <c r="NL8" s="100"/>
      <c r="NM8" s="100"/>
      <c r="NN8" s="100"/>
      <c r="NO8" s="100"/>
      <c r="NP8" s="100"/>
      <c r="NQ8" s="100"/>
      <c r="NR8" s="100"/>
      <c r="NS8" s="100"/>
      <c r="NT8" s="100"/>
      <c r="NU8" s="100"/>
      <c r="NV8" s="100"/>
      <c r="NW8" s="100"/>
      <c r="NX8" s="100"/>
      <c r="NY8" s="100"/>
      <c r="NZ8" s="100"/>
      <c r="OA8" s="100"/>
      <c r="OB8" s="100"/>
      <c r="OC8" s="100"/>
      <c r="OD8" s="100"/>
      <c r="OE8" s="100"/>
      <c r="OF8" s="100"/>
      <c r="OG8" s="100"/>
      <c r="OH8" s="100"/>
      <c r="OI8" s="100"/>
      <c r="OJ8" s="100"/>
      <c r="OK8" s="100"/>
      <c r="OL8" s="100"/>
      <c r="OM8" s="100"/>
      <c r="ON8" s="100"/>
      <c r="OO8" s="100"/>
      <c r="OP8" s="100"/>
      <c r="OQ8" s="100"/>
      <c r="OR8" s="100"/>
      <c r="OS8" s="100"/>
      <c r="OT8" s="100"/>
      <c r="OU8" s="100"/>
      <c r="OV8" s="100"/>
      <c r="OW8" s="100"/>
      <c r="OX8" s="100"/>
      <c r="OY8" s="100"/>
      <c r="OZ8" s="100"/>
      <c r="PA8" s="100"/>
      <c r="PB8" s="100"/>
      <c r="PC8" s="100"/>
      <c r="PD8" s="100"/>
      <c r="PE8" s="100"/>
      <c r="PF8" s="100"/>
      <c r="PG8" s="100"/>
      <c r="PH8" s="100"/>
      <c r="PI8" s="100"/>
      <c r="PJ8" s="100"/>
      <c r="PK8" s="100"/>
      <c r="PL8" s="100"/>
      <c r="PM8" s="100"/>
      <c r="PN8" s="100"/>
      <c r="PO8" s="100"/>
      <c r="PP8" s="100"/>
      <c r="PQ8" s="100"/>
      <c r="PR8" s="100"/>
      <c r="PS8" s="100"/>
      <c r="PT8" s="100"/>
      <c r="PU8" s="100"/>
      <c r="PV8" s="100"/>
      <c r="PW8" s="100"/>
      <c r="PX8" s="100"/>
      <c r="PY8" s="100"/>
      <c r="PZ8" s="100"/>
      <c r="QA8" s="100"/>
      <c r="QB8" s="100"/>
      <c r="QC8" s="100"/>
      <c r="QD8" s="100"/>
      <c r="QE8" s="100"/>
      <c r="QF8" s="100"/>
      <c r="QG8" s="100"/>
      <c r="QH8" s="100"/>
      <c r="QI8" s="100"/>
      <c r="QJ8" s="100"/>
      <c r="QK8" s="100"/>
      <c r="QL8" s="100"/>
      <c r="QM8" s="100"/>
      <c r="QN8" s="100"/>
      <c r="QO8" s="100"/>
      <c r="QP8" s="100"/>
      <c r="QQ8" s="100"/>
      <c r="QR8" s="100"/>
      <c r="QS8" s="100"/>
      <c r="QT8" s="100"/>
      <c r="QU8" s="100"/>
      <c r="QV8" s="100"/>
      <c r="QW8" s="100"/>
      <c r="QX8" s="100"/>
      <c r="QY8" s="100"/>
      <c r="QZ8" s="23">
        <f t="shared" si="0"/>
        <v>145</v>
      </c>
      <c r="RA8" s="47" t="s">
        <v>36</v>
      </c>
      <c r="RB8" s="97">
        <v>8073</v>
      </c>
      <c r="RC8" s="63">
        <f>RF8</f>
        <v>8073</v>
      </c>
      <c r="RD8" s="63">
        <v>4919.75</v>
      </c>
      <c r="RE8" s="97">
        <f t="shared" si="1"/>
        <v>0</v>
      </c>
      <c r="RF8" s="107">
        <v>8073</v>
      </c>
      <c r="RG8" s="107"/>
      <c r="RH8" s="83">
        <f t="shared" si="2"/>
        <v>1.6409370394837135</v>
      </c>
      <c r="RI8" s="116" t="s">
        <v>529</v>
      </c>
    </row>
    <row r="9" spans="1:477" s="5" customFormat="1" ht="12.75" customHeight="1" x14ac:dyDescent="0.2">
      <c r="A9" s="48">
        <v>44937</v>
      </c>
      <c r="B9" s="90" t="s">
        <v>75</v>
      </c>
      <c r="C9" s="98"/>
      <c r="D9" s="98"/>
      <c r="E9" s="99"/>
      <c r="F9" s="99"/>
      <c r="G9" s="99"/>
      <c r="H9" s="99"/>
      <c r="I9" s="99"/>
      <c r="J9" s="99"/>
      <c r="K9" s="99"/>
      <c r="L9" s="99"/>
      <c r="M9" s="99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K9" s="100"/>
      <c r="CL9" s="100"/>
      <c r="CM9" s="100"/>
      <c r="CN9" s="10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00"/>
      <c r="DM9" s="100"/>
      <c r="DN9" s="100"/>
      <c r="DO9" s="100"/>
      <c r="DP9" s="100"/>
      <c r="DQ9" s="100"/>
      <c r="DR9" s="100"/>
      <c r="DS9" s="100"/>
      <c r="DT9" s="100"/>
      <c r="DU9" s="100"/>
      <c r="DV9" s="100"/>
      <c r="DW9" s="100"/>
      <c r="DX9" s="100"/>
      <c r="DY9" s="100"/>
      <c r="DZ9" s="100"/>
      <c r="EA9" s="100"/>
      <c r="EB9" s="100"/>
      <c r="EC9" s="100"/>
      <c r="ED9" s="100"/>
      <c r="EE9" s="100"/>
      <c r="EF9" s="100"/>
      <c r="EG9" s="100"/>
      <c r="EH9" s="100"/>
      <c r="EI9" s="100"/>
      <c r="EJ9" s="100"/>
      <c r="EK9" s="100"/>
      <c r="EL9" s="100"/>
      <c r="EM9" s="100"/>
      <c r="EN9" s="100"/>
      <c r="EO9" s="100"/>
      <c r="EP9" s="100"/>
      <c r="EQ9" s="100"/>
      <c r="ER9" s="100"/>
      <c r="ES9" s="100"/>
      <c r="ET9" s="100"/>
      <c r="EU9" s="100"/>
      <c r="EV9" s="100"/>
      <c r="EW9" s="100"/>
      <c r="EX9" s="100"/>
      <c r="EY9" s="100"/>
      <c r="EZ9" s="100"/>
      <c r="FA9" s="100"/>
      <c r="FB9" s="100"/>
      <c r="FC9" s="100"/>
      <c r="FD9" s="100"/>
      <c r="FE9" s="100"/>
      <c r="FF9" s="100"/>
      <c r="FG9" s="100"/>
      <c r="FH9" s="100"/>
      <c r="FI9" s="100"/>
      <c r="FJ9" s="100"/>
      <c r="FK9" s="100"/>
      <c r="FL9" s="100"/>
      <c r="FM9" s="100"/>
      <c r="FN9" s="100"/>
      <c r="FO9" s="100"/>
      <c r="FP9" s="100"/>
      <c r="FQ9" s="100"/>
      <c r="FR9" s="100"/>
      <c r="FS9" s="100"/>
      <c r="FT9" s="100"/>
      <c r="FU9" s="100"/>
      <c r="FV9" s="100"/>
      <c r="FW9" s="100"/>
      <c r="FX9" s="100"/>
      <c r="FY9" s="100"/>
      <c r="FZ9" s="100"/>
      <c r="GA9" s="100"/>
      <c r="GB9" s="100"/>
      <c r="GC9" s="100"/>
      <c r="GD9" s="100"/>
      <c r="GE9" s="100"/>
      <c r="GF9" s="100"/>
      <c r="GG9" s="100"/>
      <c r="GH9" s="100"/>
      <c r="GI9" s="100"/>
      <c r="GJ9" s="100"/>
      <c r="GK9" s="100"/>
      <c r="GL9" s="100"/>
      <c r="GM9" s="100"/>
      <c r="GN9" s="100"/>
      <c r="GO9" s="100"/>
      <c r="GP9" s="100"/>
      <c r="GQ9" s="100"/>
      <c r="GR9" s="100"/>
      <c r="GS9" s="100"/>
      <c r="GT9" s="100"/>
      <c r="GU9" s="100"/>
      <c r="GV9" s="100"/>
      <c r="GW9" s="100"/>
      <c r="GX9" s="100"/>
      <c r="GY9" s="100"/>
      <c r="GZ9" s="100"/>
      <c r="HA9" s="100"/>
      <c r="HB9" s="100"/>
      <c r="HC9" s="100"/>
      <c r="HD9" s="100"/>
      <c r="HE9" s="100"/>
      <c r="HF9" s="100"/>
      <c r="HG9" s="100"/>
      <c r="HH9" s="100"/>
      <c r="HI9" s="100"/>
      <c r="HJ9" s="100"/>
      <c r="HK9" s="100"/>
      <c r="HL9" s="100"/>
      <c r="HM9" s="100"/>
      <c r="HN9" s="100"/>
      <c r="HO9" s="100"/>
      <c r="HP9" s="100"/>
      <c r="HQ9" s="100"/>
      <c r="HR9" s="100"/>
      <c r="HS9" s="100"/>
      <c r="HT9" s="100"/>
      <c r="HU9" s="100"/>
      <c r="HV9" s="100"/>
      <c r="HW9" s="100"/>
      <c r="HX9" s="100"/>
      <c r="HY9" s="100"/>
      <c r="HZ9" s="100"/>
      <c r="IA9" s="100"/>
      <c r="IB9" s="100"/>
      <c r="IC9" s="100"/>
      <c r="ID9" s="100"/>
      <c r="IE9" s="100"/>
      <c r="IF9" s="100"/>
      <c r="IG9" s="100"/>
      <c r="IH9" s="100"/>
      <c r="II9" s="100"/>
      <c r="IJ9" s="100"/>
      <c r="IK9" s="100"/>
      <c r="IL9" s="100"/>
      <c r="IM9" s="100"/>
      <c r="IN9" s="100"/>
      <c r="IO9" s="100"/>
      <c r="IP9" s="100"/>
      <c r="IQ9" s="100"/>
      <c r="IR9" s="100"/>
      <c r="IS9" s="100"/>
      <c r="IT9" s="100"/>
      <c r="IU9" s="100"/>
      <c r="IV9" s="100"/>
      <c r="IW9" s="100"/>
      <c r="IX9" s="100"/>
      <c r="IY9" s="100"/>
      <c r="IZ9" s="100"/>
      <c r="JA9" s="100"/>
      <c r="JB9" s="100"/>
      <c r="JC9" s="100"/>
      <c r="JD9" s="100"/>
      <c r="JE9" s="100"/>
      <c r="JF9" s="100"/>
      <c r="JG9" s="100"/>
      <c r="JH9" s="100"/>
      <c r="JI9" s="100"/>
      <c r="JJ9" s="100"/>
      <c r="JK9" s="100"/>
      <c r="JL9" s="100"/>
      <c r="JM9" s="100"/>
      <c r="JN9" s="100"/>
      <c r="JO9" s="100"/>
      <c r="JP9" s="100"/>
      <c r="JQ9" s="100"/>
      <c r="JR9" s="100"/>
      <c r="JS9" s="100"/>
      <c r="JT9" s="100"/>
      <c r="JU9" s="100"/>
      <c r="JV9" s="100"/>
      <c r="JW9" s="100"/>
      <c r="JX9" s="100"/>
      <c r="JY9" s="100"/>
      <c r="JZ9" s="100"/>
      <c r="KA9" s="100"/>
      <c r="KB9" s="100"/>
      <c r="KC9" s="100"/>
      <c r="KD9" s="100"/>
      <c r="KE9" s="100"/>
      <c r="KF9" s="100"/>
      <c r="KG9" s="100"/>
      <c r="KH9" s="100"/>
      <c r="KI9" s="100"/>
      <c r="KJ9" s="100"/>
      <c r="KK9" s="100"/>
      <c r="KL9" s="100"/>
      <c r="KM9" s="100"/>
      <c r="KN9" s="100"/>
      <c r="KO9" s="100"/>
      <c r="KP9" s="100"/>
      <c r="KQ9" s="100"/>
      <c r="KR9" s="100"/>
      <c r="KS9" s="100"/>
      <c r="KT9" s="100"/>
      <c r="KU9" s="100"/>
      <c r="KV9" s="100"/>
      <c r="KW9" s="100"/>
      <c r="KX9" s="100"/>
      <c r="KY9" s="100"/>
      <c r="KZ9" s="100"/>
      <c r="LA9" s="100"/>
      <c r="LB9" s="100"/>
      <c r="LC9" s="100"/>
      <c r="LD9" s="100"/>
      <c r="LE9" s="100"/>
      <c r="LF9" s="100"/>
      <c r="LG9" s="100"/>
      <c r="LH9" s="100"/>
      <c r="LI9" s="100"/>
      <c r="LJ9" s="100"/>
      <c r="LK9" s="100"/>
      <c r="LL9" s="100"/>
      <c r="LM9" s="100">
        <v>10</v>
      </c>
      <c r="LN9" s="100"/>
      <c r="LO9" s="100"/>
      <c r="LP9" s="100"/>
      <c r="LQ9" s="100"/>
      <c r="LR9" s="100"/>
      <c r="LS9" s="100"/>
      <c r="LT9" s="100"/>
      <c r="LU9" s="100"/>
      <c r="LV9" s="100"/>
      <c r="LW9" s="100"/>
      <c r="LX9" s="100"/>
      <c r="LY9" s="100"/>
      <c r="LZ9" s="100"/>
      <c r="MA9" s="100"/>
      <c r="MB9" s="100"/>
      <c r="MC9" s="100"/>
      <c r="MD9" s="100"/>
      <c r="ME9" s="100"/>
      <c r="MF9" s="100"/>
      <c r="MG9" s="100"/>
      <c r="MH9" s="100"/>
      <c r="MI9" s="100"/>
      <c r="MJ9" s="100"/>
      <c r="MK9" s="100"/>
      <c r="ML9" s="100"/>
      <c r="MM9" s="100"/>
      <c r="MN9" s="100"/>
      <c r="MO9" s="100"/>
      <c r="MP9" s="100"/>
      <c r="MQ9" s="100"/>
      <c r="MR9" s="100"/>
      <c r="MS9" s="100"/>
      <c r="MT9" s="100"/>
      <c r="MU9" s="100"/>
      <c r="MV9" s="100"/>
      <c r="MW9" s="100"/>
      <c r="MX9" s="100"/>
      <c r="MY9" s="100"/>
      <c r="MZ9" s="100"/>
      <c r="NA9" s="100"/>
      <c r="NB9" s="100"/>
      <c r="NC9" s="100"/>
      <c r="ND9" s="100"/>
      <c r="NE9" s="100"/>
      <c r="NF9" s="100"/>
      <c r="NG9" s="100"/>
      <c r="NH9" s="100"/>
      <c r="NI9" s="100"/>
      <c r="NJ9" s="100"/>
      <c r="NK9" s="100"/>
      <c r="NL9" s="100"/>
      <c r="NM9" s="100"/>
      <c r="NN9" s="100"/>
      <c r="NO9" s="100"/>
      <c r="NP9" s="100"/>
      <c r="NQ9" s="100"/>
      <c r="NR9" s="100"/>
      <c r="NS9" s="100"/>
      <c r="NT9" s="100"/>
      <c r="NU9" s="100"/>
      <c r="NV9" s="100"/>
      <c r="NW9" s="100"/>
      <c r="NX9" s="100"/>
      <c r="NY9" s="100"/>
      <c r="NZ9" s="100"/>
      <c r="OA9" s="100"/>
      <c r="OB9" s="100"/>
      <c r="OC9" s="100"/>
      <c r="OD9" s="100"/>
      <c r="OE9" s="100"/>
      <c r="OF9" s="100"/>
      <c r="OG9" s="100"/>
      <c r="OH9" s="100"/>
      <c r="OI9" s="100"/>
      <c r="OJ9" s="100"/>
      <c r="OK9" s="100"/>
      <c r="OL9" s="100"/>
      <c r="OM9" s="100"/>
      <c r="ON9" s="100"/>
      <c r="OO9" s="100"/>
      <c r="OP9" s="100"/>
      <c r="OQ9" s="100"/>
      <c r="OR9" s="100"/>
      <c r="OS9" s="100"/>
      <c r="OT9" s="100"/>
      <c r="OU9" s="100"/>
      <c r="OV9" s="100"/>
      <c r="OW9" s="100"/>
      <c r="OX9" s="100"/>
      <c r="OY9" s="100"/>
      <c r="OZ9" s="100"/>
      <c r="PA9" s="100"/>
      <c r="PB9" s="100"/>
      <c r="PC9" s="100"/>
      <c r="PD9" s="100"/>
      <c r="PE9" s="100"/>
      <c r="PF9" s="100"/>
      <c r="PG9" s="100"/>
      <c r="PH9" s="100"/>
      <c r="PI9" s="100"/>
      <c r="PJ9" s="100"/>
      <c r="PK9" s="100"/>
      <c r="PL9" s="100"/>
      <c r="PM9" s="100"/>
      <c r="PN9" s="100"/>
      <c r="PO9" s="100"/>
      <c r="PP9" s="100"/>
      <c r="PQ9" s="100"/>
      <c r="PR9" s="100"/>
      <c r="PS9" s="100"/>
      <c r="PT9" s="100"/>
      <c r="PU9" s="100"/>
      <c r="PV9" s="100"/>
      <c r="PW9" s="100"/>
      <c r="PX9" s="100"/>
      <c r="PY9" s="100"/>
      <c r="PZ9" s="100"/>
      <c r="QA9" s="100"/>
      <c r="QB9" s="100"/>
      <c r="QC9" s="100"/>
      <c r="QD9" s="100"/>
      <c r="QE9" s="100"/>
      <c r="QF9" s="100"/>
      <c r="QG9" s="100"/>
      <c r="QH9" s="100"/>
      <c r="QI9" s="100"/>
      <c r="QJ9" s="100"/>
      <c r="QK9" s="100"/>
      <c r="QL9" s="100"/>
      <c r="QM9" s="100"/>
      <c r="QN9" s="100"/>
      <c r="QO9" s="100"/>
      <c r="QP9" s="100"/>
      <c r="QQ9" s="100"/>
      <c r="QR9" s="100"/>
      <c r="QS9" s="100"/>
      <c r="QT9" s="100"/>
      <c r="QU9" s="100"/>
      <c r="QV9" s="100"/>
      <c r="QW9" s="100"/>
      <c r="QX9" s="100"/>
      <c r="QY9" s="100"/>
      <c r="QZ9" s="23">
        <f t="shared" si="0"/>
        <v>10</v>
      </c>
      <c r="RA9" s="47" t="s">
        <v>36</v>
      </c>
      <c r="RB9" s="97">
        <v>1280.04</v>
      </c>
      <c r="RC9" s="63">
        <f>RF9+RG9</f>
        <v>0</v>
      </c>
      <c r="RD9" s="63">
        <v>775.5</v>
      </c>
      <c r="RE9" s="97">
        <f t="shared" si="1"/>
        <v>1280.04</v>
      </c>
      <c r="RF9" s="107"/>
      <c r="RG9" s="107"/>
      <c r="RH9" s="83">
        <f t="shared" si="2"/>
        <v>1.6505996131528047</v>
      </c>
      <c r="RI9" s="116" t="s">
        <v>530</v>
      </c>
    </row>
    <row r="10" spans="1:477" s="5" customFormat="1" ht="12.75" customHeight="1" x14ac:dyDescent="0.2">
      <c r="A10" s="48">
        <v>44937</v>
      </c>
      <c r="B10" s="90" t="s">
        <v>55</v>
      </c>
      <c r="C10" s="98"/>
      <c r="D10" s="98"/>
      <c r="E10" s="99"/>
      <c r="F10" s="99"/>
      <c r="G10" s="99"/>
      <c r="H10" s="99"/>
      <c r="I10" s="99"/>
      <c r="J10" s="99"/>
      <c r="K10" s="99"/>
      <c r="L10" s="99"/>
      <c r="M10" s="99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  <c r="AU10" s="100"/>
      <c r="AV10" s="100"/>
      <c r="AW10" s="100"/>
      <c r="AX10" s="100"/>
      <c r="AY10" s="100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00"/>
      <c r="BQ10" s="100"/>
      <c r="BR10" s="100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K10" s="100"/>
      <c r="CL10" s="100"/>
      <c r="CM10" s="100"/>
      <c r="CN10" s="100"/>
      <c r="CO10" s="100"/>
      <c r="CP10" s="100"/>
      <c r="CQ10" s="100"/>
      <c r="CR10" s="100"/>
      <c r="CS10" s="100"/>
      <c r="CT10" s="100"/>
      <c r="CU10" s="100"/>
      <c r="CV10" s="100"/>
      <c r="CW10" s="100"/>
      <c r="CX10" s="100"/>
      <c r="CY10" s="100"/>
      <c r="CZ10" s="100"/>
      <c r="DA10" s="100"/>
      <c r="DB10" s="100"/>
      <c r="DC10" s="100"/>
      <c r="DD10" s="100"/>
      <c r="DE10" s="100"/>
      <c r="DF10" s="100"/>
      <c r="DG10" s="100"/>
      <c r="DH10" s="100"/>
      <c r="DI10" s="100"/>
      <c r="DJ10" s="100"/>
      <c r="DK10" s="100"/>
      <c r="DL10" s="100"/>
      <c r="DM10" s="100"/>
      <c r="DN10" s="100"/>
      <c r="DO10" s="100"/>
      <c r="DP10" s="100"/>
      <c r="DQ10" s="100"/>
      <c r="DR10" s="100"/>
      <c r="DS10" s="100"/>
      <c r="DT10" s="100"/>
      <c r="DU10" s="100"/>
      <c r="DV10" s="100"/>
      <c r="DW10" s="100"/>
      <c r="DX10" s="100"/>
      <c r="DY10" s="100"/>
      <c r="DZ10" s="100"/>
      <c r="EA10" s="100"/>
      <c r="EB10" s="100"/>
      <c r="EC10" s="100"/>
      <c r="ED10" s="100"/>
      <c r="EE10" s="100"/>
      <c r="EF10" s="100"/>
      <c r="EG10" s="100"/>
      <c r="EH10" s="100"/>
      <c r="EI10" s="100"/>
      <c r="EJ10" s="100"/>
      <c r="EK10" s="100"/>
      <c r="EL10" s="100"/>
      <c r="EM10" s="100"/>
      <c r="EN10" s="100"/>
      <c r="EO10" s="100"/>
      <c r="EP10" s="100">
        <v>50</v>
      </c>
      <c r="EQ10" s="100"/>
      <c r="ER10" s="100"/>
      <c r="ES10" s="100"/>
      <c r="ET10" s="100"/>
      <c r="EU10" s="100"/>
      <c r="EV10" s="100"/>
      <c r="EW10" s="100"/>
      <c r="EX10" s="100"/>
      <c r="EY10" s="100"/>
      <c r="EZ10" s="100"/>
      <c r="FA10" s="100"/>
      <c r="FB10" s="100"/>
      <c r="FC10" s="100"/>
      <c r="FD10" s="100"/>
      <c r="FE10" s="100"/>
      <c r="FF10" s="100"/>
      <c r="FG10" s="100"/>
      <c r="FH10" s="100"/>
      <c r="FI10" s="100"/>
      <c r="FJ10" s="100"/>
      <c r="FK10" s="100"/>
      <c r="FL10" s="100"/>
      <c r="FM10" s="100"/>
      <c r="FN10" s="100"/>
      <c r="FO10" s="100"/>
      <c r="FP10" s="100"/>
      <c r="FQ10" s="100"/>
      <c r="FR10" s="100"/>
      <c r="FS10" s="100"/>
      <c r="FT10" s="100"/>
      <c r="FU10" s="100"/>
      <c r="FV10" s="100"/>
      <c r="FW10" s="100"/>
      <c r="FX10" s="100"/>
      <c r="FY10" s="100"/>
      <c r="FZ10" s="100"/>
      <c r="GA10" s="100"/>
      <c r="GB10" s="100"/>
      <c r="GC10" s="100"/>
      <c r="GD10" s="100"/>
      <c r="GE10" s="100"/>
      <c r="GF10" s="100"/>
      <c r="GG10" s="100"/>
      <c r="GH10" s="100"/>
      <c r="GI10" s="100"/>
      <c r="GJ10" s="100"/>
      <c r="GK10" s="100"/>
      <c r="GL10" s="100"/>
      <c r="GM10" s="100"/>
      <c r="GN10" s="100"/>
      <c r="GO10" s="100"/>
      <c r="GP10" s="100"/>
      <c r="GQ10" s="100"/>
      <c r="GR10" s="100"/>
      <c r="GS10" s="100"/>
      <c r="GT10" s="100"/>
      <c r="GU10" s="100"/>
      <c r="GV10" s="100"/>
      <c r="GW10" s="100"/>
      <c r="GX10" s="100"/>
      <c r="GY10" s="100"/>
      <c r="GZ10" s="100"/>
      <c r="HA10" s="100"/>
      <c r="HB10" s="100"/>
      <c r="HC10" s="100"/>
      <c r="HD10" s="100"/>
      <c r="HE10" s="100"/>
      <c r="HF10" s="100"/>
      <c r="HG10" s="100"/>
      <c r="HH10" s="100"/>
      <c r="HI10" s="100"/>
      <c r="HJ10" s="100"/>
      <c r="HK10" s="100"/>
      <c r="HL10" s="100"/>
      <c r="HM10" s="100"/>
      <c r="HN10" s="100"/>
      <c r="HO10" s="100"/>
      <c r="HP10" s="100"/>
      <c r="HQ10" s="100"/>
      <c r="HR10" s="100"/>
      <c r="HS10" s="100"/>
      <c r="HT10" s="100"/>
      <c r="HU10" s="100"/>
      <c r="HV10" s="100"/>
      <c r="HW10" s="100"/>
      <c r="HX10" s="100"/>
      <c r="HY10" s="100"/>
      <c r="HZ10" s="100"/>
      <c r="IA10" s="100"/>
      <c r="IB10" s="100"/>
      <c r="IC10" s="100"/>
      <c r="ID10" s="100"/>
      <c r="IE10" s="100"/>
      <c r="IF10" s="100"/>
      <c r="IG10" s="100"/>
      <c r="IH10" s="100"/>
      <c r="II10" s="100"/>
      <c r="IJ10" s="100"/>
      <c r="IK10" s="100"/>
      <c r="IL10" s="100"/>
      <c r="IM10" s="100"/>
      <c r="IN10" s="100"/>
      <c r="IO10" s="100"/>
      <c r="IP10" s="100"/>
      <c r="IQ10" s="100"/>
      <c r="IR10" s="100"/>
      <c r="IS10" s="100"/>
      <c r="IT10" s="100"/>
      <c r="IU10" s="100"/>
      <c r="IV10" s="100"/>
      <c r="IW10" s="100"/>
      <c r="IX10" s="100"/>
      <c r="IY10" s="100"/>
      <c r="IZ10" s="100"/>
      <c r="JA10" s="100"/>
      <c r="JB10" s="100"/>
      <c r="JC10" s="100"/>
      <c r="JD10" s="100"/>
      <c r="JE10" s="100"/>
      <c r="JF10" s="100"/>
      <c r="JG10" s="100"/>
      <c r="JH10" s="100"/>
      <c r="JI10" s="100"/>
      <c r="JJ10" s="100"/>
      <c r="JK10" s="100"/>
      <c r="JL10" s="100"/>
      <c r="JM10" s="100"/>
      <c r="JN10" s="100"/>
      <c r="JO10" s="100"/>
      <c r="JP10" s="100"/>
      <c r="JQ10" s="100"/>
      <c r="JR10" s="100"/>
      <c r="JS10" s="100"/>
      <c r="JT10" s="100"/>
      <c r="JU10" s="100"/>
      <c r="JV10" s="100"/>
      <c r="JW10" s="100"/>
      <c r="JX10" s="100"/>
      <c r="JY10" s="100"/>
      <c r="JZ10" s="100"/>
      <c r="KA10" s="100"/>
      <c r="KB10" s="100"/>
      <c r="KC10" s="100"/>
      <c r="KD10" s="100"/>
      <c r="KE10" s="100"/>
      <c r="KF10" s="100"/>
      <c r="KG10" s="100"/>
      <c r="KH10" s="100"/>
      <c r="KI10" s="100"/>
      <c r="KJ10" s="100"/>
      <c r="KK10" s="100"/>
      <c r="KL10" s="100"/>
      <c r="KM10" s="100"/>
      <c r="KN10" s="100"/>
      <c r="KO10" s="100"/>
      <c r="KP10" s="100"/>
      <c r="KQ10" s="100"/>
      <c r="KR10" s="100"/>
      <c r="KS10" s="100"/>
      <c r="KT10" s="100"/>
      <c r="KU10" s="100"/>
      <c r="KV10" s="100"/>
      <c r="KW10" s="100"/>
      <c r="KX10" s="100"/>
      <c r="KY10" s="100"/>
      <c r="KZ10" s="100"/>
      <c r="LA10" s="100"/>
      <c r="LB10" s="100"/>
      <c r="LC10" s="100"/>
      <c r="LD10" s="100"/>
      <c r="LE10" s="100"/>
      <c r="LF10" s="100"/>
      <c r="LG10" s="100"/>
      <c r="LH10" s="100"/>
      <c r="LI10" s="100"/>
      <c r="LJ10" s="100"/>
      <c r="LK10" s="100"/>
      <c r="LL10" s="100"/>
      <c r="LM10" s="100"/>
      <c r="LN10" s="100"/>
      <c r="LO10" s="100"/>
      <c r="LP10" s="100"/>
      <c r="LQ10" s="100"/>
      <c r="LR10" s="100"/>
      <c r="LS10" s="100"/>
      <c r="LT10" s="100"/>
      <c r="LU10" s="100"/>
      <c r="LV10" s="100"/>
      <c r="LW10" s="100"/>
      <c r="LX10" s="100"/>
      <c r="LY10" s="100"/>
      <c r="LZ10" s="100"/>
      <c r="MA10" s="100"/>
      <c r="MB10" s="100"/>
      <c r="MC10" s="100"/>
      <c r="MD10" s="100"/>
      <c r="ME10" s="100"/>
      <c r="MF10" s="100"/>
      <c r="MG10" s="100"/>
      <c r="MH10" s="100"/>
      <c r="MI10" s="100"/>
      <c r="MJ10" s="100"/>
      <c r="MK10" s="100"/>
      <c r="ML10" s="100"/>
      <c r="MM10" s="100"/>
      <c r="MN10" s="100"/>
      <c r="MO10" s="100"/>
      <c r="MP10" s="100"/>
      <c r="MQ10" s="100"/>
      <c r="MR10" s="100"/>
      <c r="MS10" s="100"/>
      <c r="MT10" s="100"/>
      <c r="MU10" s="100"/>
      <c r="MV10" s="100"/>
      <c r="MW10" s="100"/>
      <c r="MX10" s="100"/>
      <c r="MY10" s="100"/>
      <c r="MZ10" s="100"/>
      <c r="NA10" s="100"/>
      <c r="NB10" s="100"/>
      <c r="NC10" s="100"/>
      <c r="ND10" s="100"/>
      <c r="NE10" s="100"/>
      <c r="NF10" s="100"/>
      <c r="NG10" s="100"/>
      <c r="NH10" s="100"/>
      <c r="NI10" s="100"/>
      <c r="NJ10" s="100"/>
      <c r="NK10" s="100"/>
      <c r="NL10" s="100"/>
      <c r="NM10" s="100"/>
      <c r="NN10" s="100"/>
      <c r="NO10" s="100"/>
      <c r="NP10" s="100"/>
      <c r="NQ10" s="100"/>
      <c r="NR10" s="100"/>
      <c r="NS10" s="100"/>
      <c r="NT10" s="100"/>
      <c r="NU10" s="100"/>
      <c r="NV10" s="100"/>
      <c r="NW10" s="100"/>
      <c r="NX10" s="100"/>
      <c r="NY10" s="100"/>
      <c r="NZ10" s="100"/>
      <c r="OA10" s="100"/>
      <c r="OB10" s="100"/>
      <c r="OC10" s="100"/>
      <c r="OD10" s="100"/>
      <c r="OE10" s="100"/>
      <c r="OF10" s="100"/>
      <c r="OG10" s="100"/>
      <c r="OH10" s="100"/>
      <c r="OI10" s="100"/>
      <c r="OJ10" s="100"/>
      <c r="OK10" s="100"/>
      <c r="OL10" s="100"/>
      <c r="OM10" s="100"/>
      <c r="ON10" s="100"/>
      <c r="OO10" s="100"/>
      <c r="OP10" s="100"/>
      <c r="OQ10" s="100"/>
      <c r="OR10" s="100"/>
      <c r="OS10" s="100"/>
      <c r="OT10" s="100"/>
      <c r="OU10" s="100"/>
      <c r="OV10" s="100"/>
      <c r="OW10" s="100"/>
      <c r="OX10" s="100"/>
      <c r="OY10" s="100"/>
      <c r="OZ10" s="100"/>
      <c r="PA10" s="100"/>
      <c r="PB10" s="100"/>
      <c r="PC10" s="100"/>
      <c r="PD10" s="100"/>
      <c r="PE10" s="100"/>
      <c r="PF10" s="100"/>
      <c r="PG10" s="100"/>
      <c r="PH10" s="100"/>
      <c r="PI10" s="100"/>
      <c r="PJ10" s="100"/>
      <c r="PK10" s="100"/>
      <c r="PL10" s="100"/>
      <c r="PM10" s="100"/>
      <c r="PN10" s="100"/>
      <c r="PO10" s="100"/>
      <c r="PP10" s="100"/>
      <c r="PQ10" s="100"/>
      <c r="PR10" s="100"/>
      <c r="PS10" s="100"/>
      <c r="PT10" s="100"/>
      <c r="PU10" s="100"/>
      <c r="PV10" s="100"/>
      <c r="PW10" s="100"/>
      <c r="PX10" s="100"/>
      <c r="PY10" s="100"/>
      <c r="PZ10" s="100"/>
      <c r="QA10" s="100"/>
      <c r="QB10" s="100"/>
      <c r="QC10" s="100"/>
      <c r="QD10" s="100"/>
      <c r="QE10" s="100"/>
      <c r="QF10" s="100"/>
      <c r="QG10" s="100"/>
      <c r="QH10" s="100"/>
      <c r="QI10" s="100"/>
      <c r="QJ10" s="100"/>
      <c r="QK10" s="100"/>
      <c r="QL10" s="100"/>
      <c r="QM10" s="100"/>
      <c r="QN10" s="100"/>
      <c r="QO10" s="100"/>
      <c r="QP10" s="100"/>
      <c r="QQ10" s="100"/>
      <c r="QR10" s="100"/>
      <c r="QS10" s="100"/>
      <c r="QT10" s="100"/>
      <c r="QU10" s="100"/>
      <c r="QV10" s="100"/>
      <c r="QW10" s="100"/>
      <c r="QX10" s="100"/>
      <c r="QY10" s="100"/>
      <c r="QZ10" s="23">
        <f t="shared" si="0"/>
        <v>50</v>
      </c>
      <c r="RA10" s="47" t="s">
        <v>36</v>
      </c>
      <c r="RB10" s="97">
        <v>4431.6000000000004</v>
      </c>
      <c r="RC10" s="63">
        <f>RF10+RG10</f>
        <v>0</v>
      </c>
      <c r="RD10" s="63">
        <v>2179</v>
      </c>
      <c r="RE10" s="97">
        <f t="shared" si="1"/>
        <v>4431.6000000000004</v>
      </c>
      <c r="RF10" s="107"/>
      <c r="RG10" s="107"/>
      <c r="RH10" s="83">
        <f t="shared" si="2"/>
        <v>2.0337769619091328</v>
      </c>
      <c r="RI10" s="116" t="s">
        <v>531</v>
      </c>
    </row>
    <row r="11" spans="1:477" s="5" customFormat="1" ht="12.75" customHeight="1" x14ac:dyDescent="0.2">
      <c r="A11" s="48">
        <v>44938</v>
      </c>
      <c r="B11" s="90" t="s">
        <v>397</v>
      </c>
      <c r="C11" s="98"/>
      <c r="D11" s="98"/>
      <c r="E11" s="99"/>
      <c r="F11" s="99"/>
      <c r="G11" s="99"/>
      <c r="H11" s="99"/>
      <c r="I11" s="99"/>
      <c r="J11" s="99"/>
      <c r="K11" s="99"/>
      <c r="L11" s="99"/>
      <c r="M11" s="99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00"/>
      <c r="BQ11" s="100"/>
      <c r="BR11" s="100"/>
      <c r="BS11" s="100"/>
      <c r="BT11" s="100"/>
      <c r="BU11" s="100"/>
      <c r="BV11" s="100"/>
      <c r="BW11" s="100"/>
      <c r="BX11" s="100"/>
      <c r="BY11" s="100"/>
      <c r="BZ11" s="100"/>
      <c r="CA11" s="100"/>
      <c r="CB11" s="100"/>
      <c r="CC11" s="100"/>
      <c r="CD11" s="100"/>
      <c r="CE11" s="100"/>
      <c r="CF11" s="100"/>
      <c r="CG11" s="100"/>
      <c r="CH11" s="100"/>
      <c r="CI11" s="100"/>
      <c r="CJ11" s="100"/>
      <c r="CK11" s="100"/>
      <c r="CL11" s="100"/>
      <c r="CM11" s="100"/>
      <c r="CN11" s="100"/>
      <c r="CO11" s="100"/>
      <c r="CP11" s="100"/>
      <c r="CQ11" s="100"/>
      <c r="CR11" s="100"/>
      <c r="CS11" s="100"/>
      <c r="CT11" s="100"/>
      <c r="CU11" s="100"/>
      <c r="CV11" s="100"/>
      <c r="CW11" s="100"/>
      <c r="CX11" s="100"/>
      <c r="CY11" s="100"/>
      <c r="CZ11" s="100"/>
      <c r="DA11" s="100"/>
      <c r="DB11" s="100"/>
      <c r="DC11" s="100"/>
      <c r="DD11" s="100"/>
      <c r="DE11" s="100"/>
      <c r="DF11" s="100"/>
      <c r="DG11" s="100"/>
      <c r="DH11" s="100"/>
      <c r="DI11" s="100"/>
      <c r="DJ11" s="100"/>
      <c r="DK11" s="100"/>
      <c r="DL11" s="100"/>
      <c r="DM11" s="100"/>
      <c r="DN11" s="100"/>
      <c r="DO11" s="100"/>
      <c r="DP11" s="100"/>
      <c r="DQ11" s="100"/>
      <c r="DR11" s="100"/>
      <c r="DS11" s="100"/>
      <c r="DT11" s="100"/>
      <c r="DU11" s="100"/>
      <c r="DV11" s="100"/>
      <c r="DW11" s="100"/>
      <c r="DX11" s="100"/>
      <c r="DY11" s="100"/>
      <c r="DZ11" s="100"/>
      <c r="EA11" s="100"/>
      <c r="EB11" s="100"/>
      <c r="EC11" s="100"/>
      <c r="ED11" s="100"/>
      <c r="EE11" s="100"/>
      <c r="EF11" s="100"/>
      <c r="EG11" s="100"/>
      <c r="EH11" s="100"/>
      <c r="EI11" s="100"/>
      <c r="EJ11" s="100"/>
      <c r="EK11" s="100"/>
      <c r="EL11" s="100"/>
      <c r="EM11" s="100"/>
      <c r="EN11" s="100"/>
      <c r="EO11" s="100"/>
      <c r="EP11" s="100"/>
      <c r="EQ11" s="100"/>
      <c r="ER11" s="100"/>
      <c r="ES11" s="100"/>
      <c r="ET11" s="100"/>
      <c r="EU11" s="100"/>
      <c r="EV11" s="100"/>
      <c r="EW11" s="100"/>
      <c r="EX11" s="100"/>
      <c r="EY11" s="100"/>
      <c r="EZ11" s="100"/>
      <c r="FA11" s="100"/>
      <c r="FB11" s="100"/>
      <c r="FC11" s="100"/>
      <c r="FD11" s="100"/>
      <c r="FE11" s="100"/>
      <c r="FF11" s="100"/>
      <c r="FG11" s="100"/>
      <c r="FH11" s="100"/>
      <c r="FI11" s="100"/>
      <c r="FJ11" s="100"/>
      <c r="FK11" s="100"/>
      <c r="FL11" s="100"/>
      <c r="FM11" s="100"/>
      <c r="FN11" s="100"/>
      <c r="FO11" s="100"/>
      <c r="FP11" s="100"/>
      <c r="FQ11" s="100"/>
      <c r="FR11" s="100"/>
      <c r="FS11" s="100"/>
      <c r="FT11" s="100"/>
      <c r="FU11" s="100"/>
      <c r="FV11" s="100"/>
      <c r="FW11" s="100"/>
      <c r="FX11" s="100"/>
      <c r="FY11" s="100"/>
      <c r="FZ11" s="100"/>
      <c r="GA11" s="100"/>
      <c r="GB11" s="100"/>
      <c r="GC11" s="100"/>
      <c r="GD11" s="100"/>
      <c r="GE11" s="100"/>
      <c r="GF11" s="100"/>
      <c r="GG11" s="100"/>
      <c r="GH11" s="100"/>
      <c r="GI11" s="100"/>
      <c r="GJ11" s="100"/>
      <c r="GK11" s="100"/>
      <c r="GL11" s="100"/>
      <c r="GM11" s="100"/>
      <c r="GN11" s="100"/>
      <c r="GO11" s="100"/>
      <c r="GP11" s="100"/>
      <c r="GQ11" s="100"/>
      <c r="GR11" s="100"/>
      <c r="GS11" s="100"/>
      <c r="GT11" s="100"/>
      <c r="GU11" s="100"/>
      <c r="GV11" s="100"/>
      <c r="GW11" s="100"/>
      <c r="GX11" s="100"/>
      <c r="GY11" s="100"/>
      <c r="GZ11" s="100"/>
      <c r="HA11" s="100"/>
      <c r="HB11" s="100"/>
      <c r="HC11" s="100"/>
      <c r="HD11" s="100"/>
      <c r="HE11" s="100"/>
      <c r="HF11" s="100"/>
      <c r="HG11" s="100"/>
      <c r="HH11" s="100"/>
      <c r="HI11" s="100"/>
      <c r="HJ11" s="100"/>
      <c r="HK11" s="100"/>
      <c r="HL11" s="100"/>
      <c r="HM11" s="100"/>
      <c r="HN11" s="100"/>
      <c r="HO11" s="100"/>
      <c r="HP11" s="100"/>
      <c r="HQ11" s="100"/>
      <c r="HR11" s="100"/>
      <c r="HS11" s="100"/>
      <c r="HT11" s="100"/>
      <c r="HU11" s="100"/>
      <c r="HV11" s="100"/>
      <c r="HW11" s="100"/>
      <c r="HX11" s="100"/>
      <c r="HY11" s="100"/>
      <c r="HZ11" s="100"/>
      <c r="IA11" s="100"/>
      <c r="IB11" s="100"/>
      <c r="IC11" s="100"/>
      <c r="ID11" s="100"/>
      <c r="IE11" s="100"/>
      <c r="IF11" s="100"/>
      <c r="IG11" s="100"/>
      <c r="IH11" s="100"/>
      <c r="II11" s="100"/>
      <c r="IJ11" s="100"/>
      <c r="IK11" s="100"/>
      <c r="IL11" s="100"/>
      <c r="IM11" s="100"/>
      <c r="IN11" s="100"/>
      <c r="IO11" s="100"/>
      <c r="IP11" s="100"/>
      <c r="IQ11" s="100"/>
      <c r="IR11" s="100"/>
      <c r="IS11" s="100"/>
      <c r="IT11" s="100"/>
      <c r="IU11" s="100"/>
      <c r="IV11" s="100"/>
      <c r="IW11" s="100"/>
      <c r="IX11" s="100"/>
      <c r="IY11" s="100"/>
      <c r="IZ11" s="100"/>
      <c r="JA11" s="100"/>
      <c r="JB11" s="100"/>
      <c r="JC11" s="100"/>
      <c r="JD11" s="100"/>
      <c r="JE11" s="100"/>
      <c r="JF11" s="100"/>
      <c r="JG11" s="100"/>
      <c r="JH11" s="100"/>
      <c r="JI11" s="100"/>
      <c r="JJ11" s="100"/>
      <c r="JK11" s="100"/>
      <c r="JL11" s="100"/>
      <c r="JM11" s="100"/>
      <c r="JN11" s="100"/>
      <c r="JO11" s="100"/>
      <c r="JP11" s="100"/>
      <c r="JQ11" s="100"/>
      <c r="JR11" s="100"/>
      <c r="JS11" s="100"/>
      <c r="JT11" s="100"/>
      <c r="JU11" s="100"/>
      <c r="JV11" s="100"/>
      <c r="JW11" s="100"/>
      <c r="JX11" s="100"/>
      <c r="JY11" s="100"/>
      <c r="JZ11" s="100"/>
      <c r="KA11" s="100"/>
      <c r="KB11" s="100"/>
      <c r="KC11" s="100"/>
      <c r="KD11" s="100"/>
      <c r="KE11" s="100"/>
      <c r="KF11" s="100"/>
      <c r="KG11" s="100"/>
      <c r="KH11" s="100"/>
      <c r="KI11" s="100"/>
      <c r="KJ11" s="100"/>
      <c r="KK11" s="100"/>
      <c r="KL11" s="100"/>
      <c r="KM11" s="100"/>
      <c r="KN11" s="100"/>
      <c r="KO11" s="100"/>
      <c r="KP11" s="100"/>
      <c r="KQ11" s="100"/>
      <c r="KR11" s="100"/>
      <c r="KS11" s="100"/>
      <c r="KT11" s="100"/>
      <c r="KU11" s="100"/>
      <c r="KV11" s="100"/>
      <c r="KW11" s="100"/>
      <c r="KX11" s="100"/>
      <c r="KY11" s="100"/>
      <c r="KZ11" s="100"/>
      <c r="LA11" s="100"/>
      <c r="LB11" s="100"/>
      <c r="LC11" s="100"/>
      <c r="LD11" s="100"/>
      <c r="LE11" s="100"/>
      <c r="LF11" s="100"/>
      <c r="LG11" s="100"/>
      <c r="LH11" s="100"/>
      <c r="LI11" s="100"/>
      <c r="LJ11" s="100"/>
      <c r="LK11" s="100"/>
      <c r="LL11" s="100"/>
      <c r="LM11" s="100"/>
      <c r="LN11" s="100"/>
      <c r="LO11" s="100"/>
      <c r="LP11" s="100"/>
      <c r="LQ11" s="100"/>
      <c r="LR11" s="100"/>
      <c r="LS11" s="100"/>
      <c r="LT11" s="100"/>
      <c r="LU11" s="100"/>
      <c r="LV11" s="100"/>
      <c r="LW11" s="100"/>
      <c r="LX11" s="100"/>
      <c r="LY11" s="100"/>
      <c r="LZ11" s="100"/>
      <c r="MA11" s="100"/>
      <c r="MB11" s="100"/>
      <c r="MC11" s="100"/>
      <c r="MD11" s="100"/>
      <c r="ME11" s="100"/>
      <c r="MF11" s="100"/>
      <c r="MG11" s="100"/>
      <c r="MH11" s="100"/>
      <c r="MI11" s="100"/>
      <c r="MJ11" s="100"/>
      <c r="MK11" s="100"/>
      <c r="ML11" s="100"/>
      <c r="MM11" s="100"/>
      <c r="MN11" s="100"/>
      <c r="MO11" s="100"/>
      <c r="MP11" s="100"/>
      <c r="MQ11" s="100"/>
      <c r="MR11" s="100"/>
      <c r="MS11" s="100"/>
      <c r="MT11" s="100"/>
      <c r="MU11" s="100"/>
      <c r="MV11" s="100"/>
      <c r="MW11" s="100"/>
      <c r="MX11" s="100"/>
      <c r="MY11" s="100"/>
      <c r="MZ11" s="100"/>
      <c r="NA11" s="100"/>
      <c r="NB11" s="100"/>
      <c r="NC11" s="100"/>
      <c r="ND11" s="100"/>
      <c r="NE11" s="100"/>
      <c r="NF11" s="100"/>
      <c r="NG11" s="100"/>
      <c r="NH11" s="100"/>
      <c r="NI11" s="100"/>
      <c r="NJ11" s="100"/>
      <c r="NK11" s="100"/>
      <c r="NL11" s="100"/>
      <c r="NM11" s="100"/>
      <c r="NN11" s="100"/>
      <c r="NO11" s="100"/>
      <c r="NP11" s="100"/>
      <c r="NQ11" s="100"/>
      <c r="NR11" s="100"/>
      <c r="NS11" s="100"/>
      <c r="NT11" s="100"/>
      <c r="NU11" s="100"/>
      <c r="NV11" s="100"/>
      <c r="NW11" s="100">
        <v>3</v>
      </c>
      <c r="NX11" s="100"/>
      <c r="NY11" s="100"/>
      <c r="NZ11" s="100"/>
      <c r="OA11" s="100"/>
      <c r="OB11" s="100"/>
      <c r="OC11" s="100"/>
      <c r="OD11" s="100"/>
      <c r="OE11" s="100"/>
      <c r="OF11" s="100"/>
      <c r="OG11" s="100"/>
      <c r="OH11" s="100"/>
      <c r="OI11" s="100"/>
      <c r="OJ11" s="100"/>
      <c r="OK11" s="100"/>
      <c r="OL11" s="100"/>
      <c r="OM11" s="100"/>
      <c r="ON11" s="100"/>
      <c r="OO11" s="100"/>
      <c r="OP11" s="100"/>
      <c r="OQ11" s="100"/>
      <c r="OR11" s="100"/>
      <c r="OS11" s="100"/>
      <c r="OT11" s="100"/>
      <c r="OU11" s="100"/>
      <c r="OV11" s="100"/>
      <c r="OW11" s="100"/>
      <c r="OX11" s="100"/>
      <c r="OY11" s="100"/>
      <c r="OZ11" s="100"/>
      <c r="PA11" s="100"/>
      <c r="PB11" s="100"/>
      <c r="PC11" s="100"/>
      <c r="PD11" s="100"/>
      <c r="PE11" s="100"/>
      <c r="PF11" s="100"/>
      <c r="PG11" s="100"/>
      <c r="PH11" s="100"/>
      <c r="PI11" s="100"/>
      <c r="PJ11" s="100"/>
      <c r="PK11" s="100"/>
      <c r="PL11" s="100"/>
      <c r="PM11" s="100"/>
      <c r="PN11" s="100"/>
      <c r="PO11" s="100"/>
      <c r="PP11" s="100"/>
      <c r="PQ11" s="100"/>
      <c r="PR11" s="100"/>
      <c r="PS11" s="100"/>
      <c r="PT11" s="100"/>
      <c r="PU11" s="100"/>
      <c r="PV11" s="100"/>
      <c r="PW11" s="100"/>
      <c r="PX11" s="100"/>
      <c r="PY11" s="100"/>
      <c r="PZ11" s="100"/>
      <c r="QA11" s="100"/>
      <c r="QB11" s="100"/>
      <c r="QC11" s="100"/>
      <c r="QD11" s="100"/>
      <c r="QE11" s="100"/>
      <c r="QF11" s="100"/>
      <c r="QG11" s="100"/>
      <c r="QH11" s="100"/>
      <c r="QI11" s="100"/>
      <c r="QJ11" s="100"/>
      <c r="QK11" s="100"/>
      <c r="QL11" s="100"/>
      <c r="QM11" s="100"/>
      <c r="QN11" s="100"/>
      <c r="QO11" s="100"/>
      <c r="QP11" s="100"/>
      <c r="QQ11" s="100"/>
      <c r="QR11" s="100"/>
      <c r="QS11" s="100"/>
      <c r="QT11" s="100"/>
      <c r="QU11" s="100"/>
      <c r="QV11" s="100"/>
      <c r="QW11" s="100"/>
      <c r="QX11" s="100"/>
      <c r="QY11" s="100"/>
      <c r="QZ11" s="23">
        <f t="shared" si="0"/>
        <v>3</v>
      </c>
      <c r="RA11" s="47" t="s">
        <v>69</v>
      </c>
      <c r="RB11" s="97">
        <v>332.64</v>
      </c>
      <c r="RC11" s="63">
        <f>RF11</f>
        <v>332.64</v>
      </c>
      <c r="RD11" s="63">
        <v>217.85</v>
      </c>
      <c r="RE11" s="97">
        <f t="shared" si="1"/>
        <v>0</v>
      </c>
      <c r="RF11" s="107">
        <v>332.64</v>
      </c>
      <c r="RG11" s="107"/>
      <c r="RH11" s="83">
        <f t="shared" si="2"/>
        <v>1.5269221941703006</v>
      </c>
      <c r="RI11" s="116" t="s">
        <v>522</v>
      </c>
    </row>
    <row r="12" spans="1:477" s="5" customFormat="1" ht="12.75" customHeight="1" x14ac:dyDescent="0.2">
      <c r="A12" s="48">
        <v>44939</v>
      </c>
      <c r="B12" s="81" t="s">
        <v>496</v>
      </c>
      <c r="C12" s="98"/>
      <c r="D12" s="98"/>
      <c r="E12" s="99"/>
      <c r="F12" s="99"/>
      <c r="G12" s="99"/>
      <c r="H12" s="99"/>
      <c r="I12" s="99"/>
      <c r="J12" s="99"/>
      <c r="K12" s="99"/>
      <c r="L12" s="99"/>
      <c r="M12" s="99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00"/>
      <c r="BQ12" s="100"/>
      <c r="BR12" s="100"/>
      <c r="BS12" s="100"/>
      <c r="BT12" s="100"/>
      <c r="BU12" s="100"/>
      <c r="BV12" s="100"/>
      <c r="BW12" s="100"/>
      <c r="BX12" s="100"/>
      <c r="BY12" s="100"/>
      <c r="BZ12" s="100"/>
      <c r="CA12" s="100"/>
      <c r="CB12" s="100"/>
      <c r="CC12" s="100"/>
      <c r="CD12" s="100"/>
      <c r="CE12" s="100"/>
      <c r="CF12" s="100"/>
      <c r="CG12" s="100"/>
      <c r="CH12" s="100"/>
      <c r="CI12" s="100"/>
      <c r="CJ12" s="100"/>
      <c r="CK12" s="100"/>
      <c r="CL12" s="100"/>
      <c r="CM12" s="100"/>
      <c r="CN12" s="100"/>
      <c r="CO12" s="100"/>
      <c r="CP12" s="100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  <c r="DB12" s="100"/>
      <c r="DC12" s="100"/>
      <c r="DD12" s="100"/>
      <c r="DE12" s="100"/>
      <c r="DF12" s="100"/>
      <c r="DG12" s="100"/>
      <c r="DH12" s="100"/>
      <c r="DI12" s="100"/>
      <c r="DJ12" s="100"/>
      <c r="DK12" s="100"/>
      <c r="DL12" s="100"/>
      <c r="DM12" s="100"/>
      <c r="DN12" s="100"/>
      <c r="DO12" s="100"/>
      <c r="DP12" s="100"/>
      <c r="DQ12" s="100"/>
      <c r="DR12" s="100"/>
      <c r="DS12" s="100"/>
      <c r="DT12" s="100"/>
      <c r="DU12" s="100"/>
      <c r="DV12" s="100"/>
      <c r="DW12" s="100"/>
      <c r="DX12" s="100"/>
      <c r="DY12" s="100"/>
      <c r="DZ12" s="100"/>
      <c r="EA12" s="100"/>
      <c r="EB12" s="100"/>
      <c r="EC12" s="100"/>
      <c r="ED12" s="100"/>
      <c r="EE12" s="100"/>
      <c r="EF12" s="100"/>
      <c r="EG12" s="100"/>
      <c r="EH12" s="100"/>
      <c r="EI12" s="100"/>
      <c r="EJ12" s="100"/>
      <c r="EK12" s="100"/>
      <c r="EL12" s="100"/>
      <c r="EM12" s="100"/>
      <c r="EN12" s="100"/>
      <c r="EO12" s="100"/>
      <c r="EP12" s="100"/>
      <c r="EQ12" s="100"/>
      <c r="ER12" s="100"/>
      <c r="ES12" s="100"/>
      <c r="ET12" s="100"/>
      <c r="EU12" s="100"/>
      <c r="EV12" s="100"/>
      <c r="EW12" s="100"/>
      <c r="EX12" s="100"/>
      <c r="EY12" s="100"/>
      <c r="EZ12" s="100"/>
      <c r="FA12" s="100"/>
      <c r="FB12" s="100"/>
      <c r="FC12" s="100"/>
      <c r="FD12" s="100"/>
      <c r="FE12" s="100"/>
      <c r="FF12" s="100"/>
      <c r="FG12" s="100"/>
      <c r="FH12" s="100"/>
      <c r="FI12" s="100"/>
      <c r="FJ12" s="100"/>
      <c r="FK12" s="100"/>
      <c r="FL12" s="100"/>
      <c r="FM12" s="100"/>
      <c r="FN12" s="100"/>
      <c r="FO12" s="100"/>
      <c r="FP12" s="100"/>
      <c r="FQ12" s="100"/>
      <c r="FR12" s="100"/>
      <c r="FS12" s="100"/>
      <c r="FT12" s="100"/>
      <c r="FU12" s="100"/>
      <c r="FV12" s="100"/>
      <c r="FW12" s="100"/>
      <c r="FX12" s="100"/>
      <c r="FY12" s="100"/>
      <c r="FZ12" s="100"/>
      <c r="GA12" s="100"/>
      <c r="GB12" s="100"/>
      <c r="GC12" s="100"/>
      <c r="GD12" s="100">
        <v>1</v>
      </c>
      <c r="GE12" s="100"/>
      <c r="GF12" s="100"/>
      <c r="GG12" s="100"/>
      <c r="GH12" s="100"/>
      <c r="GI12" s="100">
        <v>2</v>
      </c>
      <c r="GJ12" s="100"/>
      <c r="GK12" s="100"/>
      <c r="GL12" s="100"/>
      <c r="GM12" s="100"/>
      <c r="GN12" s="100"/>
      <c r="GO12" s="100"/>
      <c r="GP12" s="100"/>
      <c r="GQ12" s="100"/>
      <c r="GR12" s="100"/>
      <c r="GS12" s="100"/>
      <c r="GT12" s="100"/>
      <c r="GU12" s="100"/>
      <c r="GV12" s="100"/>
      <c r="GW12" s="100"/>
      <c r="GX12" s="100"/>
      <c r="GY12" s="100"/>
      <c r="GZ12" s="100"/>
      <c r="HA12" s="100"/>
      <c r="HB12" s="100"/>
      <c r="HC12" s="100"/>
      <c r="HD12" s="100"/>
      <c r="HE12" s="100"/>
      <c r="HF12" s="100"/>
      <c r="HG12" s="100"/>
      <c r="HH12" s="100"/>
      <c r="HI12" s="100"/>
      <c r="HJ12" s="100"/>
      <c r="HK12" s="100"/>
      <c r="HL12" s="100"/>
      <c r="HM12" s="100"/>
      <c r="HN12" s="100"/>
      <c r="HO12" s="100"/>
      <c r="HP12" s="100"/>
      <c r="HQ12" s="100"/>
      <c r="HR12" s="100"/>
      <c r="HS12" s="100"/>
      <c r="HT12" s="100"/>
      <c r="HU12" s="100"/>
      <c r="HV12" s="100"/>
      <c r="HW12" s="100"/>
      <c r="HX12" s="100"/>
      <c r="HY12" s="100"/>
      <c r="HZ12" s="100"/>
      <c r="IA12" s="100"/>
      <c r="IB12" s="100"/>
      <c r="IC12" s="100"/>
      <c r="ID12" s="100"/>
      <c r="IE12" s="100"/>
      <c r="IF12" s="100"/>
      <c r="IG12" s="100"/>
      <c r="IH12" s="100"/>
      <c r="II12" s="100"/>
      <c r="IJ12" s="100"/>
      <c r="IK12" s="100"/>
      <c r="IL12" s="100"/>
      <c r="IM12" s="100"/>
      <c r="IN12" s="100"/>
      <c r="IO12" s="100"/>
      <c r="IP12" s="100"/>
      <c r="IQ12" s="100"/>
      <c r="IR12" s="100"/>
      <c r="IS12" s="100"/>
      <c r="IT12" s="100"/>
      <c r="IU12" s="100"/>
      <c r="IV12" s="100"/>
      <c r="IW12" s="100"/>
      <c r="IX12" s="100"/>
      <c r="IY12" s="100"/>
      <c r="IZ12" s="100"/>
      <c r="JA12" s="100"/>
      <c r="JB12" s="100"/>
      <c r="JC12" s="100"/>
      <c r="JD12" s="100"/>
      <c r="JE12" s="100"/>
      <c r="JF12" s="100"/>
      <c r="JG12" s="100"/>
      <c r="JH12" s="100"/>
      <c r="JI12" s="100"/>
      <c r="JJ12" s="100"/>
      <c r="JK12" s="100"/>
      <c r="JL12" s="100"/>
      <c r="JM12" s="100"/>
      <c r="JN12" s="100"/>
      <c r="JO12" s="100"/>
      <c r="JP12" s="100"/>
      <c r="JQ12" s="100"/>
      <c r="JR12" s="100"/>
      <c r="JS12" s="100"/>
      <c r="JT12" s="100"/>
      <c r="JU12" s="100"/>
      <c r="JV12" s="100"/>
      <c r="JW12" s="100"/>
      <c r="JX12" s="100"/>
      <c r="JY12" s="100"/>
      <c r="JZ12" s="100"/>
      <c r="KA12" s="100"/>
      <c r="KB12" s="100"/>
      <c r="KC12" s="100"/>
      <c r="KD12" s="100"/>
      <c r="KE12" s="100"/>
      <c r="KF12" s="100"/>
      <c r="KG12" s="100"/>
      <c r="KH12" s="100"/>
      <c r="KI12" s="100"/>
      <c r="KJ12" s="100"/>
      <c r="KK12" s="100"/>
      <c r="KL12" s="100"/>
      <c r="KM12" s="100"/>
      <c r="KN12" s="100"/>
      <c r="KO12" s="100"/>
      <c r="KP12" s="100"/>
      <c r="KQ12" s="100"/>
      <c r="KR12" s="100"/>
      <c r="KS12" s="100"/>
      <c r="KT12" s="100"/>
      <c r="KU12" s="100"/>
      <c r="KV12" s="100"/>
      <c r="KW12" s="100"/>
      <c r="KX12" s="100"/>
      <c r="KY12" s="100"/>
      <c r="KZ12" s="100"/>
      <c r="LA12" s="100"/>
      <c r="LB12" s="100"/>
      <c r="LC12" s="100"/>
      <c r="LD12" s="100"/>
      <c r="LE12" s="100"/>
      <c r="LF12" s="100"/>
      <c r="LG12" s="100"/>
      <c r="LH12" s="100"/>
      <c r="LI12" s="100"/>
      <c r="LJ12" s="100"/>
      <c r="LK12" s="100"/>
      <c r="LL12" s="100"/>
      <c r="LM12" s="100"/>
      <c r="LN12" s="100"/>
      <c r="LO12" s="100"/>
      <c r="LP12" s="100"/>
      <c r="LQ12" s="100"/>
      <c r="LR12" s="100"/>
      <c r="LS12" s="100"/>
      <c r="LT12" s="100"/>
      <c r="LU12" s="100"/>
      <c r="LV12" s="100"/>
      <c r="LW12" s="100"/>
      <c r="LX12" s="100"/>
      <c r="LY12" s="100"/>
      <c r="LZ12" s="100"/>
      <c r="MA12" s="100"/>
      <c r="MB12" s="100"/>
      <c r="MC12" s="100"/>
      <c r="MD12" s="100"/>
      <c r="ME12" s="100"/>
      <c r="MF12" s="100"/>
      <c r="MG12" s="100"/>
      <c r="MH12" s="100"/>
      <c r="MI12" s="100"/>
      <c r="MJ12" s="100"/>
      <c r="MK12" s="100"/>
      <c r="ML12" s="100"/>
      <c r="MM12" s="100"/>
      <c r="MN12" s="100"/>
      <c r="MO12" s="100"/>
      <c r="MP12" s="100"/>
      <c r="MQ12" s="100"/>
      <c r="MR12" s="100"/>
      <c r="MS12" s="100"/>
      <c r="MT12" s="100"/>
      <c r="MU12" s="100"/>
      <c r="MV12" s="100"/>
      <c r="MW12" s="100"/>
      <c r="MX12" s="100"/>
      <c r="MY12" s="100"/>
      <c r="MZ12" s="100"/>
      <c r="NA12" s="100"/>
      <c r="NB12" s="100"/>
      <c r="NC12" s="100"/>
      <c r="ND12" s="100"/>
      <c r="NE12" s="100"/>
      <c r="NF12" s="100"/>
      <c r="NG12" s="100"/>
      <c r="NH12" s="100"/>
      <c r="NI12" s="100"/>
      <c r="NJ12" s="100"/>
      <c r="NK12" s="100"/>
      <c r="NL12" s="100"/>
      <c r="NM12" s="100"/>
      <c r="NN12" s="100"/>
      <c r="NO12" s="100"/>
      <c r="NP12" s="100"/>
      <c r="NQ12" s="100"/>
      <c r="NR12" s="100"/>
      <c r="NS12" s="100"/>
      <c r="NT12" s="100"/>
      <c r="NU12" s="100"/>
      <c r="NV12" s="100"/>
      <c r="NW12" s="100"/>
      <c r="NX12" s="100"/>
      <c r="NY12" s="100"/>
      <c r="NZ12" s="100"/>
      <c r="OA12" s="100"/>
      <c r="OB12" s="100"/>
      <c r="OC12" s="100"/>
      <c r="OD12" s="100"/>
      <c r="OE12" s="100"/>
      <c r="OF12" s="100"/>
      <c r="OG12" s="100"/>
      <c r="OH12" s="100"/>
      <c r="OI12" s="100"/>
      <c r="OJ12" s="100"/>
      <c r="OK12" s="100"/>
      <c r="OL12" s="100"/>
      <c r="OM12" s="100"/>
      <c r="ON12" s="100"/>
      <c r="OO12" s="100"/>
      <c r="OP12" s="100"/>
      <c r="OQ12" s="100"/>
      <c r="OR12" s="100"/>
      <c r="OS12" s="100"/>
      <c r="OT12" s="100"/>
      <c r="OU12" s="100"/>
      <c r="OV12" s="100"/>
      <c r="OW12" s="100"/>
      <c r="OX12" s="100"/>
      <c r="OY12" s="100"/>
      <c r="OZ12" s="100"/>
      <c r="PA12" s="100"/>
      <c r="PB12" s="100"/>
      <c r="PC12" s="100"/>
      <c r="PD12" s="100"/>
      <c r="PE12" s="100"/>
      <c r="PF12" s="100"/>
      <c r="PG12" s="100"/>
      <c r="PH12" s="100"/>
      <c r="PI12" s="100"/>
      <c r="PJ12" s="100"/>
      <c r="PK12" s="100"/>
      <c r="PL12" s="100"/>
      <c r="PM12" s="100"/>
      <c r="PN12" s="100"/>
      <c r="PO12" s="100"/>
      <c r="PP12" s="100"/>
      <c r="PQ12" s="100"/>
      <c r="PR12" s="100"/>
      <c r="PS12" s="100"/>
      <c r="PT12" s="100"/>
      <c r="PU12" s="100"/>
      <c r="PV12" s="100"/>
      <c r="PW12" s="100"/>
      <c r="PX12" s="100"/>
      <c r="PY12" s="100"/>
      <c r="PZ12" s="100"/>
      <c r="QA12" s="100"/>
      <c r="QB12" s="100"/>
      <c r="QC12" s="100"/>
      <c r="QD12" s="100"/>
      <c r="QE12" s="100"/>
      <c r="QF12" s="100"/>
      <c r="QG12" s="100"/>
      <c r="QH12" s="100"/>
      <c r="QI12" s="100"/>
      <c r="QJ12" s="100"/>
      <c r="QK12" s="100"/>
      <c r="QL12" s="100"/>
      <c r="QM12" s="100"/>
      <c r="QN12" s="100"/>
      <c r="QO12" s="100"/>
      <c r="QP12" s="100"/>
      <c r="QQ12" s="100"/>
      <c r="QR12" s="100"/>
      <c r="QS12" s="100"/>
      <c r="QT12" s="100"/>
      <c r="QU12" s="100"/>
      <c r="QV12" s="100"/>
      <c r="QW12" s="100"/>
      <c r="QX12" s="100"/>
      <c r="QY12" s="100"/>
      <c r="QZ12" s="23">
        <f t="shared" si="0"/>
        <v>3</v>
      </c>
      <c r="RA12" s="47" t="s">
        <v>36</v>
      </c>
      <c r="RB12" s="97">
        <v>209.04</v>
      </c>
      <c r="RC12" s="63">
        <f>RF12</f>
        <v>209.04</v>
      </c>
      <c r="RD12" s="63">
        <v>135.38999999999999</v>
      </c>
      <c r="RE12" s="97">
        <f t="shared" si="1"/>
        <v>0</v>
      </c>
      <c r="RF12" s="107">
        <v>209.04</v>
      </c>
      <c r="RG12" s="107"/>
      <c r="RH12" s="83">
        <f t="shared" si="2"/>
        <v>1.5439840460890761</v>
      </c>
      <c r="RI12" s="116"/>
    </row>
    <row r="13" spans="1:477" s="5" customFormat="1" ht="12.75" customHeight="1" x14ac:dyDescent="0.2">
      <c r="A13" s="48">
        <v>44942</v>
      </c>
      <c r="B13" s="90" t="s">
        <v>456</v>
      </c>
      <c r="C13" s="98"/>
      <c r="D13" s="98"/>
      <c r="E13" s="99"/>
      <c r="F13" s="99"/>
      <c r="G13" s="99"/>
      <c r="H13" s="99"/>
      <c r="I13" s="99"/>
      <c r="J13" s="99"/>
      <c r="K13" s="99"/>
      <c r="L13" s="99"/>
      <c r="M13" s="99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100">
        <v>10</v>
      </c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00"/>
      <c r="BQ13" s="100"/>
      <c r="BR13" s="100"/>
      <c r="BS13" s="100"/>
      <c r="BT13" s="100"/>
      <c r="BU13" s="100"/>
      <c r="BV13" s="100"/>
      <c r="BW13" s="100"/>
      <c r="BX13" s="100"/>
      <c r="BY13" s="100"/>
      <c r="BZ13" s="100"/>
      <c r="CA13" s="100"/>
      <c r="CB13" s="100"/>
      <c r="CC13" s="100"/>
      <c r="CD13" s="100"/>
      <c r="CE13" s="100"/>
      <c r="CF13" s="100"/>
      <c r="CG13" s="100"/>
      <c r="CH13" s="100"/>
      <c r="CI13" s="100"/>
      <c r="CJ13" s="100"/>
      <c r="CK13" s="100"/>
      <c r="CL13" s="100"/>
      <c r="CM13" s="100"/>
      <c r="CN13" s="100"/>
      <c r="CO13" s="100"/>
      <c r="CP13" s="100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  <c r="DB13" s="100"/>
      <c r="DC13" s="100"/>
      <c r="DD13" s="100"/>
      <c r="DE13" s="100"/>
      <c r="DF13" s="100"/>
      <c r="DG13" s="100"/>
      <c r="DH13" s="100"/>
      <c r="DI13" s="100"/>
      <c r="DJ13" s="100"/>
      <c r="DK13" s="100"/>
      <c r="DL13" s="100"/>
      <c r="DM13" s="100"/>
      <c r="DN13" s="100"/>
      <c r="DO13" s="100"/>
      <c r="DP13" s="100"/>
      <c r="DQ13" s="100"/>
      <c r="DR13" s="100"/>
      <c r="DS13" s="100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0"/>
      <c r="EF13" s="100"/>
      <c r="EG13" s="100"/>
      <c r="EH13" s="100"/>
      <c r="EI13" s="100"/>
      <c r="EJ13" s="100"/>
      <c r="EK13" s="100"/>
      <c r="EL13" s="100"/>
      <c r="EM13" s="100"/>
      <c r="EN13" s="100"/>
      <c r="EO13" s="100"/>
      <c r="EP13" s="100"/>
      <c r="EQ13" s="100"/>
      <c r="ER13" s="100"/>
      <c r="ES13" s="100"/>
      <c r="ET13" s="100"/>
      <c r="EU13" s="100"/>
      <c r="EV13" s="100"/>
      <c r="EW13" s="100"/>
      <c r="EX13" s="100"/>
      <c r="EY13" s="100"/>
      <c r="EZ13" s="100"/>
      <c r="FA13" s="100"/>
      <c r="FB13" s="100"/>
      <c r="FC13" s="100"/>
      <c r="FD13" s="100"/>
      <c r="FE13" s="100"/>
      <c r="FF13" s="100"/>
      <c r="FG13" s="100"/>
      <c r="FH13" s="100"/>
      <c r="FI13" s="100"/>
      <c r="FJ13" s="100"/>
      <c r="FK13" s="100"/>
      <c r="FL13" s="100"/>
      <c r="FM13" s="100"/>
      <c r="FN13" s="100"/>
      <c r="FO13" s="100"/>
      <c r="FP13" s="100"/>
      <c r="FQ13" s="100"/>
      <c r="FR13" s="100"/>
      <c r="FS13" s="100"/>
      <c r="FT13" s="100"/>
      <c r="FU13" s="100"/>
      <c r="FV13" s="100"/>
      <c r="FW13" s="100"/>
      <c r="FX13" s="100"/>
      <c r="FY13" s="100"/>
      <c r="FZ13" s="100"/>
      <c r="GA13" s="100"/>
      <c r="GB13" s="100"/>
      <c r="GC13" s="100"/>
      <c r="GD13" s="100"/>
      <c r="GE13" s="100"/>
      <c r="GF13" s="100"/>
      <c r="GG13" s="100"/>
      <c r="GH13" s="100"/>
      <c r="GI13" s="100"/>
      <c r="GJ13" s="100"/>
      <c r="GK13" s="100"/>
      <c r="GL13" s="100"/>
      <c r="GM13" s="100"/>
      <c r="GN13" s="100"/>
      <c r="GO13" s="100"/>
      <c r="GP13" s="100"/>
      <c r="GQ13" s="100"/>
      <c r="GR13" s="100"/>
      <c r="GS13" s="100"/>
      <c r="GT13" s="100"/>
      <c r="GU13" s="100"/>
      <c r="GV13" s="100"/>
      <c r="GW13" s="100"/>
      <c r="GX13" s="100"/>
      <c r="GY13" s="100"/>
      <c r="GZ13" s="100"/>
      <c r="HA13" s="100"/>
      <c r="HB13" s="100"/>
      <c r="HC13" s="100"/>
      <c r="HD13" s="100"/>
      <c r="HE13" s="100"/>
      <c r="HF13" s="100"/>
      <c r="HG13" s="100"/>
      <c r="HH13" s="100"/>
      <c r="HI13" s="100"/>
      <c r="HJ13" s="100"/>
      <c r="HK13" s="100"/>
      <c r="HL13" s="100"/>
      <c r="HM13" s="100"/>
      <c r="HN13" s="100"/>
      <c r="HO13" s="100"/>
      <c r="HP13" s="100"/>
      <c r="HQ13" s="100"/>
      <c r="HR13" s="100"/>
      <c r="HS13" s="100"/>
      <c r="HT13" s="100"/>
      <c r="HU13" s="100"/>
      <c r="HV13" s="100"/>
      <c r="HW13" s="100"/>
      <c r="HX13" s="100"/>
      <c r="HY13" s="100"/>
      <c r="HZ13" s="100"/>
      <c r="IA13" s="100"/>
      <c r="IB13" s="100"/>
      <c r="IC13" s="100"/>
      <c r="ID13" s="100"/>
      <c r="IE13" s="100"/>
      <c r="IF13" s="100"/>
      <c r="IG13" s="100"/>
      <c r="IH13" s="100"/>
      <c r="II13" s="100"/>
      <c r="IJ13" s="100"/>
      <c r="IK13" s="100"/>
      <c r="IL13" s="100"/>
      <c r="IM13" s="100"/>
      <c r="IN13" s="100"/>
      <c r="IO13" s="100"/>
      <c r="IP13" s="100"/>
      <c r="IQ13" s="100"/>
      <c r="IR13" s="100"/>
      <c r="IS13" s="100"/>
      <c r="IT13" s="100"/>
      <c r="IU13" s="100"/>
      <c r="IV13" s="100"/>
      <c r="IW13" s="100"/>
      <c r="IX13" s="100"/>
      <c r="IY13" s="100"/>
      <c r="IZ13" s="100"/>
      <c r="JA13" s="100"/>
      <c r="JB13" s="100"/>
      <c r="JC13" s="100"/>
      <c r="JD13" s="100"/>
      <c r="JE13" s="100"/>
      <c r="JF13" s="100"/>
      <c r="JG13" s="100"/>
      <c r="JH13" s="100"/>
      <c r="JI13" s="100"/>
      <c r="JJ13" s="100"/>
      <c r="JK13" s="100"/>
      <c r="JL13" s="100"/>
      <c r="JM13" s="100"/>
      <c r="JN13" s="100"/>
      <c r="JO13" s="100"/>
      <c r="JP13" s="100"/>
      <c r="JQ13" s="100"/>
      <c r="JR13" s="100"/>
      <c r="JS13" s="100"/>
      <c r="JT13" s="100"/>
      <c r="JU13" s="100"/>
      <c r="JV13" s="100"/>
      <c r="JW13" s="100"/>
      <c r="JX13" s="100"/>
      <c r="JY13" s="100"/>
      <c r="JZ13" s="100"/>
      <c r="KA13" s="100"/>
      <c r="KB13" s="100"/>
      <c r="KC13" s="100"/>
      <c r="KD13" s="100"/>
      <c r="KE13" s="100"/>
      <c r="KF13" s="100"/>
      <c r="KG13" s="100"/>
      <c r="KH13" s="100"/>
      <c r="KI13" s="100"/>
      <c r="KJ13" s="100"/>
      <c r="KK13" s="100"/>
      <c r="KL13" s="100"/>
      <c r="KM13" s="100"/>
      <c r="KN13" s="100"/>
      <c r="KO13" s="100"/>
      <c r="KP13" s="100"/>
      <c r="KQ13" s="100"/>
      <c r="KR13" s="100"/>
      <c r="KS13" s="100"/>
      <c r="KT13" s="100"/>
      <c r="KU13" s="100"/>
      <c r="KV13" s="100"/>
      <c r="KW13" s="100"/>
      <c r="KX13" s="100"/>
      <c r="KY13" s="100"/>
      <c r="KZ13" s="100"/>
      <c r="LA13" s="100"/>
      <c r="LB13" s="100"/>
      <c r="LC13" s="100"/>
      <c r="LD13" s="100"/>
      <c r="LE13" s="100"/>
      <c r="LF13" s="100"/>
      <c r="LG13" s="100"/>
      <c r="LH13" s="100"/>
      <c r="LI13" s="100"/>
      <c r="LJ13" s="100"/>
      <c r="LK13" s="100"/>
      <c r="LL13" s="100"/>
      <c r="LM13" s="100"/>
      <c r="LN13" s="100"/>
      <c r="LO13" s="100"/>
      <c r="LP13" s="100"/>
      <c r="LQ13" s="100"/>
      <c r="LR13" s="100"/>
      <c r="LS13" s="100"/>
      <c r="LT13" s="100"/>
      <c r="LU13" s="100"/>
      <c r="LV13" s="100"/>
      <c r="LW13" s="100"/>
      <c r="LX13" s="100"/>
      <c r="LY13" s="100"/>
      <c r="LZ13" s="100"/>
      <c r="MA13" s="100"/>
      <c r="MB13" s="100"/>
      <c r="MC13" s="100"/>
      <c r="MD13" s="100"/>
      <c r="ME13" s="100"/>
      <c r="MF13" s="100"/>
      <c r="MG13" s="100"/>
      <c r="MH13" s="100"/>
      <c r="MI13" s="100"/>
      <c r="MJ13" s="100"/>
      <c r="MK13" s="100"/>
      <c r="ML13" s="100"/>
      <c r="MM13" s="100"/>
      <c r="MN13" s="100"/>
      <c r="MO13" s="100"/>
      <c r="MP13" s="100"/>
      <c r="MQ13" s="100"/>
      <c r="MR13" s="100"/>
      <c r="MS13" s="100"/>
      <c r="MT13" s="100"/>
      <c r="MU13" s="100"/>
      <c r="MV13" s="100"/>
      <c r="MW13" s="100"/>
      <c r="MX13" s="100"/>
      <c r="MY13" s="100"/>
      <c r="MZ13" s="100"/>
      <c r="NA13" s="100"/>
      <c r="NB13" s="100"/>
      <c r="NC13" s="100"/>
      <c r="ND13" s="100"/>
      <c r="NE13" s="100"/>
      <c r="NF13" s="100"/>
      <c r="NG13" s="100"/>
      <c r="NH13" s="100"/>
      <c r="NI13" s="100"/>
      <c r="NJ13" s="100"/>
      <c r="NK13" s="100"/>
      <c r="NL13" s="100"/>
      <c r="NM13" s="100"/>
      <c r="NN13" s="100"/>
      <c r="NO13" s="100"/>
      <c r="NP13" s="100"/>
      <c r="NQ13" s="100"/>
      <c r="NR13" s="100"/>
      <c r="NS13" s="100"/>
      <c r="NT13" s="100"/>
      <c r="NU13" s="100"/>
      <c r="NV13" s="100"/>
      <c r="NW13" s="100"/>
      <c r="NX13" s="100"/>
      <c r="NY13" s="100"/>
      <c r="NZ13" s="100"/>
      <c r="OA13" s="100"/>
      <c r="OB13" s="100"/>
      <c r="OC13" s="100"/>
      <c r="OD13" s="100"/>
      <c r="OE13" s="100"/>
      <c r="OF13" s="100"/>
      <c r="OG13" s="100"/>
      <c r="OH13" s="100"/>
      <c r="OI13" s="100"/>
      <c r="OJ13" s="100"/>
      <c r="OK13" s="100"/>
      <c r="OL13" s="100"/>
      <c r="OM13" s="100"/>
      <c r="ON13" s="100"/>
      <c r="OO13" s="100"/>
      <c r="OP13" s="100"/>
      <c r="OQ13" s="100"/>
      <c r="OR13" s="100"/>
      <c r="OS13" s="100"/>
      <c r="OT13" s="100"/>
      <c r="OU13" s="100"/>
      <c r="OV13" s="100"/>
      <c r="OW13" s="100"/>
      <c r="OX13" s="100"/>
      <c r="OY13" s="100"/>
      <c r="OZ13" s="100"/>
      <c r="PA13" s="100"/>
      <c r="PB13" s="100"/>
      <c r="PC13" s="100"/>
      <c r="PD13" s="100"/>
      <c r="PE13" s="100"/>
      <c r="PF13" s="100"/>
      <c r="PG13" s="100"/>
      <c r="PH13" s="100"/>
      <c r="PI13" s="100"/>
      <c r="PJ13" s="100"/>
      <c r="PK13" s="100"/>
      <c r="PL13" s="100"/>
      <c r="PM13" s="100"/>
      <c r="PN13" s="100"/>
      <c r="PO13" s="100"/>
      <c r="PP13" s="100"/>
      <c r="PQ13" s="100"/>
      <c r="PR13" s="100"/>
      <c r="PS13" s="100"/>
      <c r="PT13" s="100"/>
      <c r="PU13" s="100"/>
      <c r="PV13" s="100"/>
      <c r="PW13" s="100"/>
      <c r="PX13" s="100"/>
      <c r="PY13" s="100"/>
      <c r="PZ13" s="100"/>
      <c r="QA13" s="100"/>
      <c r="QB13" s="100"/>
      <c r="QC13" s="100"/>
      <c r="QD13" s="100"/>
      <c r="QE13" s="100"/>
      <c r="QF13" s="100"/>
      <c r="QG13" s="100"/>
      <c r="QH13" s="100"/>
      <c r="QI13" s="100"/>
      <c r="QJ13" s="100"/>
      <c r="QK13" s="100"/>
      <c r="QL13" s="100"/>
      <c r="QM13" s="100"/>
      <c r="QN13" s="100"/>
      <c r="QO13" s="100"/>
      <c r="QP13" s="100"/>
      <c r="QQ13" s="100"/>
      <c r="QR13" s="100"/>
      <c r="QS13" s="100"/>
      <c r="QT13" s="100"/>
      <c r="QU13" s="100"/>
      <c r="QV13" s="100"/>
      <c r="QW13" s="100"/>
      <c r="QX13" s="100"/>
      <c r="QY13" s="100"/>
      <c r="QZ13" s="23">
        <f t="shared" si="0"/>
        <v>10</v>
      </c>
      <c r="RA13" s="47" t="s">
        <v>36</v>
      </c>
      <c r="RB13" s="97">
        <v>558.6</v>
      </c>
      <c r="RC13" s="63">
        <f>RF13</f>
        <v>558.6</v>
      </c>
      <c r="RD13" s="63">
        <v>378.29999999999995</v>
      </c>
      <c r="RE13" s="97">
        <f t="shared" si="1"/>
        <v>0</v>
      </c>
      <c r="RF13" s="107">
        <v>558.6</v>
      </c>
      <c r="RG13" s="107"/>
      <c r="RH13" s="83">
        <f t="shared" si="2"/>
        <v>1.476605868358446</v>
      </c>
      <c r="RI13" s="116"/>
    </row>
    <row r="14" spans="1:477" s="5" customFormat="1" ht="12.75" customHeight="1" x14ac:dyDescent="0.2">
      <c r="A14" s="48">
        <v>44944</v>
      </c>
      <c r="B14" s="81" t="s">
        <v>45</v>
      </c>
      <c r="C14" s="98"/>
      <c r="D14" s="98"/>
      <c r="E14" s="99"/>
      <c r="F14" s="99"/>
      <c r="G14" s="99"/>
      <c r="H14" s="99"/>
      <c r="I14" s="99"/>
      <c r="J14" s="99"/>
      <c r="K14" s="99"/>
      <c r="L14" s="99"/>
      <c r="M14" s="99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00"/>
      <c r="BP14" s="100"/>
      <c r="BQ14" s="100"/>
      <c r="BR14" s="100"/>
      <c r="BS14" s="100"/>
      <c r="BT14" s="100"/>
      <c r="BU14" s="100"/>
      <c r="BV14" s="100"/>
      <c r="BW14" s="100"/>
      <c r="BX14" s="100"/>
      <c r="BY14" s="100"/>
      <c r="BZ14" s="100"/>
      <c r="CA14" s="100"/>
      <c r="CB14" s="100"/>
      <c r="CC14" s="100"/>
      <c r="CD14" s="100"/>
      <c r="CE14" s="100"/>
      <c r="CF14" s="100"/>
      <c r="CG14" s="100"/>
      <c r="CH14" s="100"/>
      <c r="CI14" s="100"/>
      <c r="CJ14" s="100"/>
      <c r="CK14" s="100"/>
      <c r="CL14" s="100"/>
      <c r="CM14" s="100"/>
      <c r="CN14" s="100"/>
      <c r="CO14" s="100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  <c r="DB14" s="100"/>
      <c r="DC14" s="100"/>
      <c r="DD14" s="100"/>
      <c r="DE14" s="100"/>
      <c r="DF14" s="100"/>
      <c r="DG14" s="100"/>
      <c r="DH14" s="100"/>
      <c r="DI14" s="100"/>
      <c r="DJ14" s="100"/>
      <c r="DK14" s="100"/>
      <c r="DL14" s="100"/>
      <c r="DM14" s="100"/>
      <c r="DN14" s="100"/>
      <c r="DO14" s="100"/>
      <c r="DP14" s="100"/>
      <c r="DQ14" s="100"/>
      <c r="DR14" s="100"/>
      <c r="DS14" s="100"/>
      <c r="DT14" s="100"/>
      <c r="DU14" s="100"/>
      <c r="DV14" s="100"/>
      <c r="DW14" s="100"/>
      <c r="DX14" s="100"/>
      <c r="DY14" s="100"/>
      <c r="DZ14" s="100"/>
      <c r="EA14" s="100"/>
      <c r="EB14" s="100"/>
      <c r="EC14" s="100"/>
      <c r="ED14" s="100"/>
      <c r="EE14" s="100"/>
      <c r="EF14" s="100"/>
      <c r="EG14" s="100"/>
      <c r="EH14" s="100"/>
      <c r="EI14" s="100"/>
      <c r="EJ14" s="100"/>
      <c r="EK14" s="100"/>
      <c r="EL14" s="100"/>
      <c r="EM14" s="100"/>
      <c r="EN14" s="100"/>
      <c r="EO14" s="100"/>
      <c r="EP14" s="100"/>
      <c r="EQ14" s="100"/>
      <c r="ER14" s="100"/>
      <c r="ES14" s="100"/>
      <c r="ET14" s="100"/>
      <c r="EU14" s="100"/>
      <c r="EV14" s="100"/>
      <c r="EW14" s="100"/>
      <c r="EX14" s="100"/>
      <c r="EY14" s="100"/>
      <c r="EZ14" s="100"/>
      <c r="FA14" s="100"/>
      <c r="FB14" s="100"/>
      <c r="FC14" s="100"/>
      <c r="FD14" s="100"/>
      <c r="FE14" s="100"/>
      <c r="FF14" s="100"/>
      <c r="FG14" s="100"/>
      <c r="FH14" s="100"/>
      <c r="FI14" s="100"/>
      <c r="FJ14" s="100"/>
      <c r="FK14" s="100"/>
      <c r="FL14" s="100"/>
      <c r="FM14" s="100"/>
      <c r="FN14" s="100"/>
      <c r="FO14" s="100"/>
      <c r="FP14" s="100"/>
      <c r="FQ14" s="100"/>
      <c r="FR14" s="100"/>
      <c r="FS14" s="100"/>
      <c r="FT14" s="100"/>
      <c r="FU14" s="100"/>
      <c r="FV14" s="100"/>
      <c r="FW14" s="100"/>
      <c r="FX14" s="100"/>
      <c r="FY14" s="100"/>
      <c r="FZ14" s="100"/>
      <c r="GA14" s="100"/>
      <c r="GB14" s="100"/>
      <c r="GC14" s="100"/>
      <c r="GD14" s="100"/>
      <c r="GE14" s="100"/>
      <c r="GF14" s="100"/>
      <c r="GG14" s="100"/>
      <c r="GH14" s="100"/>
      <c r="GI14" s="100"/>
      <c r="GJ14" s="100"/>
      <c r="GK14" s="100"/>
      <c r="GL14" s="100"/>
      <c r="GM14" s="100"/>
      <c r="GN14" s="100"/>
      <c r="GO14" s="100"/>
      <c r="GP14" s="100"/>
      <c r="GQ14" s="100"/>
      <c r="GR14" s="100"/>
      <c r="GS14" s="100"/>
      <c r="GT14" s="100"/>
      <c r="GU14" s="100"/>
      <c r="GV14" s="100"/>
      <c r="GW14" s="100"/>
      <c r="GX14" s="100">
        <v>70</v>
      </c>
      <c r="GY14" s="100"/>
      <c r="GZ14" s="100"/>
      <c r="HA14" s="100">
        <v>20</v>
      </c>
      <c r="HB14" s="100"/>
      <c r="HC14" s="100"/>
      <c r="HD14" s="100"/>
      <c r="HE14" s="100"/>
      <c r="HF14" s="100"/>
      <c r="HG14" s="100"/>
      <c r="HH14" s="100"/>
      <c r="HI14" s="100"/>
      <c r="HJ14" s="100"/>
      <c r="HK14" s="100"/>
      <c r="HL14" s="100"/>
      <c r="HM14" s="100"/>
      <c r="HN14" s="100"/>
      <c r="HO14" s="100"/>
      <c r="HP14" s="100"/>
      <c r="HQ14" s="100"/>
      <c r="HR14" s="100"/>
      <c r="HS14" s="100"/>
      <c r="HT14" s="100"/>
      <c r="HU14" s="100"/>
      <c r="HV14" s="100"/>
      <c r="HW14" s="100"/>
      <c r="HX14" s="100"/>
      <c r="HY14" s="100"/>
      <c r="HZ14" s="100"/>
      <c r="IA14" s="100"/>
      <c r="IB14" s="100"/>
      <c r="IC14" s="100"/>
      <c r="ID14" s="100"/>
      <c r="IE14" s="100"/>
      <c r="IF14" s="100"/>
      <c r="IG14" s="100"/>
      <c r="IH14" s="100"/>
      <c r="II14" s="100"/>
      <c r="IJ14" s="100"/>
      <c r="IK14" s="100"/>
      <c r="IL14" s="100"/>
      <c r="IM14" s="100"/>
      <c r="IN14" s="100"/>
      <c r="IO14" s="100"/>
      <c r="IP14" s="100"/>
      <c r="IQ14" s="100"/>
      <c r="IR14" s="100"/>
      <c r="IS14" s="100"/>
      <c r="IT14" s="100"/>
      <c r="IU14" s="100"/>
      <c r="IV14" s="100"/>
      <c r="IW14" s="100"/>
      <c r="IX14" s="100"/>
      <c r="IY14" s="100"/>
      <c r="IZ14" s="100"/>
      <c r="JA14" s="100"/>
      <c r="JB14" s="100"/>
      <c r="JC14" s="100"/>
      <c r="JD14" s="100"/>
      <c r="JE14" s="100"/>
      <c r="JF14" s="100"/>
      <c r="JG14" s="100"/>
      <c r="JH14" s="100"/>
      <c r="JI14" s="100"/>
      <c r="JJ14" s="100"/>
      <c r="JK14" s="100"/>
      <c r="JL14" s="100"/>
      <c r="JM14" s="100"/>
      <c r="JN14" s="100"/>
      <c r="JO14" s="100"/>
      <c r="JP14" s="100"/>
      <c r="JQ14" s="100"/>
      <c r="JR14" s="100"/>
      <c r="JS14" s="100"/>
      <c r="JT14" s="100"/>
      <c r="JU14" s="100"/>
      <c r="JV14" s="100"/>
      <c r="JW14" s="100"/>
      <c r="JX14" s="100"/>
      <c r="JY14" s="100"/>
      <c r="JZ14" s="100"/>
      <c r="KA14" s="100"/>
      <c r="KB14" s="100"/>
      <c r="KC14" s="100"/>
      <c r="KD14" s="100"/>
      <c r="KE14" s="100"/>
      <c r="KF14" s="100"/>
      <c r="KG14" s="100"/>
      <c r="KH14" s="100"/>
      <c r="KI14" s="100"/>
      <c r="KJ14" s="100"/>
      <c r="KK14" s="100"/>
      <c r="KL14" s="100"/>
      <c r="KM14" s="100"/>
      <c r="KN14" s="100"/>
      <c r="KO14" s="100"/>
      <c r="KP14" s="100"/>
      <c r="KQ14" s="100"/>
      <c r="KR14" s="100"/>
      <c r="KS14" s="100"/>
      <c r="KT14" s="100"/>
      <c r="KU14" s="100"/>
      <c r="KV14" s="100"/>
      <c r="KW14" s="100"/>
      <c r="KX14" s="100"/>
      <c r="KY14" s="100"/>
      <c r="KZ14" s="100"/>
      <c r="LA14" s="100"/>
      <c r="LB14" s="100"/>
      <c r="LC14" s="100"/>
      <c r="LD14" s="100"/>
      <c r="LE14" s="100"/>
      <c r="LF14" s="100"/>
      <c r="LG14" s="100"/>
      <c r="LH14" s="100"/>
      <c r="LI14" s="100"/>
      <c r="LJ14" s="100"/>
      <c r="LK14" s="100"/>
      <c r="LL14" s="100"/>
      <c r="LM14" s="100"/>
      <c r="LN14" s="100"/>
      <c r="LO14" s="100"/>
      <c r="LP14" s="100"/>
      <c r="LQ14" s="100"/>
      <c r="LR14" s="100"/>
      <c r="LS14" s="100"/>
      <c r="LT14" s="100"/>
      <c r="LU14" s="100"/>
      <c r="LV14" s="100"/>
      <c r="LW14" s="100"/>
      <c r="LX14" s="100"/>
      <c r="LY14" s="100"/>
      <c r="LZ14" s="100"/>
      <c r="MA14" s="100"/>
      <c r="MB14" s="100"/>
      <c r="MC14" s="100"/>
      <c r="MD14" s="100"/>
      <c r="ME14" s="100"/>
      <c r="MF14" s="100"/>
      <c r="MG14" s="100"/>
      <c r="MH14" s="100"/>
      <c r="MI14" s="100"/>
      <c r="MJ14" s="100"/>
      <c r="MK14" s="100"/>
      <c r="ML14" s="100"/>
      <c r="MM14" s="100"/>
      <c r="MN14" s="100"/>
      <c r="MO14" s="100"/>
      <c r="MP14" s="100"/>
      <c r="MQ14" s="100"/>
      <c r="MR14" s="100"/>
      <c r="MS14" s="100"/>
      <c r="MT14" s="100"/>
      <c r="MU14" s="100"/>
      <c r="MV14" s="100"/>
      <c r="MW14" s="100"/>
      <c r="MX14" s="100"/>
      <c r="MY14" s="100"/>
      <c r="MZ14" s="100"/>
      <c r="NA14" s="100"/>
      <c r="NB14" s="100"/>
      <c r="NC14" s="100"/>
      <c r="ND14" s="100"/>
      <c r="NE14" s="100"/>
      <c r="NF14" s="100"/>
      <c r="NG14" s="100"/>
      <c r="NH14" s="100"/>
      <c r="NI14" s="100"/>
      <c r="NJ14" s="100"/>
      <c r="NK14" s="100"/>
      <c r="NL14" s="100"/>
      <c r="NM14" s="100"/>
      <c r="NN14" s="100"/>
      <c r="NO14" s="100"/>
      <c r="NP14" s="100"/>
      <c r="NQ14" s="100"/>
      <c r="NR14" s="100"/>
      <c r="NS14" s="100"/>
      <c r="NT14" s="100"/>
      <c r="NU14" s="100"/>
      <c r="NV14" s="100"/>
      <c r="NW14" s="100"/>
      <c r="NX14" s="100"/>
      <c r="NY14" s="100"/>
      <c r="NZ14" s="100"/>
      <c r="OA14" s="100"/>
      <c r="OB14" s="100"/>
      <c r="OC14" s="100"/>
      <c r="OD14" s="100"/>
      <c r="OE14" s="100"/>
      <c r="OF14" s="100"/>
      <c r="OG14" s="100"/>
      <c r="OH14" s="100"/>
      <c r="OI14" s="100"/>
      <c r="OJ14" s="100"/>
      <c r="OK14" s="100"/>
      <c r="OL14" s="100"/>
      <c r="OM14" s="100"/>
      <c r="ON14" s="100"/>
      <c r="OO14" s="100"/>
      <c r="OP14" s="100"/>
      <c r="OQ14" s="100"/>
      <c r="OR14" s="100"/>
      <c r="OS14" s="100"/>
      <c r="OT14" s="100"/>
      <c r="OU14" s="100"/>
      <c r="OV14" s="100"/>
      <c r="OW14" s="100"/>
      <c r="OX14" s="100"/>
      <c r="OY14" s="100"/>
      <c r="OZ14" s="100"/>
      <c r="PA14" s="100"/>
      <c r="PB14" s="100"/>
      <c r="PC14" s="100"/>
      <c r="PD14" s="100"/>
      <c r="PE14" s="100"/>
      <c r="PF14" s="100"/>
      <c r="PG14" s="100"/>
      <c r="PH14" s="100"/>
      <c r="PI14" s="100"/>
      <c r="PJ14" s="100"/>
      <c r="PK14" s="100"/>
      <c r="PL14" s="100"/>
      <c r="PM14" s="100"/>
      <c r="PN14" s="100"/>
      <c r="PO14" s="100"/>
      <c r="PP14" s="100"/>
      <c r="PQ14" s="100"/>
      <c r="PR14" s="100"/>
      <c r="PS14" s="100"/>
      <c r="PT14" s="100"/>
      <c r="PU14" s="100"/>
      <c r="PV14" s="100"/>
      <c r="PW14" s="100"/>
      <c r="PX14" s="100"/>
      <c r="PY14" s="100"/>
      <c r="PZ14" s="100"/>
      <c r="QA14" s="100"/>
      <c r="QB14" s="100"/>
      <c r="QC14" s="100"/>
      <c r="QD14" s="100"/>
      <c r="QE14" s="100"/>
      <c r="QF14" s="100"/>
      <c r="QG14" s="100"/>
      <c r="QH14" s="100"/>
      <c r="QI14" s="100"/>
      <c r="QJ14" s="100"/>
      <c r="QK14" s="100"/>
      <c r="QL14" s="100"/>
      <c r="QM14" s="100"/>
      <c r="QN14" s="100"/>
      <c r="QO14" s="100"/>
      <c r="QP14" s="100"/>
      <c r="QQ14" s="100"/>
      <c r="QR14" s="100"/>
      <c r="QS14" s="100"/>
      <c r="QT14" s="100"/>
      <c r="QU14" s="100"/>
      <c r="QV14" s="100"/>
      <c r="QW14" s="100"/>
      <c r="QX14" s="100"/>
      <c r="QY14" s="100"/>
      <c r="QZ14" s="23">
        <f t="shared" si="0"/>
        <v>90</v>
      </c>
      <c r="RA14" s="47" t="s">
        <v>36</v>
      </c>
      <c r="RB14" s="97">
        <v>10568.28</v>
      </c>
      <c r="RC14" s="63">
        <f>RF14+RG14</f>
        <v>3568.28</v>
      </c>
      <c r="RD14" s="63">
        <v>6006.9</v>
      </c>
      <c r="RE14" s="97">
        <f t="shared" si="1"/>
        <v>7000</v>
      </c>
      <c r="RF14" s="107"/>
      <c r="RG14" s="107">
        <v>3568.28</v>
      </c>
      <c r="RH14" s="83">
        <f t="shared" si="2"/>
        <v>1.7593567397492886</v>
      </c>
      <c r="RI14" s="116" t="s">
        <v>540</v>
      </c>
    </row>
    <row r="15" spans="1:477" s="5" customFormat="1" ht="12.75" customHeight="1" x14ac:dyDescent="0.2">
      <c r="A15" s="48">
        <v>44944</v>
      </c>
      <c r="B15" s="90" t="s">
        <v>75</v>
      </c>
      <c r="C15" s="98"/>
      <c r="D15" s="98"/>
      <c r="E15" s="99"/>
      <c r="F15" s="99"/>
      <c r="G15" s="99"/>
      <c r="H15" s="99"/>
      <c r="I15" s="99"/>
      <c r="J15" s="99"/>
      <c r="K15" s="99"/>
      <c r="L15" s="99"/>
      <c r="M15" s="99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00"/>
      <c r="BP15" s="100"/>
      <c r="BQ15" s="100"/>
      <c r="BR15" s="100"/>
      <c r="BS15" s="100"/>
      <c r="BT15" s="100"/>
      <c r="BU15" s="100"/>
      <c r="BV15" s="100"/>
      <c r="BW15" s="100"/>
      <c r="BX15" s="100"/>
      <c r="BY15" s="100"/>
      <c r="BZ15" s="100"/>
      <c r="CA15" s="100"/>
      <c r="CB15" s="100"/>
      <c r="CC15" s="100"/>
      <c r="CD15" s="100"/>
      <c r="CE15" s="100"/>
      <c r="CF15" s="100"/>
      <c r="CG15" s="100"/>
      <c r="CH15" s="100"/>
      <c r="CI15" s="100"/>
      <c r="CJ15" s="100"/>
      <c r="CK15" s="100"/>
      <c r="CL15" s="100"/>
      <c r="CM15" s="100"/>
      <c r="CN15" s="100"/>
      <c r="CO15" s="100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  <c r="DB15" s="100"/>
      <c r="DC15" s="100"/>
      <c r="DD15" s="100"/>
      <c r="DE15" s="100"/>
      <c r="DF15" s="100"/>
      <c r="DG15" s="100"/>
      <c r="DH15" s="100"/>
      <c r="DI15" s="100"/>
      <c r="DJ15" s="100"/>
      <c r="DK15" s="100"/>
      <c r="DL15" s="100"/>
      <c r="DM15" s="100"/>
      <c r="DN15" s="100"/>
      <c r="DO15" s="100"/>
      <c r="DP15" s="100"/>
      <c r="DQ15" s="100"/>
      <c r="DR15" s="100"/>
      <c r="DS15" s="100"/>
      <c r="DT15" s="100"/>
      <c r="DU15" s="100"/>
      <c r="DV15" s="100"/>
      <c r="DW15" s="100"/>
      <c r="DX15" s="100"/>
      <c r="DY15" s="100"/>
      <c r="DZ15" s="100"/>
      <c r="EA15" s="100"/>
      <c r="EB15" s="100"/>
      <c r="EC15" s="100"/>
      <c r="ED15" s="100"/>
      <c r="EE15" s="100"/>
      <c r="EF15" s="100"/>
      <c r="EG15" s="100"/>
      <c r="EH15" s="100"/>
      <c r="EI15" s="100"/>
      <c r="EJ15" s="100"/>
      <c r="EK15" s="100"/>
      <c r="EL15" s="100"/>
      <c r="EM15" s="100"/>
      <c r="EN15" s="100"/>
      <c r="EO15" s="100"/>
      <c r="EP15" s="100"/>
      <c r="EQ15" s="100"/>
      <c r="ER15" s="100"/>
      <c r="ES15" s="100"/>
      <c r="ET15" s="100"/>
      <c r="EU15" s="100"/>
      <c r="EV15" s="100"/>
      <c r="EW15" s="100"/>
      <c r="EX15" s="100"/>
      <c r="EY15" s="100"/>
      <c r="EZ15" s="100"/>
      <c r="FA15" s="100"/>
      <c r="FB15" s="100"/>
      <c r="FC15" s="100"/>
      <c r="FD15" s="100"/>
      <c r="FE15" s="100"/>
      <c r="FF15" s="100"/>
      <c r="FG15" s="100"/>
      <c r="FH15" s="100"/>
      <c r="FI15" s="100"/>
      <c r="FJ15" s="100"/>
      <c r="FK15" s="100"/>
      <c r="FL15" s="100"/>
      <c r="FM15" s="100"/>
      <c r="FN15" s="100"/>
      <c r="FO15" s="100"/>
      <c r="FP15" s="100"/>
      <c r="FQ15" s="100"/>
      <c r="FR15" s="100"/>
      <c r="FS15" s="100"/>
      <c r="FT15" s="100"/>
      <c r="FU15" s="100"/>
      <c r="FV15" s="100"/>
      <c r="FW15" s="100"/>
      <c r="FX15" s="100"/>
      <c r="FY15" s="100"/>
      <c r="FZ15" s="100"/>
      <c r="GA15" s="100"/>
      <c r="GB15" s="100"/>
      <c r="GC15" s="100"/>
      <c r="GD15" s="100"/>
      <c r="GE15" s="100"/>
      <c r="GF15" s="100"/>
      <c r="GG15" s="100"/>
      <c r="GH15" s="100"/>
      <c r="GI15" s="100"/>
      <c r="GJ15" s="100"/>
      <c r="GK15" s="100"/>
      <c r="GL15" s="100"/>
      <c r="GM15" s="100"/>
      <c r="GN15" s="100"/>
      <c r="GO15" s="100"/>
      <c r="GP15" s="100"/>
      <c r="GQ15" s="100"/>
      <c r="GR15" s="100"/>
      <c r="GS15" s="100"/>
      <c r="GT15" s="100"/>
      <c r="GU15" s="100"/>
      <c r="GV15" s="100"/>
      <c r="GW15" s="100"/>
      <c r="GX15" s="100"/>
      <c r="GY15" s="100"/>
      <c r="GZ15" s="100"/>
      <c r="HA15" s="100"/>
      <c r="HB15" s="100"/>
      <c r="HC15" s="100"/>
      <c r="HD15" s="100"/>
      <c r="HE15" s="100"/>
      <c r="HF15" s="100"/>
      <c r="HG15" s="100"/>
      <c r="HH15" s="100"/>
      <c r="HI15" s="100"/>
      <c r="HJ15" s="100"/>
      <c r="HK15" s="100"/>
      <c r="HL15" s="100"/>
      <c r="HM15" s="100"/>
      <c r="HN15" s="100"/>
      <c r="HO15" s="100"/>
      <c r="HP15" s="100"/>
      <c r="HQ15" s="100"/>
      <c r="HR15" s="100"/>
      <c r="HS15" s="100"/>
      <c r="HT15" s="100"/>
      <c r="HU15" s="100"/>
      <c r="HV15" s="100"/>
      <c r="HW15" s="100"/>
      <c r="HX15" s="100"/>
      <c r="HY15" s="100"/>
      <c r="HZ15" s="100"/>
      <c r="IA15" s="100"/>
      <c r="IB15" s="100"/>
      <c r="IC15" s="100"/>
      <c r="ID15" s="100"/>
      <c r="IE15" s="100"/>
      <c r="IF15" s="100"/>
      <c r="IG15" s="100"/>
      <c r="IH15" s="100"/>
      <c r="II15" s="100"/>
      <c r="IJ15" s="100"/>
      <c r="IK15" s="100"/>
      <c r="IL15" s="100"/>
      <c r="IM15" s="100"/>
      <c r="IN15" s="100"/>
      <c r="IO15" s="100"/>
      <c r="IP15" s="100"/>
      <c r="IQ15" s="100"/>
      <c r="IR15" s="100"/>
      <c r="IS15" s="100"/>
      <c r="IT15" s="100"/>
      <c r="IU15" s="100"/>
      <c r="IV15" s="100"/>
      <c r="IW15" s="100"/>
      <c r="IX15" s="100"/>
      <c r="IY15" s="100"/>
      <c r="IZ15" s="100"/>
      <c r="JA15" s="100"/>
      <c r="JB15" s="100"/>
      <c r="JC15" s="100"/>
      <c r="JD15" s="100"/>
      <c r="JE15" s="100"/>
      <c r="JF15" s="100"/>
      <c r="JG15" s="100"/>
      <c r="JH15" s="100"/>
      <c r="JI15" s="100"/>
      <c r="JJ15" s="100"/>
      <c r="JK15" s="100"/>
      <c r="JL15" s="100"/>
      <c r="JM15" s="100"/>
      <c r="JN15" s="100"/>
      <c r="JO15" s="100"/>
      <c r="JP15" s="100"/>
      <c r="JQ15" s="100"/>
      <c r="JR15" s="100"/>
      <c r="JS15" s="100"/>
      <c r="JT15" s="100"/>
      <c r="JU15" s="100"/>
      <c r="JV15" s="100"/>
      <c r="JW15" s="100"/>
      <c r="JX15" s="100"/>
      <c r="JY15" s="100"/>
      <c r="JZ15" s="100"/>
      <c r="KA15" s="100"/>
      <c r="KB15" s="100"/>
      <c r="KC15" s="100"/>
      <c r="KD15" s="100"/>
      <c r="KE15" s="100"/>
      <c r="KF15" s="100"/>
      <c r="KG15" s="100"/>
      <c r="KH15" s="100"/>
      <c r="KI15" s="100"/>
      <c r="KJ15" s="100"/>
      <c r="KK15" s="100"/>
      <c r="KL15" s="100"/>
      <c r="KM15" s="100"/>
      <c r="KN15" s="100"/>
      <c r="KO15" s="100"/>
      <c r="KP15" s="100"/>
      <c r="KQ15" s="100"/>
      <c r="KR15" s="100"/>
      <c r="KS15" s="100"/>
      <c r="KT15" s="100"/>
      <c r="KU15" s="100"/>
      <c r="KV15" s="100"/>
      <c r="KW15" s="100"/>
      <c r="KX15" s="100"/>
      <c r="KY15" s="100"/>
      <c r="KZ15" s="100"/>
      <c r="LA15" s="100"/>
      <c r="LB15" s="100"/>
      <c r="LC15" s="100"/>
      <c r="LD15" s="100"/>
      <c r="LE15" s="100"/>
      <c r="LF15" s="100"/>
      <c r="LG15" s="100"/>
      <c r="LH15" s="100"/>
      <c r="LI15" s="100"/>
      <c r="LJ15" s="100"/>
      <c r="LK15" s="100"/>
      <c r="LL15" s="100"/>
      <c r="LM15" s="100"/>
      <c r="LN15" s="100"/>
      <c r="LO15" s="100"/>
      <c r="LP15" s="100"/>
      <c r="LQ15" s="100"/>
      <c r="LR15" s="100"/>
      <c r="LS15" s="100"/>
      <c r="LT15" s="100"/>
      <c r="LU15" s="100"/>
      <c r="LV15" s="100"/>
      <c r="LW15" s="100"/>
      <c r="LX15" s="100"/>
      <c r="LY15" s="100"/>
      <c r="LZ15" s="100"/>
      <c r="MA15" s="100"/>
      <c r="MB15" s="100"/>
      <c r="MC15" s="100"/>
      <c r="MD15" s="100"/>
      <c r="ME15" s="100"/>
      <c r="MF15" s="100"/>
      <c r="MG15" s="100"/>
      <c r="MH15" s="100"/>
      <c r="MI15" s="100"/>
      <c r="MJ15" s="100"/>
      <c r="MK15" s="100"/>
      <c r="ML15" s="100"/>
      <c r="MM15" s="100"/>
      <c r="MN15" s="100"/>
      <c r="MO15" s="100"/>
      <c r="MP15" s="100"/>
      <c r="MQ15" s="100"/>
      <c r="MR15" s="100"/>
      <c r="MS15" s="100"/>
      <c r="MT15" s="100"/>
      <c r="MU15" s="100"/>
      <c r="MV15" s="100"/>
      <c r="MW15" s="100"/>
      <c r="MX15" s="100"/>
      <c r="MY15" s="100"/>
      <c r="MZ15" s="100"/>
      <c r="NA15" s="100"/>
      <c r="NB15" s="100"/>
      <c r="NC15" s="100"/>
      <c r="ND15" s="100"/>
      <c r="NE15" s="100"/>
      <c r="NF15" s="100"/>
      <c r="NG15" s="100"/>
      <c r="NH15" s="100"/>
      <c r="NI15" s="100"/>
      <c r="NJ15" s="100"/>
      <c r="NK15" s="100"/>
      <c r="NL15" s="100"/>
      <c r="NM15" s="100"/>
      <c r="NN15" s="100"/>
      <c r="NO15" s="100"/>
      <c r="NP15" s="100"/>
      <c r="NQ15" s="100"/>
      <c r="NR15" s="100"/>
      <c r="NS15" s="100"/>
      <c r="NT15" s="100"/>
      <c r="NU15" s="100"/>
      <c r="NV15" s="100"/>
      <c r="NW15" s="100"/>
      <c r="NX15" s="100"/>
      <c r="NY15" s="100"/>
      <c r="NZ15" s="100"/>
      <c r="OA15" s="100"/>
      <c r="OB15" s="100"/>
      <c r="OC15" s="100"/>
      <c r="OD15" s="100"/>
      <c r="OE15" s="100"/>
      <c r="OF15" s="100"/>
      <c r="OG15" s="100"/>
      <c r="OH15" s="100"/>
      <c r="OI15" s="100"/>
      <c r="OJ15" s="100"/>
      <c r="OK15" s="100"/>
      <c r="OL15" s="100"/>
      <c r="OM15" s="100"/>
      <c r="ON15" s="100"/>
      <c r="OO15" s="100"/>
      <c r="OP15" s="100"/>
      <c r="OQ15" s="100"/>
      <c r="OR15" s="100"/>
      <c r="OS15" s="100"/>
      <c r="OT15" s="100"/>
      <c r="OU15" s="100"/>
      <c r="OV15" s="100"/>
      <c r="OW15" s="100"/>
      <c r="OX15" s="100"/>
      <c r="OY15" s="100"/>
      <c r="OZ15" s="100"/>
      <c r="PA15" s="100"/>
      <c r="PB15" s="100"/>
      <c r="PC15" s="100"/>
      <c r="PD15" s="100"/>
      <c r="PE15" s="100"/>
      <c r="PF15" s="100"/>
      <c r="PG15" s="100"/>
      <c r="PH15" s="100"/>
      <c r="PI15" s="100"/>
      <c r="PJ15" s="100"/>
      <c r="PK15" s="100"/>
      <c r="PL15" s="100"/>
      <c r="PM15" s="100"/>
      <c r="PN15" s="100"/>
      <c r="PO15" s="100"/>
      <c r="PP15" s="100"/>
      <c r="PQ15" s="100"/>
      <c r="PR15" s="100"/>
      <c r="PS15" s="100"/>
      <c r="PT15" s="100"/>
      <c r="PU15" s="100"/>
      <c r="PV15" s="100"/>
      <c r="PW15" s="100"/>
      <c r="PX15" s="100"/>
      <c r="PY15" s="100"/>
      <c r="PZ15" s="100"/>
      <c r="QA15" s="100"/>
      <c r="QB15" s="100"/>
      <c r="QC15" s="100"/>
      <c r="QD15" s="100"/>
      <c r="QE15" s="100"/>
      <c r="QF15" s="100"/>
      <c r="QG15" s="100"/>
      <c r="QH15" s="100"/>
      <c r="QI15" s="100"/>
      <c r="QJ15" s="100">
        <v>25</v>
      </c>
      <c r="QK15" s="100"/>
      <c r="QL15" s="100"/>
      <c r="QM15" s="100"/>
      <c r="QN15" s="100"/>
      <c r="QO15" s="100"/>
      <c r="QP15" s="100"/>
      <c r="QQ15" s="100"/>
      <c r="QR15" s="100"/>
      <c r="QS15" s="100"/>
      <c r="QT15" s="100"/>
      <c r="QU15" s="100"/>
      <c r="QV15" s="100"/>
      <c r="QW15" s="100"/>
      <c r="QX15" s="100"/>
      <c r="QY15" s="100"/>
      <c r="QZ15" s="23">
        <f t="shared" si="0"/>
        <v>25</v>
      </c>
      <c r="RA15" s="47" t="s">
        <v>91</v>
      </c>
      <c r="RB15" s="97">
        <v>1390.5</v>
      </c>
      <c r="RC15" s="63">
        <f>RF15+RG15</f>
        <v>0</v>
      </c>
      <c r="RD15" s="63">
        <v>904.75</v>
      </c>
      <c r="RE15" s="97">
        <f t="shared" si="1"/>
        <v>1390.5</v>
      </c>
      <c r="RF15" s="107"/>
      <c r="RG15" s="107"/>
      <c r="RH15" s="83">
        <f t="shared" si="2"/>
        <v>1.536888643271622</v>
      </c>
      <c r="RI15" s="116" t="s">
        <v>540</v>
      </c>
    </row>
    <row r="16" spans="1:477" s="5" customFormat="1" ht="12.75" customHeight="1" x14ac:dyDescent="0.2">
      <c r="A16" s="48">
        <v>44945</v>
      </c>
      <c r="B16" s="81" t="s">
        <v>192</v>
      </c>
      <c r="C16" s="98"/>
      <c r="D16" s="98"/>
      <c r="E16" s="99"/>
      <c r="F16" s="99"/>
      <c r="G16" s="99"/>
      <c r="H16" s="99"/>
      <c r="I16" s="99"/>
      <c r="J16" s="99"/>
      <c r="K16" s="99"/>
      <c r="L16" s="99"/>
      <c r="M16" s="99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00"/>
      <c r="BZ16" s="100"/>
      <c r="CA16" s="100"/>
      <c r="CB16" s="100"/>
      <c r="CC16" s="100">
        <v>100</v>
      </c>
      <c r="CD16" s="100"/>
      <c r="CE16" s="100"/>
      <c r="CF16" s="100"/>
      <c r="CG16" s="100"/>
      <c r="CH16" s="100"/>
      <c r="CI16" s="100"/>
      <c r="CJ16" s="100"/>
      <c r="CK16" s="100"/>
      <c r="CL16" s="100"/>
      <c r="CM16" s="100"/>
      <c r="CN16" s="100"/>
      <c r="CO16" s="100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  <c r="DB16" s="100"/>
      <c r="DC16" s="100"/>
      <c r="DD16" s="100"/>
      <c r="DE16" s="100"/>
      <c r="DF16" s="100"/>
      <c r="DG16" s="100"/>
      <c r="DH16" s="100"/>
      <c r="DI16" s="100"/>
      <c r="DJ16" s="100"/>
      <c r="DK16" s="100"/>
      <c r="DL16" s="100"/>
      <c r="DM16" s="100"/>
      <c r="DN16" s="100"/>
      <c r="DO16" s="100"/>
      <c r="DP16" s="100"/>
      <c r="DQ16" s="100"/>
      <c r="DR16" s="100"/>
      <c r="DS16" s="100"/>
      <c r="DT16" s="100"/>
      <c r="DU16" s="100"/>
      <c r="DV16" s="100"/>
      <c r="DW16" s="100"/>
      <c r="DX16" s="100"/>
      <c r="DY16" s="100"/>
      <c r="DZ16" s="100"/>
      <c r="EA16" s="100"/>
      <c r="EB16" s="100"/>
      <c r="EC16" s="100"/>
      <c r="ED16" s="100"/>
      <c r="EE16" s="100"/>
      <c r="EF16" s="100"/>
      <c r="EG16" s="100"/>
      <c r="EH16" s="100"/>
      <c r="EI16" s="100"/>
      <c r="EJ16" s="100"/>
      <c r="EK16" s="100"/>
      <c r="EL16" s="100"/>
      <c r="EM16" s="100"/>
      <c r="EN16" s="100"/>
      <c r="EO16" s="100"/>
      <c r="EP16" s="100"/>
      <c r="EQ16" s="100"/>
      <c r="ER16" s="100"/>
      <c r="ES16" s="100"/>
      <c r="ET16" s="100"/>
      <c r="EU16" s="100"/>
      <c r="EV16" s="100"/>
      <c r="EW16" s="100"/>
      <c r="EX16" s="100"/>
      <c r="EY16" s="100"/>
      <c r="EZ16" s="100"/>
      <c r="FA16" s="100"/>
      <c r="FB16" s="100"/>
      <c r="FC16" s="100"/>
      <c r="FD16" s="100"/>
      <c r="FE16" s="100"/>
      <c r="FF16" s="100"/>
      <c r="FG16" s="100"/>
      <c r="FH16" s="100"/>
      <c r="FI16" s="100"/>
      <c r="FJ16" s="100"/>
      <c r="FK16" s="100"/>
      <c r="FL16" s="100"/>
      <c r="FM16" s="100"/>
      <c r="FN16" s="100"/>
      <c r="FO16" s="100"/>
      <c r="FP16" s="100"/>
      <c r="FQ16" s="100"/>
      <c r="FR16" s="100"/>
      <c r="FS16" s="100"/>
      <c r="FT16" s="100"/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  <c r="IX16" s="100"/>
      <c r="IY16" s="100"/>
      <c r="IZ16" s="100"/>
      <c r="JA16" s="100"/>
      <c r="JB16" s="100"/>
      <c r="JC16" s="100"/>
      <c r="JD16" s="100"/>
      <c r="JE16" s="100"/>
      <c r="JF16" s="100"/>
      <c r="JG16" s="100"/>
      <c r="JH16" s="100"/>
      <c r="JI16" s="100"/>
      <c r="JJ16" s="100"/>
      <c r="JK16" s="100"/>
      <c r="JL16" s="100"/>
      <c r="JM16" s="100"/>
      <c r="JN16" s="100"/>
      <c r="JO16" s="100"/>
      <c r="JP16" s="100"/>
      <c r="JQ16" s="100"/>
      <c r="JR16" s="100"/>
      <c r="JS16" s="100"/>
      <c r="JT16" s="100"/>
      <c r="JU16" s="100"/>
      <c r="JV16" s="100"/>
      <c r="JW16" s="100"/>
      <c r="JX16" s="100"/>
      <c r="JY16" s="100"/>
      <c r="JZ16" s="100"/>
      <c r="KA16" s="100"/>
      <c r="KB16" s="100"/>
      <c r="KC16" s="100"/>
      <c r="KD16" s="100"/>
      <c r="KE16" s="100"/>
      <c r="KF16" s="100"/>
      <c r="KG16" s="100"/>
      <c r="KH16" s="100"/>
      <c r="KI16" s="100"/>
      <c r="KJ16" s="100"/>
      <c r="KK16" s="100"/>
      <c r="KL16" s="100"/>
      <c r="KM16" s="100"/>
      <c r="KN16" s="100"/>
      <c r="KO16" s="100"/>
      <c r="KP16" s="100"/>
      <c r="KQ16" s="100"/>
      <c r="KR16" s="100"/>
      <c r="KS16" s="100"/>
      <c r="KT16" s="100"/>
      <c r="KU16" s="100"/>
      <c r="KV16" s="100"/>
      <c r="KW16" s="100"/>
      <c r="KX16" s="100"/>
      <c r="KY16" s="100"/>
      <c r="KZ16" s="100"/>
      <c r="LA16" s="100"/>
      <c r="LB16" s="100"/>
      <c r="LC16" s="100"/>
      <c r="LD16" s="100"/>
      <c r="LE16" s="100"/>
      <c r="LF16" s="100"/>
      <c r="LG16" s="100"/>
      <c r="LH16" s="100"/>
      <c r="LI16" s="100"/>
      <c r="LJ16" s="100"/>
      <c r="LK16" s="100"/>
      <c r="LL16" s="100"/>
      <c r="LM16" s="100"/>
      <c r="LN16" s="100"/>
      <c r="LO16" s="100"/>
      <c r="LP16" s="100"/>
      <c r="LQ16" s="100"/>
      <c r="LR16" s="100"/>
      <c r="LS16" s="100"/>
      <c r="LT16" s="100"/>
      <c r="LU16" s="100"/>
      <c r="LV16" s="100"/>
      <c r="LW16" s="100"/>
      <c r="LX16" s="100"/>
      <c r="LY16" s="100"/>
      <c r="LZ16" s="100"/>
      <c r="MA16" s="100"/>
      <c r="MB16" s="100"/>
      <c r="MC16" s="100"/>
      <c r="MD16" s="100"/>
      <c r="ME16" s="100"/>
      <c r="MF16" s="100"/>
      <c r="MG16" s="100"/>
      <c r="MH16" s="100"/>
      <c r="MI16" s="100"/>
      <c r="MJ16" s="100"/>
      <c r="MK16" s="100"/>
      <c r="ML16" s="100"/>
      <c r="MM16" s="100"/>
      <c r="MN16" s="100"/>
      <c r="MO16" s="100"/>
      <c r="MP16" s="100"/>
      <c r="MQ16" s="100"/>
      <c r="MR16" s="100"/>
      <c r="MS16" s="100"/>
      <c r="MT16" s="100"/>
      <c r="MU16" s="100"/>
      <c r="MV16" s="100"/>
      <c r="MW16" s="100"/>
      <c r="MX16" s="100"/>
      <c r="MY16" s="100"/>
      <c r="MZ16" s="100"/>
      <c r="NA16" s="100"/>
      <c r="NB16" s="100"/>
      <c r="NC16" s="100"/>
      <c r="ND16" s="100"/>
      <c r="NE16" s="100"/>
      <c r="NF16" s="100"/>
      <c r="NG16" s="100"/>
      <c r="NH16" s="100"/>
      <c r="NI16" s="100"/>
      <c r="NJ16" s="100"/>
      <c r="NK16" s="100"/>
      <c r="NL16" s="100"/>
      <c r="NM16" s="100"/>
      <c r="NN16" s="100"/>
      <c r="NO16" s="100"/>
      <c r="NP16" s="100"/>
      <c r="NQ16" s="100"/>
      <c r="NR16" s="100"/>
      <c r="NS16" s="100"/>
      <c r="NT16" s="100"/>
      <c r="NU16" s="100"/>
      <c r="NV16" s="100"/>
      <c r="NW16" s="100"/>
      <c r="NX16" s="100"/>
      <c r="NY16" s="100"/>
      <c r="NZ16" s="100"/>
      <c r="OA16" s="100"/>
      <c r="OB16" s="100"/>
      <c r="OC16" s="100"/>
      <c r="OD16" s="100"/>
      <c r="OE16" s="100"/>
      <c r="OF16" s="100"/>
      <c r="OG16" s="100"/>
      <c r="OH16" s="100"/>
      <c r="OI16" s="100"/>
      <c r="OJ16" s="100"/>
      <c r="OK16" s="100"/>
      <c r="OL16" s="100"/>
      <c r="OM16" s="100"/>
      <c r="ON16" s="100"/>
      <c r="OO16" s="100"/>
      <c r="OP16" s="100"/>
      <c r="OQ16" s="100"/>
      <c r="OR16" s="100"/>
      <c r="OS16" s="100"/>
      <c r="OT16" s="100"/>
      <c r="OU16" s="100"/>
      <c r="OV16" s="100"/>
      <c r="OW16" s="100"/>
      <c r="OX16" s="100"/>
      <c r="OY16" s="100"/>
      <c r="OZ16" s="100"/>
      <c r="PA16" s="100"/>
      <c r="PB16" s="100"/>
      <c r="PC16" s="100"/>
      <c r="PD16" s="100"/>
      <c r="PE16" s="100"/>
      <c r="PF16" s="100"/>
      <c r="PG16" s="100"/>
      <c r="PH16" s="100"/>
      <c r="PI16" s="100"/>
      <c r="PJ16" s="100"/>
      <c r="PK16" s="100"/>
      <c r="PL16" s="100"/>
      <c r="PM16" s="100"/>
      <c r="PN16" s="100"/>
      <c r="PO16" s="100"/>
      <c r="PP16" s="100"/>
      <c r="PQ16" s="100"/>
      <c r="PR16" s="100"/>
      <c r="PS16" s="100"/>
      <c r="PT16" s="100"/>
      <c r="PU16" s="100"/>
      <c r="PV16" s="100"/>
      <c r="PW16" s="100"/>
      <c r="PX16" s="100"/>
      <c r="PY16" s="100"/>
      <c r="PZ16" s="100"/>
      <c r="QA16" s="100"/>
      <c r="QB16" s="100"/>
      <c r="QC16" s="100"/>
      <c r="QD16" s="100"/>
      <c r="QE16" s="100"/>
      <c r="QF16" s="100"/>
      <c r="QG16" s="100"/>
      <c r="QH16" s="100"/>
      <c r="QI16" s="100"/>
      <c r="QJ16" s="100"/>
      <c r="QK16" s="100"/>
      <c r="QL16" s="100"/>
      <c r="QM16" s="100"/>
      <c r="QN16" s="100"/>
      <c r="QO16" s="100"/>
      <c r="QP16" s="100"/>
      <c r="QQ16" s="100"/>
      <c r="QR16" s="100"/>
      <c r="QS16" s="100"/>
      <c r="QT16" s="100"/>
      <c r="QU16" s="100"/>
      <c r="QV16" s="100"/>
      <c r="QW16" s="100"/>
      <c r="QX16" s="100"/>
      <c r="QY16" s="100"/>
      <c r="QZ16" s="23">
        <f t="shared" si="0"/>
        <v>100</v>
      </c>
      <c r="RA16" s="47" t="s">
        <v>36</v>
      </c>
      <c r="RB16" s="97">
        <v>5224.43</v>
      </c>
      <c r="RC16" s="63">
        <f>RF16+RG16</f>
        <v>0</v>
      </c>
      <c r="RD16" s="63">
        <v>3185</v>
      </c>
      <c r="RE16" s="97">
        <f t="shared" si="1"/>
        <v>5224.43</v>
      </c>
      <c r="RF16" s="107"/>
      <c r="RG16" s="107"/>
      <c r="RH16" s="83">
        <f t="shared" si="2"/>
        <v>1.6403233908948196</v>
      </c>
      <c r="RI16" s="116" t="s">
        <v>541</v>
      </c>
    </row>
    <row r="17" spans="1:477" s="5" customFormat="1" ht="12.75" customHeight="1" x14ac:dyDescent="0.2">
      <c r="A17" s="48">
        <v>44945</v>
      </c>
      <c r="B17" s="81" t="s">
        <v>533</v>
      </c>
      <c r="C17" s="98"/>
      <c r="D17" s="98"/>
      <c r="E17" s="99"/>
      <c r="F17" s="99"/>
      <c r="G17" s="99"/>
      <c r="H17" s="99"/>
      <c r="I17" s="99"/>
      <c r="J17" s="99"/>
      <c r="K17" s="99"/>
      <c r="L17" s="99"/>
      <c r="M17" s="99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00">
        <v>20</v>
      </c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100"/>
      <c r="BZ17" s="100"/>
      <c r="CA17" s="100"/>
      <c r="CB17" s="100"/>
      <c r="CC17" s="100"/>
      <c r="CD17" s="100"/>
      <c r="CE17" s="100"/>
      <c r="CF17" s="100"/>
      <c r="CG17" s="100"/>
      <c r="CH17" s="100"/>
      <c r="CI17" s="100"/>
      <c r="CJ17" s="100"/>
      <c r="CK17" s="100"/>
      <c r="CL17" s="100"/>
      <c r="CM17" s="100"/>
      <c r="CN17" s="10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  <c r="DB17" s="100"/>
      <c r="DC17" s="100"/>
      <c r="DD17" s="100"/>
      <c r="DE17" s="100"/>
      <c r="DF17" s="100"/>
      <c r="DG17" s="100"/>
      <c r="DH17" s="100"/>
      <c r="DI17" s="100"/>
      <c r="DJ17" s="100"/>
      <c r="DK17" s="100"/>
      <c r="DL17" s="100"/>
      <c r="DM17" s="100"/>
      <c r="DN17" s="100"/>
      <c r="DO17" s="100"/>
      <c r="DP17" s="100"/>
      <c r="DQ17" s="100"/>
      <c r="DR17" s="100"/>
      <c r="DS17" s="100"/>
      <c r="DT17" s="100"/>
      <c r="DU17" s="100"/>
      <c r="DV17" s="100"/>
      <c r="DW17" s="100"/>
      <c r="DX17" s="100"/>
      <c r="DY17" s="100"/>
      <c r="DZ17" s="100"/>
      <c r="EA17" s="100"/>
      <c r="EB17" s="100"/>
      <c r="EC17" s="100"/>
      <c r="ED17" s="100"/>
      <c r="EE17" s="100"/>
      <c r="EF17" s="100"/>
      <c r="EG17" s="100"/>
      <c r="EH17" s="100"/>
      <c r="EI17" s="100"/>
      <c r="EJ17" s="100"/>
      <c r="EK17" s="100"/>
      <c r="EL17" s="100"/>
      <c r="EM17" s="100"/>
      <c r="EN17" s="100"/>
      <c r="EO17" s="100"/>
      <c r="EP17" s="100"/>
      <c r="EQ17" s="100"/>
      <c r="ER17" s="100"/>
      <c r="ES17" s="100"/>
      <c r="ET17" s="100"/>
      <c r="EU17" s="100"/>
      <c r="EV17" s="100"/>
      <c r="EW17" s="100"/>
      <c r="EX17" s="100"/>
      <c r="EY17" s="100"/>
      <c r="EZ17" s="100"/>
      <c r="FA17" s="100"/>
      <c r="FB17" s="100"/>
      <c r="FC17" s="100"/>
      <c r="FD17" s="100"/>
      <c r="FE17" s="100"/>
      <c r="FF17" s="100"/>
      <c r="FG17" s="100"/>
      <c r="FH17" s="100"/>
      <c r="FI17" s="100"/>
      <c r="FJ17" s="100"/>
      <c r="FK17" s="100"/>
      <c r="FL17" s="100"/>
      <c r="FM17" s="100"/>
      <c r="FN17" s="100"/>
      <c r="FO17" s="100"/>
      <c r="FP17" s="100"/>
      <c r="FQ17" s="100"/>
      <c r="FR17" s="100"/>
      <c r="FS17" s="100"/>
      <c r="FT17" s="100"/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  <c r="IX17" s="100"/>
      <c r="IY17" s="100"/>
      <c r="IZ17" s="100"/>
      <c r="JA17" s="100"/>
      <c r="JB17" s="100"/>
      <c r="JC17" s="100"/>
      <c r="JD17" s="100"/>
      <c r="JE17" s="100"/>
      <c r="JF17" s="100"/>
      <c r="JG17" s="100"/>
      <c r="JH17" s="100"/>
      <c r="JI17" s="100"/>
      <c r="JJ17" s="100"/>
      <c r="JK17" s="100"/>
      <c r="JL17" s="100"/>
      <c r="JM17" s="100"/>
      <c r="JN17" s="100"/>
      <c r="JO17" s="100"/>
      <c r="JP17" s="100"/>
      <c r="JQ17" s="100"/>
      <c r="JR17" s="100"/>
      <c r="JS17" s="100"/>
      <c r="JT17" s="100"/>
      <c r="JU17" s="100"/>
      <c r="JV17" s="100"/>
      <c r="JW17" s="100"/>
      <c r="JX17" s="100"/>
      <c r="JY17" s="100"/>
      <c r="JZ17" s="100"/>
      <c r="KA17" s="100"/>
      <c r="KB17" s="100"/>
      <c r="KC17" s="100"/>
      <c r="KD17" s="100"/>
      <c r="KE17" s="100"/>
      <c r="KF17" s="100"/>
      <c r="KG17" s="100"/>
      <c r="KH17" s="100"/>
      <c r="KI17" s="100"/>
      <c r="KJ17" s="100"/>
      <c r="KK17" s="100"/>
      <c r="KL17" s="100"/>
      <c r="KM17" s="100"/>
      <c r="KN17" s="100"/>
      <c r="KO17" s="100"/>
      <c r="KP17" s="100"/>
      <c r="KQ17" s="100"/>
      <c r="KR17" s="100"/>
      <c r="KS17" s="100"/>
      <c r="KT17" s="100"/>
      <c r="KU17" s="100"/>
      <c r="KV17" s="100"/>
      <c r="KW17" s="100"/>
      <c r="KX17" s="100"/>
      <c r="KY17" s="100"/>
      <c r="KZ17" s="100">
        <v>10</v>
      </c>
      <c r="LA17" s="100"/>
      <c r="LB17" s="100"/>
      <c r="LC17" s="100"/>
      <c r="LD17" s="100"/>
      <c r="LE17" s="100"/>
      <c r="LF17" s="100"/>
      <c r="LG17" s="100"/>
      <c r="LH17" s="100"/>
      <c r="LI17" s="100"/>
      <c r="LJ17" s="100"/>
      <c r="LK17" s="100"/>
      <c r="LL17" s="100"/>
      <c r="LM17" s="100"/>
      <c r="LN17" s="100"/>
      <c r="LO17" s="100"/>
      <c r="LP17" s="100"/>
      <c r="LQ17" s="100"/>
      <c r="LR17" s="100"/>
      <c r="LS17" s="100"/>
      <c r="LT17" s="100"/>
      <c r="LU17" s="100"/>
      <c r="LV17" s="100"/>
      <c r="LW17" s="100"/>
      <c r="LX17" s="100"/>
      <c r="LY17" s="100"/>
      <c r="LZ17" s="100"/>
      <c r="MA17" s="100"/>
      <c r="MB17" s="100"/>
      <c r="MC17" s="100"/>
      <c r="MD17" s="100"/>
      <c r="ME17" s="100"/>
      <c r="MF17" s="100"/>
      <c r="MG17" s="100"/>
      <c r="MH17" s="100"/>
      <c r="MI17" s="100"/>
      <c r="MJ17" s="100"/>
      <c r="MK17" s="100"/>
      <c r="ML17" s="100"/>
      <c r="MM17" s="100"/>
      <c r="MN17" s="100"/>
      <c r="MO17" s="100"/>
      <c r="MP17" s="100"/>
      <c r="MQ17" s="100"/>
      <c r="MR17" s="100"/>
      <c r="MS17" s="100"/>
      <c r="MT17" s="100"/>
      <c r="MU17" s="100"/>
      <c r="MV17" s="100"/>
      <c r="MW17" s="100"/>
      <c r="MX17" s="100"/>
      <c r="MY17" s="100"/>
      <c r="MZ17" s="100"/>
      <c r="NA17" s="100"/>
      <c r="NB17" s="100"/>
      <c r="NC17" s="100"/>
      <c r="ND17" s="100"/>
      <c r="NE17" s="100"/>
      <c r="NF17" s="100"/>
      <c r="NG17" s="100"/>
      <c r="NH17" s="100"/>
      <c r="NI17" s="100"/>
      <c r="NJ17" s="100"/>
      <c r="NK17" s="100"/>
      <c r="NL17" s="100"/>
      <c r="NM17" s="100"/>
      <c r="NN17" s="100"/>
      <c r="NO17" s="100"/>
      <c r="NP17" s="100"/>
      <c r="NQ17" s="100"/>
      <c r="NR17" s="100"/>
      <c r="NS17" s="100"/>
      <c r="NT17" s="100"/>
      <c r="NU17" s="100"/>
      <c r="NV17" s="100"/>
      <c r="NW17" s="100"/>
      <c r="NX17" s="100"/>
      <c r="NY17" s="100"/>
      <c r="NZ17" s="100"/>
      <c r="OA17" s="100"/>
      <c r="OB17" s="100"/>
      <c r="OC17" s="100"/>
      <c r="OD17" s="100"/>
      <c r="OE17" s="100"/>
      <c r="OF17" s="100"/>
      <c r="OG17" s="100"/>
      <c r="OH17" s="100"/>
      <c r="OI17" s="100"/>
      <c r="OJ17" s="100"/>
      <c r="OK17" s="100"/>
      <c r="OL17" s="100"/>
      <c r="OM17" s="100"/>
      <c r="ON17" s="100"/>
      <c r="OO17" s="100"/>
      <c r="OP17" s="100"/>
      <c r="OQ17" s="100"/>
      <c r="OR17" s="100"/>
      <c r="OS17" s="100"/>
      <c r="OT17" s="100"/>
      <c r="OU17" s="100"/>
      <c r="OV17" s="100"/>
      <c r="OW17" s="100"/>
      <c r="OX17" s="100"/>
      <c r="OY17" s="100"/>
      <c r="OZ17" s="100"/>
      <c r="PA17" s="100"/>
      <c r="PB17" s="100"/>
      <c r="PC17" s="100"/>
      <c r="PD17" s="100"/>
      <c r="PE17" s="100"/>
      <c r="PF17" s="100"/>
      <c r="PG17" s="100"/>
      <c r="PH17" s="100"/>
      <c r="PI17" s="100"/>
      <c r="PJ17" s="100"/>
      <c r="PK17" s="100"/>
      <c r="PL17" s="100"/>
      <c r="PM17" s="100"/>
      <c r="PN17" s="100"/>
      <c r="PO17" s="100"/>
      <c r="PP17" s="100"/>
      <c r="PQ17" s="100"/>
      <c r="PR17" s="100"/>
      <c r="PS17" s="100"/>
      <c r="PT17" s="100"/>
      <c r="PU17" s="100"/>
      <c r="PV17" s="100"/>
      <c r="PW17" s="100"/>
      <c r="PX17" s="100"/>
      <c r="PY17" s="100"/>
      <c r="PZ17" s="100"/>
      <c r="QA17" s="100"/>
      <c r="QB17" s="100"/>
      <c r="QC17" s="100"/>
      <c r="QD17" s="100"/>
      <c r="QE17" s="100"/>
      <c r="QF17" s="100"/>
      <c r="QG17" s="100"/>
      <c r="QH17" s="100"/>
      <c r="QI17" s="100"/>
      <c r="QJ17" s="100"/>
      <c r="QK17" s="100"/>
      <c r="QL17" s="100"/>
      <c r="QM17" s="100"/>
      <c r="QN17" s="100"/>
      <c r="QO17" s="100"/>
      <c r="QP17" s="100"/>
      <c r="QQ17" s="100"/>
      <c r="QR17" s="100"/>
      <c r="QS17" s="100"/>
      <c r="QT17" s="100"/>
      <c r="QU17" s="100"/>
      <c r="QV17" s="100"/>
      <c r="QW17" s="100"/>
      <c r="QX17" s="100"/>
      <c r="QY17" s="100"/>
      <c r="QZ17" s="23">
        <f t="shared" si="0"/>
        <v>30</v>
      </c>
      <c r="RA17" s="47" t="s">
        <v>36</v>
      </c>
      <c r="RB17" s="97">
        <v>1443.6</v>
      </c>
      <c r="RC17" s="63">
        <f>RF17</f>
        <v>1443.6</v>
      </c>
      <c r="RD17" s="63">
        <v>793.90000000000009</v>
      </c>
      <c r="RE17" s="97">
        <f t="shared" si="1"/>
        <v>0</v>
      </c>
      <c r="RF17" s="107">
        <v>1443.6</v>
      </c>
      <c r="RG17" s="107"/>
      <c r="RH17" s="83">
        <f t="shared" si="2"/>
        <v>1.8183650333795185</v>
      </c>
      <c r="RI17" s="116"/>
    </row>
    <row r="18" spans="1:477" s="5" customFormat="1" ht="12.75" customHeight="1" x14ac:dyDescent="0.2">
      <c r="A18" s="48">
        <v>44945</v>
      </c>
      <c r="B18" s="81" t="s">
        <v>534</v>
      </c>
      <c r="C18" s="98"/>
      <c r="D18" s="98"/>
      <c r="E18" s="99"/>
      <c r="F18" s="99"/>
      <c r="G18" s="99"/>
      <c r="H18" s="99"/>
      <c r="I18" s="99"/>
      <c r="J18" s="99"/>
      <c r="K18" s="99"/>
      <c r="L18" s="99"/>
      <c r="M18" s="99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  <c r="AU18" s="100"/>
      <c r="AV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00"/>
      <c r="BQ18" s="100"/>
      <c r="BR18" s="100"/>
      <c r="BS18" s="100"/>
      <c r="BT18" s="100"/>
      <c r="BU18" s="100"/>
      <c r="BV18" s="100"/>
      <c r="BW18" s="100"/>
      <c r="BX18" s="100"/>
      <c r="BY18" s="100"/>
      <c r="BZ18" s="100"/>
      <c r="CA18" s="100"/>
      <c r="CB18" s="100"/>
      <c r="CC18" s="100"/>
      <c r="CD18" s="100"/>
      <c r="CE18" s="100"/>
      <c r="CF18" s="100"/>
      <c r="CG18" s="100"/>
      <c r="CH18" s="100"/>
      <c r="CI18" s="100"/>
      <c r="CJ18" s="100"/>
      <c r="CK18" s="100"/>
      <c r="CL18" s="100"/>
      <c r="CM18" s="100"/>
      <c r="CN18" s="10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  <c r="DB18" s="100"/>
      <c r="DC18" s="100"/>
      <c r="DD18" s="100"/>
      <c r="DE18" s="100"/>
      <c r="DF18" s="100"/>
      <c r="DG18" s="100"/>
      <c r="DH18" s="100"/>
      <c r="DI18" s="100"/>
      <c r="DJ18" s="100"/>
      <c r="DK18" s="100"/>
      <c r="DL18" s="100"/>
      <c r="DM18" s="100"/>
      <c r="DN18" s="100"/>
      <c r="DO18" s="100"/>
      <c r="DP18" s="100"/>
      <c r="DQ18" s="100"/>
      <c r="DR18" s="100"/>
      <c r="DS18" s="100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  <c r="FB18" s="100"/>
      <c r="FC18" s="100"/>
      <c r="FD18" s="100"/>
      <c r="FE18" s="100"/>
      <c r="FF18" s="100"/>
      <c r="FG18" s="100"/>
      <c r="FH18" s="100"/>
      <c r="FI18" s="100"/>
      <c r="FJ18" s="100"/>
      <c r="FK18" s="100"/>
      <c r="FL18" s="100"/>
      <c r="FM18" s="100"/>
      <c r="FN18" s="100"/>
      <c r="FO18" s="100"/>
      <c r="FP18" s="100"/>
      <c r="FQ18" s="100"/>
      <c r="FR18" s="100"/>
      <c r="FS18" s="100"/>
      <c r="FT18" s="100"/>
      <c r="FU18" s="100"/>
      <c r="FV18" s="100"/>
      <c r="FW18" s="100"/>
      <c r="FX18" s="100"/>
      <c r="FY18" s="100"/>
      <c r="FZ18" s="100"/>
      <c r="GA18" s="100"/>
      <c r="GB18" s="100"/>
      <c r="GC18" s="100"/>
      <c r="GD18" s="100">
        <v>30</v>
      </c>
      <c r="GE18" s="100"/>
      <c r="GF18" s="100"/>
      <c r="GG18" s="100"/>
      <c r="GH18" s="100"/>
      <c r="GI18" s="100"/>
      <c r="GJ18" s="100"/>
      <c r="GK18" s="100"/>
      <c r="GL18" s="100"/>
      <c r="GM18" s="100"/>
      <c r="GN18" s="100"/>
      <c r="GO18" s="100"/>
      <c r="GP18" s="100"/>
      <c r="GQ18" s="100"/>
      <c r="GR18" s="100"/>
      <c r="GS18" s="100"/>
      <c r="GT18" s="100"/>
      <c r="GU18" s="100"/>
      <c r="GV18" s="100"/>
      <c r="GW18" s="100"/>
      <c r="GX18" s="100"/>
      <c r="GY18" s="100"/>
      <c r="GZ18" s="100"/>
      <c r="HA18" s="100"/>
      <c r="HB18" s="100"/>
      <c r="HC18" s="100"/>
      <c r="HD18" s="100"/>
      <c r="HE18" s="100"/>
      <c r="HF18" s="100"/>
      <c r="HG18" s="100"/>
      <c r="HH18" s="100"/>
      <c r="HI18" s="100"/>
      <c r="HJ18" s="100"/>
      <c r="HK18" s="100"/>
      <c r="HL18" s="100"/>
      <c r="HM18" s="100"/>
      <c r="HN18" s="100"/>
      <c r="HO18" s="100"/>
      <c r="HP18" s="100"/>
      <c r="HQ18" s="100"/>
      <c r="HR18" s="100"/>
      <c r="HS18" s="100"/>
      <c r="HT18" s="100"/>
      <c r="HU18" s="100"/>
      <c r="HV18" s="100"/>
      <c r="HW18" s="100"/>
      <c r="HX18" s="100"/>
      <c r="HY18" s="100"/>
      <c r="HZ18" s="100"/>
      <c r="IA18" s="100"/>
      <c r="IB18" s="100"/>
      <c r="IC18" s="100"/>
      <c r="ID18" s="100"/>
      <c r="IE18" s="100"/>
      <c r="IF18" s="100"/>
      <c r="IG18" s="100"/>
      <c r="IH18" s="100"/>
      <c r="II18" s="100"/>
      <c r="IJ18" s="100"/>
      <c r="IK18" s="100"/>
      <c r="IL18" s="100"/>
      <c r="IM18" s="100"/>
      <c r="IN18" s="100"/>
      <c r="IO18" s="100"/>
      <c r="IP18" s="100"/>
      <c r="IQ18" s="100"/>
      <c r="IR18" s="100"/>
      <c r="IS18" s="100"/>
      <c r="IT18" s="100"/>
      <c r="IU18" s="100"/>
      <c r="IV18" s="100"/>
      <c r="IW18" s="100"/>
      <c r="IX18" s="100"/>
      <c r="IY18" s="100"/>
      <c r="IZ18" s="100"/>
      <c r="JA18" s="100"/>
      <c r="JB18" s="100"/>
      <c r="JC18" s="100"/>
      <c r="JD18" s="100"/>
      <c r="JE18" s="100"/>
      <c r="JF18" s="100"/>
      <c r="JG18" s="100"/>
      <c r="JH18" s="100"/>
      <c r="JI18" s="100"/>
      <c r="JJ18" s="100"/>
      <c r="JK18" s="100"/>
      <c r="JL18" s="100"/>
      <c r="JM18" s="100"/>
      <c r="JN18" s="100"/>
      <c r="JO18" s="100"/>
      <c r="JP18" s="100"/>
      <c r="JQ18" s="100"/>
      <c r="JR18" s="100"/>
      <c r="JS18" s="100"/>
      <c r="JT18" s="100"/>
      <c r="JU18" s="100"/>
      <c r="JV18" s="100"/>
      <c r="JW18" s="100"/>
      <c r="JX18" s="100"/>
      <c r="JY18" s="100"/>
      <c r="JZ18" s="100"/>
      <c r="KA18" s="100"/>
      <c r="KB18" s="100"/>
      <c r="KC18" s="100"/>
      <c r="KD18" s="100"/>
      <c r="KE18" s="100"/>
      <c r="KF18" s="100"/>
      <c r="KG18" s="100"/>
      <c r="KH18" s="100"/>
      <c r="KI18" s="100"/>
      <c r="KJ18" s="100"/>
      <c r="KK18" s="100"/>
      <c r="KL18" s="100"/>
      <c r="KM18" s="100"/>
      <c r="KN18" s="100"/>
      <c r="KO18" s="100"/>
      <c r="KP18" s="100"/>
      <c r="KQ18" s="100"/>
      <c r="KR18" s="100"/>
      <c r="KS18" s="100"/>
      <c r="KT18" s="100"/>
      <c r="KU18" s="100"/>
      <c r="KV18" s="100"/>
      <c r="KW18" s="100"/>
      <c r="KX18" s="100"/>
      <c r="KY18" s="100"/>
      <c r="KZ18" s="100"/>
      <c r="LA18" s="100"/>
      <c r="LB18" s="100"/>
      <c r="LC18" s="100"/>
      <c r="LD18" s="100"/>
      <c r="LE18" s="100"/>
      <c r="LF18" s="100"/>
      <c r="LG18" s="100"/>
      <c r="LH18" s="100"/>
      <c r="LI18" s="100"/>
      <c r="LJ18" s="100"/>
      <c r="LK18" s="100"/>
      <c r="LL18" s="100"/>
      <c r="LM18" s="100"/>
      <c r="LN18" s="100"/>
      <c r="LO18" s="100"/>
      <c r="LP18" s="100"/>
      <c r="LQ18" s="100"/>
      <c r="LR18" s="100"/>
      <c r="LS18" s="100"/>
      <c r="LT18" s="100"/>
      <c r="LU18" s="100"/>
      <c r="LV18" s="100"/>
      <c r="LW18" s="100"/>
      <c r="LX18" s="100"/>
      <c r="LY18" s="100"/>
      <c r="LZ18" s="100"/>
      <c r="MA18" s="100"/>
      <c r="MB18" s="100"/>
      <c r="MC18" s="100"/>
      <c r="MD18" s="100"/>
      <c r="ME18" s="100"/>
      <c r="MF18" s="100"/>
      <c r="MG18" s="100"/>
      <c r="MH18" s="100"/>
      <c r="MI18" s="100"/>
      <c r="MJ18" s="100"/>
      <c r="MK18" s="100"/>
      <c r="ML18" s="100"/>
      <c r="MM18" s="100"/>
      <c r="MN18" s="100"/>
      <c r="MO18" s="100"/>
      <c r="MP18" s="100"/>
      <c r="MQ18" s="100"/>
      <c r="MR18" s="100"/>
      <c r="MS18" s="100"/>
      <c r="MT18" s="100"/>
      <c r="MU18" s="100"/>
      <c r="MV18" s="100"/>
      <c r="MW18" s="100"/>
      <c r="MX18" s="100"/>
      <c r="MY18" s="100"/>
      <c r="MZ18" s="100"/>
      <c r="NA18" s="100"/>
      <c r="NB18" s="100"/>
      <c r="NC18" s="100"/>
      <c r="ND18" s="100"/>
      <c r="NE18" s="100"/>
      <c r="NF18" s="100"/>
      <c r="NG18" s="100"/>
      <c r="NH18" s="100"/>
      <c r="NI18" s="100"/>
      <c r="NJ18" s="100"/>
      <c r="NK18" s="100"/>
      <c r="NL18" s="100"/>
      <c r="NM18" s="100"/>
      <c r="NN18" s="100"/>
      <c r="NO18" s="100"/>
      <c r="NP18" s="100"/>
      <c r="NQ18" s="100"/>
      <c r="NR18" s="100"/>
      <c r="NS18" s="100"/>
      <c r="NT18" s="100"/>
      <c r="NU18" s="100"/>
      <c r="NV18" s="100"/>
      <c r="NW18" s="100"/>
      <c r="NX18" s="100"/>
      <c r="NY18" s="100"/>
      <c r="NZ18" s="100"/>
      <c r="OA18" s="100"/>
      <c r="OB18" s="100"/>
      <c r="OC18" s="100"/>
      <c r="OD18" s="100"/>
      <c r="OE18" s="100"/>
      <c r="OF18" s="100"/>
      <c r="OG18" s="100"/>
      <c r="OH18" s="100"/>
      <c r="OI18" s="100"/>
      <c r="OJ18" s="100"/>
      <c r="OK18" s="100"/>
      <c r="OL18" s="100"/>
      <c r="OM18" s="100"/>
      <c r="ON18" s="100"/>
      <c r="OO18" s="100"/>
      <c r="OP18" s="100"/>
      <c r="OQ18" s="100"/>
      <c r="OR18" s="100"/>
      <c r="OS18" s="100"/>
      <c r="OT18" s="100"/>
      <c r="OU18" s="100"/>
      <c r="OV18" s="100"/>
      <c r="OW18" s="100"/>
      <c r="OX18" s="100"/>
      <c r="OY18" s="100"/>
      <c r="OZ18" s="100"/>
      <c r="PA18" s="100"/>
      <c r="PB18" s="100"/>
      <c r="PC18" s="100"/>
      <c r="PD18" s="100"/>
      <c r="PE18" s="100"/>
      <c r="PF18" s="100"/>
      <c r="PG18" s="100"/>
      <c r="PH18" s="100"/>
      <c r="PI18" s="100"/>
      <c r="PJ18" s="100"/>
      <c r="PK18" s="100"/>
      <c r="PL18" s="100"/>
      <c r="PM18" s="100"/>
      <c r="PN18" s="100"/>
      <c r="PO18" s="100"/>
      <c r="PP18" s="100"/>
      <c r="PQ18" s="100"/>
      <c r="PR18" s="100"/>
      <c r="PS18" s="100"/>
      <c r="PT18" s="100"/>
      <c r="PU18" s="100"/>
      <c r="PV18" s="100"/>
      <c r="PW18" s="100"/>
      <c r="PX18" s="100"/>
      <c r="PY18" s="100"/>
      <c r="PZ18" s="100"/>
      <c r="QA18" s="100"/>
      <c r="QB18" s="100"/>
      <c r="QC18" s="100"/>
      <c r="QD18" s="100"/>
      <c r="QE18" s="100"/>
      <c r="QF18" s="100"/>
      <c r="QG18" s="100"/>
      <c r="QH18" s="100"/>
      <c r="QI18" s="100"/>
      <c r="QJ18" s="100"/>
      <c r="QK18" s="100"/>
      <c r="QL18" s="100"/>
      <c r="QM18" s="100"/>
      <c r="QN18" s="100"/>
      <c r="QO18" s="100"/>
      <c r="QP18" s="100"/>
      <c r="QQ18" s="100"/>
      <c r="QR18" s="100"/>
      <c r="QS18" s="100"/>
      <c r="QT18" s="100"/>
      <c r="QU18" s="100"/>
      <c r="QV18" s="100"/>
      <c r="QW18" s="100"/>
      <c r="QX18" s="100"/>
      <c r="QY18" s="100"/>
      <c r="QZ18" s="23">
        <f t="shared" si="0"/>
        <v>30</v>
      </c>
      <c r="RA18" s="47" t="s">
        <v>36</v>
      </c>
      <c r="RB18" s="97">
        <v>1479.24</v>
      </c>
      <c r="RC18" s="63">
        <f>RF18</f>
        <v>1479.24</v>
      </c>
      <c r="RD18" s="63">
        <v>953.40000000000009</v>
      </c>
      <c r="RE18" s="97">
        <f t="shared" si="1"/>
        <v>0</v>
      </c>
      <c r="RF18" s="107">
        <v>1479.24</v>
      </c>
      <c r="RG18" s="107"/>
      <c r="RH18" s="83">
        <f t="shared" si="2"/>
        <v>1.5515418502202643</v>
      </c>
      <c r="RI18" s="116" t="s">
        <v>542</v>
      </c>
    </row>
    <row r="19" spans="1:477" s="5" customFormat="1" ht="12.75" customHeight="1" x14ac:dyDescent="0.2">
      <c r="A19" s="48">
        <v>44946</v>
      </c>
      <c r="B19" s="90" t="s">
        <v>278</v>
      </c>
      <c r="C19" s="98"/>
      <c r="D19" s="98"/>
      <c r="E19" s="99"/>
      <c r="F19" s="99"/>
      <c r="G19" s="99"/>
      <c r="H19" s="99"/>
      <c r="I19" s="99"/>
      <c r="J19" s="99"/>
      <c r="K19" s="99"/>
      <c r="L19" s="99"/>
      <c r="M19" s="99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>
        <v>20</v>
      </c>
      <c r="BP19" s="100"/>
      <c r="BQ19" s="100"/>
      <c r="BR19" s="100"/>
      <c r="BS19" s="100">
        <v>20</v>
      </c>
      <c r="BT19" s="100"/>
      <c r="BU19" s="100"/>
      <c r="BV19" s="100"/>
      <c r="BW19" s="100"/>
      <c r="BX19" s="100"/>
      <c r="BY19" s="100"/>
      <c r="BZ19" s="100"/>
      <c r="CA19" s="100"/>
      <c r="CB19" s="100"/>
      <c r="CC19" s="100"/>
      <c r="CD19" s="100"/>
      <c r="CE19" s="100"/>
      <c r="CF19" s="100"/>
      <c r="CG19" s="100"/>
      <c r="CH19" s="100"/>
      <c r="CI19" s="100"/>
      <c r="CJ19" s="100"/>
      <c r="CK19" s="100"/>
      <c r="CL19" s="100"/>
      <c r="CM19" s="100"/>
      <c r="CN19" s="10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  <c r="DB19" s="100"/>
      <c r="DC19" s="100"/>
      <c r="DD19" s="100"/>
      <c r="DE19" s="100"/>
      <c r="DF19" s="100"/>
      <c r="DG19" s="100"/>
      <c r="DH19" s="100"/>
      <c r="DI19" s="100"/>
      <c r="DJ19" s="100"/>
      <c r="DK19" s="100"/>
      <c r="DL19" s="100"/>
      <c r="DM19" s="100"/>
      <c r="DN19" s="100"/>
      <c r="DO19" s="100"/>
      <c r="DP19" s="100"/>
      <c r="DQ19" s="100"/>
      <c r="DR19" s="100"/>
      <c r="DS19" s="100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  <c r="FB19" s="100"/>
      <c r="FC19" s="100"/>
      <c r="FD19" s="100"/>
      <c r="FE19" s="100"/>
      <c r="FF19" s="100"/>
      <c r="FG19" s="100"/>
      <c r="FH19" s="100"/>
      <c r="FI19" s="100"/>
      <c r="FJ19" s="100"/>
      <c r="FK19" s="100"/>
      <c r="FL19" s="100"/>
      <c r="FM19" s="100"/>
      <c r="FN19" s="100"/>
      <c r="FO19" s="100"/>
      <c r="FP19" s="100"/>
      <c r="FQ19" s="100"/>
      <c r="FR19" s="100"/>
      <c r="FS19" s="100"/>
      <c r="FT19" s="100"/>
      <c r="FU19" s="100"/>
      <c r="FV19" s="100"/>
      <c r="FW19" s="100"/>
      <c r="FX19" s="100"/>
      <c r="FY19" s="100"/>
      <c r="FZ19" s="100"/>
      <c r="GA19" s="100"/>
      <c r="GB19" s="100"/>
      <c r="GC19" s="100"/>
      <c r="GD19" s="100"/>
      <c r="GE19" s="100"/>
      <c r="GF19" s="100"/>
      <c r="GG19" s="100"/>
      <c r="GH19" s="100"/>
      <c r="GI19" s="100"/>
      <c r="GJ19" s="100"/>
      <c r="GK19" s="100"/>
      <c r="GL19" s="100"/>
      <c r="GM19" s="100"/>
      <c r="GN19" s="100"/>
      <c r="GO19" s="100"/>
      <c r="GP19" s="100"/>
      <c r="GQ19" s="100"/>
      <c r="GR19" s="100"/>
      <c r="GS19" s="100"/>
      <c r="GT19" s="100"/>
      <c r="GU19" s="100"/>
      <c r="GV19" s="100"/>
      <c r="GW19" s="100"/>
      <c r="GX19" s="100"/>
      <c r="GY19" s="100"/>
      <c r="GZ19" s="100"/>
      <c r="HA19" s="100"/>
      <c r="HB19" s="100"/>
      <c r="HC19" s="100"/>
      <c r="HD19" s="100"/>
      <c r="HE19" s="100"/>
      <c r="HF19" s="100"/>
      <c r="HG19" s="100"/>
      <c r="HH19" s="100"/>
      <c r="HI19" s="100"/>
      <c r="HJ19" s="100"/>
      <c r="HK19" s="100"/>
      <c r="HL19" s="100"/>
      <c r="HM19" s="100"/>
      <c r="HN19" s="100"/>
      <c r="HO19" s="100"/>
      <c r="HP19" s="100"/>
      <c r="HQ19" s="100"/>
      <c r="HR19" s="100"/>
      <c r="HS19" s="100"/>
      <c r="HT19" s="100"/>
      <c r="HU19" s="100"/>
      <c r="HV19" s="100"/>
      <c r="HW19" s="100"/>
      <c r="HX19" s="100">
        <v>10</v>
      </c>
      <c r="HY19" s="100"/>
      <c r="HZ19" s="100"/>
      <c r="IA19" s="100"/>
      <c r="IB19" s="100"/>
      <c r="IC19" s="100"/>
      <c r="ID19" s="100"/>
      <c r="IE19" s="100"/>
      <c r="IF19" s="100"/>
      <c r="IG19" s="100"/>
      <c r="IH19" s="100"/>
      <c r="II19" s="100"/>
      <c r="IJ19" s="100"/>
      <c r="IK19" s="100"/>
      <c r="IL19" s="100"/>
      <c r="IM19" s="100"/>
      <c r="IN19" s="100"/>
      <c r="IO19" s="100"/>
      <c r="IP19" s="100"/>
      <c r="IQ19" s="100"/>
      <c r="IR19" s="100"/>
      <c r="IS19" s="100"/>
      <c r="IT19" s="100"/>
      <c r="IU19" s="100"/>
      <c r="IV19" s="100"/>
      <c r="IW19" s="100"/>
      <c r="IX19" s="100"/>
      <c r="IY19" s="100"/>
      <c r="IZ19" s="100"/>
      <c r="JA19" s="100"/>
      <c r="JB19" s="100"/>
      <c r="JC19" s="100"/>
      <c r="JD19" s="100"/>
      <c r="JE19" s="100"/>
      <c r="JF19" s="100"/>
      <c r="JG19" s="100"/>
      <c r="JH19" s="100"/>
      <c r="JI19" s="100"/>
      <c r="JJ19" s="100"/>
      <c r="JK19" s="100"/>
      <c r="JL19" s="100"/>
      <c r="JM19" s="100"/>
      <c r="JN19" s="100"/>
      <c r="JO19" s="100"/>
      <c r="JP19" s="100"/>
      <c r="JQ19" s="100"/>
      <c r="JR19" s="100"/>
      <c r="JS19" s="100"/>
      <c r="JT19" s="100"/>
      <c r="JU19" s="100"/>
      <c r="JV19" s="100"/>
      <c r="JW19" s="100"/>
      <c r="JX19" s="100"/>
      <c r="JY19" s="100"/>
      <c r="JZ19" s="100"/>
      <c r="KA19" s="100"/>
      <c r="KB19" s="100"/>
      <c r="KC19" s="100"/>
      <c r="KD19" s="100"/>
      <c r="KE19" s="100"/>
      <c r="KF19" s="100"/>
      <c r="KG19" s="100"/>
      <c r="KH19" s="100"/>
      <c r="KI19" s="100"/>
      <c r="KJ19" s="100"/>
      <c r="KK19" s="100"/>
      <c r="KL19" s="100"/>
      <c r="KM19" s="100"/>
      <c r="KN19" s="100"/>
      <c r="KO19" s="100"/>
      <c r="KP19" s="100"/>
      <c r="KQ19" s="100"/>
      <c r="KR19" s="100"/>
      <c r="KS19" s="100"/>
      <c r="KT19" s="100"/>
      <c r="KU19" s="100"/>
      <c r="KV19" s="100"/>
      <c r="KW19" s="100"/>
      <c r="KX19" s="100"/>
      <c r="KY19" s="100"/>
      <c r="KZ19" s="100"/>
      <c r="LA19" s="100"/>
      <c r="LB19" s="100"/>
      <c r="LC19" s="100"/>
      <c r="LD19" s="100"/>
      <c r="LE19" s="100">
        <v>60</v>
      </c>
      <c r="LF19" s="100"/>
      <c r="LG19" s="100"/>
      <c r="LH19" s="100"/>
      <c r="LI19" s="100"/>
      <c r="LJ19" s="100"/>
      <c r="LK19" s="100"/>
      <c r="LL19" s="100"/>
      <c r="LM19" s="100"/>
      <c r="LN19" s="100"/>
      <c r="LO19" s="100"/>
      <c r="LP19" s="100"/>
      <c r="LQ19" s="100"/>
      <c r="LR19" s="100"/>
      <c r="LS19" s="100"/>
      <c r="LT19" s="100"/>
      <c r="LU19" s="100"/>
      <c r="LV19" s="100"/>
      <c r="LW19" s="100"/>
      <c r="LX19" s="100"/>
      <c r="LY19" s="100"/>
      <c r="LZ19" s="100"/>
      <c r="MA19" s="100"/>
      <c r="MB19" s="100"/>
      <c r="MC19" s="100"/>
      <c r="MD19" s="100"/>
      <c r="ME19" s="100"/>
      <c r="MF19" s="100"/>
      <c r="MG19" s="100"/>
      <c r="MH19" s="100"/>
      <c r="MI19" s="100"/>
      <c r="MJ19" s="100"/>
      <c r="MK19" s="100"/>
      <c r="ML19" s="100"/>
      <c r="MM19" s="100"/>
      <c r="MN19" s="100"/>
      <c r="MO19" s="100"/>
      <c r="MP19" s="100"/>
      <c r="MQ19" s="100"/>
      <c r="MR19" s="100"/>
      <c r="MS19" s="100"/>
      <c r="MT19" s="100"/>
      <c r="MU19" s="100"/>
      <c r="MV19" s="100"/>
      <c r="MW19" s="100"/>
      <c r="MX19" s="100"/>
      <c r="MY19" s="100"/>
      <c r="MZ19" s="100"/>
      <c r="NA19" s="100"/>
      <c r="NB19" s="100"/>
      <c r="NC19" s="100"/>
      <c r="ND19" s="100"/>
      <c r="NE19" s="100"/>
      <c r="NF19" s="100"/>
      <c r="NG19" s="100"/>
      <c r="NH19" s="100"/>
      <c r="NI19" s="100"/>
      <c r="NJ19" s="100"/>
      <c r="NK19" s="100"/>
      <c r="NL19" s="100"/>
      <c r="NM19" s="100"/>
      <c r="NN19" s="100"/>
      <c r="NO19" s="100"/>
      <c r="NP19" s="100"/>
      <c r="NQ19" s="100"/>
      <c r="NR19" s="100"/>
      <c r="NS19" s="100"/>
      <c r="NT19" s="100"/>
      <c r="NU19" s="100"/>
      <c r="NV19" s="100"/>
      <c r="NW19" s="100"/>
      <c r="NX19" s="100"/>
      <c r="NY19" s="100"/>
      <c r="NZ19" s="100"/>
      <c r="OA19" s="100"/>
      <c r="OB19" s="100"/>
      <c r="OC19" s="100"/>
      <c r="OD19" s="100"/>
      <c r="OE19" s="100"/>
      <c r="OF19" s="100"/>
      <c r="OG19" s="100"/>
      <c r="OH19" s="100"/>
      <c r="OI19" s="100"/>
      <c r="OJ19" s="100"/>
      <c r="OK19" s="100"/>
      <c r="OL19" s="100"/>
      <c r="OM19" s="100"/>
      <c r="ON19" s="100"/>
      <c r="OO19" s="100"/>
      <c r="OP19" s="100"/>
      <c r="OQ19" s="100"/>
      <c r="OR19" s="100"/>
      <c r="OS19" s="100"/>
      <c r="OT19" s="100"/>
      <c r="OU19" s="100"/>
      <c r="OV19" s="100"/>
      <c r="OW19" s="100"/>
      <c r="OX19" s="100"/>
      <c r="OY19" s="100"/>
      <c r="OZ19" s="100"/>
      <c r="PA19" s="100"/>
      <c r="PB19" s="100"/>
      <c r="PC19" s="100"/>
      <c r="PD19" s="100"/>
      <c r="PE19" s="100"/>
      <c r="PF19" s="100"/>
      <c r="PG19" s="100"/>
      <c r="PH19" s="100"/>
      <c r="PI19" s="100"/>
      <c r="PJ19" s="100"/>
      <c r="PK19" s="100"/>
      <c r="PL19" s="100"/>
      <c r="PM19" s="100"/>
      <c r="PN19" s="100"/>
      <c r="PO19" s="100"/>
      <c r="PP19" s="100"/>
      <c r="PQ19" s="100"/>
      <c r="PR19" s="100"/>
      <c r="PS19" s="100"/>
      <c r="PT19" s="100"/>
      <c r="PU19" s="100"/>
      <c r="PV19" s="100"/>
      <c r="PW19" s="100"/>
      <c r="PX19" s="100"/>
      <c r="PY19" s="100"/>
      <c r="PZ19" s="100"/>
      <c r="QA19" s="100"/>
      <c r="QB19" s="100"/>
      <c r="QC19" s="100"/>
      <c r="QD19" s="100"/>
      <c r="QE19" s="100"/>
      <c r="QF19" s="100"/>
      <c r="QG19" s="100"/>
      <c r="QH19" s="100"/>
      <c r="QI19" s="100"/>
      <c r="QJ19" s="100"/>
      <c r="QK19" s="100"/>
      <c r="QL19" s="100"/>
      <c r="QM19" s="100"/>
      <c r="QN19" s="100"/>
      <c r="QO19" s="100"/>
      <c r="QP19" s="100"/>
      <c r="QQ19" s="100"/>
      <c r="QR19" s="100"/>
      <c r="QS19" s="100"/>
      <c r="QT19" s="100"/>
      <c r="QU19" s="100"/>
      <c r="QV19" s="100"/>
      <c r="QW19" s="100"/>
      <c r="QX19" s="100"/>
      <c r="QY19" s="100"/>
      <c r="QZ19" s="23">
        <f t="shared" si="0"/>
        <v>110</v>
      </c>
      <c r="RA19" s="47" t="s">
        <v>36</v>
      </c>
      <c r="RB19" s="97">
        <f>4983.86-12.21</f>
        <v>4971.6499999999996</v>
      </c>
      <c r="RC19" s="63">
        <f>RF19+RG19</f>
        <v>4971.6499999999996</v>
      </c>
      <c r="RD19" s="63">
        <f>4311/1.2</f>
        <v>3592.5</v>
      </c>
      <c r="RE19" s="97">
        <f t="shared" si="1"/>
        <v>0</v>
      </c>
      <c r="RF19" s="107"/>
      <c r="RG19" s="107">
        <v>4971.6499999999996</v>
      </c>
      <c r="RH19" s="83">
        <f t="shared" si="2"/>
        <v>1.3838970076548363</v>
      </c>
      <c r="RI19" s="116" t="s">
        <v>543</v>
      </c>
    </row>
    <row r="20" spans="1:477" s="5" customFormat="1" ht="12.75" customHeight="1" x14ac:dyDescent="0.2">
      <c r="A20" s="48">
        <v>44946</v>
      </c>
      <c r="B20" s="81" t="s">
        <v>444</v>
      </c>
      <c r="C20" s="98"/>
      <c r="D20" s="98"/>
      <c r="E20" s="99"/>
      <c r="F20" s="99"/>
      <c r="G20" s="99"/>
      <c r="H20" s="99"/>
      <c r="I20" s="99"/>
      <c r="J20" s="99"/>
      <c r="K20" s="99"/>
      <c r="L20" s="99"/>
      <c r="M20" s="99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00"/>
      <c r="BQ20" s="100"/>
      <c r="BR20" s="100"/>
      <c r="BS20" s="100"/>
      <c r="BT20" s="100"/>
      <c r="BU20" s="100"/>
      <c r="BV20" s="100"/>
      <c r="BW20" s="100"/>
      <c r="BX20" s="100"/>
      <c r="BY20" s="100"/>
      <c r="BZ20" s="100"/>
      <c r="CA20" s="100"/>
      <c r="CB20" s="100"/>
      <c r="CC20" s="100"/>
      <c r="CD20" s="100"/>
      <c r="CE20" s="100"/>
      <c r="CF20" s="100"/>
      <c r="CG20" s="100"/>
      <c r="CH20" s="100"/>
      <c r="CI20" s="100"/>
      <c r="CJ20" s="100"/>
      <c r="CK20" s="100"/>
      <c r="CL20" s="100"/>
      <c r="CM20" s="100"/>
      <c r="CN20" s="10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0"/>
      <c r="FL20" s="100"/>
      <c r="FM20" s="100"/>
      <c r="FN20" s="100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0"/>
      <c r="GF20" s="100"/>
      <c r="GG20" s="100"/>
      <c r="GH20" s="100"/>
      <c r="GI20" s="100"/>
      <c r="GJ20" s="100"/>
      <c r="GK20" s="100"/>
      <c r="GL20" s="100"/>
      <c r="GM20" s="100"/>
      <c r="GN20" s="100"/>
      <c r="GO20" s="100"/>
      <c r="GP20" s="100"/>
      <c r="GQ20" s="100"/>
      <c r="GR20" s="100"/>
      <c r="GS20" s="100"/>
      <c r="GT20" s="100"/>
      <c r="GU20" s="100"/>
      <c r="GV20" s="100"/>
      <c r="GW20" s="100"/>
      <c r="GX20" s="100"/>
      <c r="GY20" s="100"/>
      <c r="GZ20" s="100"/>
      <c r="HA20" s="100"/>
      <c r="HB20" s="100"/>
      <c r="HC20" s="100"/>
      <c r="HD20" s="100"/>
      <c r="HE20" s="100"/>
      <c r="HF20" s="100"/>
      <c r="HG20" s="100"/>
      <c r="HH20" s="100"/>
      <c r="HI20" s="100"/>
      <c r="HJ20" s="100"/>
      <c r="HK20" s="100"/>
      <c r="HL20" s="100"/>
      <c r="HM20" s="100"/>
      <c r="HN20" s="100"/>
      <c r="HO20" s="100"/>
      <c r="HP20" s="100"/>
      <c r="HQ20" s="100"/>
      <c r="HR20" s="100"/>
      <c r="HS20" s="100"/>
      <c r="HT20" s="100"/>
      <c r="HU20" s="100"/>
      <c r="HV20" s="100"/>
      <c r="HW20" s="100"/>
      <c r="HX20" s="100"/>
      <c r="HY20" s="100"/>
      <c r="HZ20" s="100"/>
      <c r="IA20" s="100"/>
      <c r="IB20" s="100"/>
      <c r="IC20" s="100"/>
      <c r="ID20" s="100"/>
      <c r="IE20" s="100"/>
      <c r="IF20" s="100"/>
      <c r="IG20" s="100"/>
      <c r="IH20" s="100"/>
      <c r="II20" s="100"/>
      <c r="IJ20" s="100"/>
      <c r="IK20" s="100"/>
      <c r="IL20" s="100"/>
      <c r="IM20" s="100"/>
      <c r="IN20" s="100"/>
      <c r="IO20" s="100"/>
      <c r="IP20" s="100"/>
      <c r="IQ20" s="100"/>
      <c r="IR20" s="100"/>
      <c r="IS20" s="100"/>
      <c r="IT20" s="100"/>
      <c r="IU20" s="100"/>
      <c r="IV20" s="100"/>
      <c r="IW20" s="100"/>
      <c r="IX20" s="100"/>
      <c r="IY20" s="100"/>
      <c r="IZ20" s="100"/>
      <c r="JA20" s="100"/>
      <c r="JB20" s="100"/>
      <c r="JC20" s="100"/>
      <c r="JD20" s="100"/>
      <c r="JE20" s="100"/>
      <c r="JF20" s="100"/>
      <c r="JG20" s="100"/>
      <c r="JH20" s="100"/>
      <c r="JI20" s="100"/>
      <c r="JJ20" s="100"/>
      <c r="JK20" s="100"/>
      <c r="JL20" s="100"/>
      <c r="JM20" s="100"/>
      <c r="JN20" s="100"/>
      <c r="JO20" s="100"/>
      <c r="JP20" s="100"/>
      <c r="JQ20" s="100"/>
      <c r="JR20" s="100"/>
      <c r="JS20" s="100"/>
      <c r="JT20" s="100"/>
      <c r="JU20" s="100"/>
      <c r="JV20" s="100"/>
      <c r="JW20" s="100"/>
      <c r="JX20" s="100"/>
      <c r="JY20" s="100"/>
      <c r="JZ20" s="100"/>
      <c r="KA20" s="100"/>
      <c r="KB20" s="100"/>
      <c r="KC20" s="100"/>
      <c r="KD20" s="100"/>
      <c r="KE20" s="100"/>
      <c r="KF20" s="100"/>
      <c r="KG20" s="100"/>
      <c r="KH20" s="100"/>
      <c r="KI20" s="100"/>
      <c r="KJ20" s="100"/>
      <c r="KK20" s="100"/>
      <c r="KL20" s="100"/>
      <c r="KM20" s="100"/>
      <c r="KN20" s="100"/>
      <c r="KO20" s="100"/>
      <c r="KP20" s="100"/>
      <c r="KQ20" s="100"/>
      <c r="KR20" s="100"/>
      <c r="KS20" s="100"/>
      <c r="KT20" s="100"/>
      <c r="KU20" s="100"/>
      <c r="KV20" s="100"/>
      <c r="KW20" s="100"/>
      <c r="KX20" s="100"/>
      <c r="KY20" s="100"/>
      <c r="KZ20" s="100"/>
      <c r="LA20" s="100"/>
      <c r="LB20" s="100"/>
      <c r="LC20" s="100"/>
      <c r="LD20" s="100"/>
      <c r="LE20" s="100"/>
      <c r="LF20" s="100"/>
      <c r="LG20" s="100"/>
      <c r="LH20" s="100"/>
      <c r="LI20" s="100"/>
      <c r="LJ20" s="100"/>
      <c r="LK20" s="100"/>
      <c r="LL20" s="100"/>
      <c r="LM20" s="100"/>
      <c r="LN20" s="100"/>
      <c r="LO20" s="100"/>
      <c r="LP20" s="100"/>
      <c r="LQ20" s="100"/>
      <c r="LR20" s="100"/>
      <c r="LS20" s="100"/>
      <c r="LT20" s="100"/>
      <c r="LU20" s="100"/>
      <c r="LV20" s="100"/>
      <c r="LW20" s="100"/>
      <c r="LX20" s="100"/>
      <c r="LY20" s="100"/>
      <c r="LZ20" s="100"/>
      <c r="MA20" s="100"/>
      <c r="MB20" s="100"/>
      <c r="MC20" s="100"/>
      <c r="MD20" s="100"/>
      <c r="ME20" s="100"/>
      <c r="MF20" s="100"/>
      <c r="MG20" s="100"/>
      <c r="MH20" s="100"/>
      <c r="MI20" s="100"/>
      <c r="MJ20" s="100"/>
      <c r="MK20" s="100"/>
      <c r="ML20" s="100"/>
      <c r="MM20" s="100"/>
      <c r="MN20" s="100"/>
      <c r="MO20" s="100"/>
      <c r="MP20" s="100"/>
      <c r="MQ20" s="100"/>
      <c r="MR20" s="100"/>
      <c r="MS20" s="100"/>
      <c r="MT20" s="100"/>
      <c r="MU20" s="100"/>
      <c r="MV20" s="100"/>
      <c r="MW20" s="100"/>
      <c r="MX20" s="100"/>
      <c r="MY20" s="100"/>
      <c r="MZ20" s="100"/>
      <c r="NA20" s="100"/>
      <c r="NB20" s="100"/>
      <c r="NC20" s="100"/>
      <c r="ND20" s="100"/>
      <c r="NE20" s="100"/>
      <c r="NF20" s="100"/>
      <c r="NG20" s="100"/>
      <c r="NH20" s="100"/>
      <c r="NI20" s="100"/>
      <c r="NJ20" s="100"/>
      <c r="NK20" s="100"/>
      <c r="NL20" s="100"/>
      <c r="NM20" s="100"/>
      <c r="NN20" s="100"/>
      <c r="NO20" s="100"/>
      <c r="NP20" s="100"/>
      <c r="NQ20" s="100"/>
      <c r="NR20" s="100"/>
      <c r="NS20" s="100"/>
      <c r="NT20" s="100"/>
      <c r="NU20" s="100"/>
      <c r="NV20" s="100"/>
      <c r="NW20" s="100"/>
      <c r="NX20" s="100"/>
      <c r="NY20" s="100"/>
      <c r="NZ20" s="100"/>
      <c r="OA20" s="100"/>
      <c r="OB20" s="100"/>
      <c r="OC20" s="100"/>
      <c r="OD20" s="100"/>
      <c r="OE20" s="100"/>
      <c r="OF20" s="100"/>
      <c r="OG20" s="100"/>
      <c r="OH20" s="100"/>
      <c r="OI20" s="100"/>
      <c r="OJ20" s="100"/>
      <c r="OK20" s="100"/>
      <c r="OL20" s="100"/>
      <c r="OM20" s="100"/>
      <c r="ON20" s="100"/>
      <c r="OO20" s="100"/>
      <c r="OP20" s="100"/>
      <c r="OQ20" s="100"/>
      <c r="OR20" s="100"/>
      <c r="OS20" s="100"/>
      <c r="OT20" s="100"/>
      <c r="OU20" s="100"/>
      <c r="OV20" s="100"/>
      <c r="OW20" s="100"/>
      <c r="OX20" s="100"/>
      <c r="OY20" s="100"/>
      <c r="OZ20" s="100"/>
      <c r="PA20" s="100"/>
      <c r="PB20" s="100"/>
      <c r="PC20" s="100"/>
      <c r="PD20" s="100"/>
      <c r="PE20" s="100"/>
      <c r="PF20" s="100"/>
      <c r="PG20" s="100"/>
      <c r="PH20" s="100"/>
      <c r="PI20" s="100"/>
      <c r="PJ20" s="100"/>
      <c r="PK20" s="100"/>
      <c r="PL20" s="100"/>
      <c r="PM20" s="100"/>
      <c r="PN20" s="100"/>
      <c r="PO20" s="100"/>
      <c r="PP20" s="100"/>
      <c r="PQ20" s="100"/>
      <c r="PR20" s="100"/>
      <c r="PS20" s="100"/>
      <c r="PT20" s="100"/>
      <c r="PU20" s="100"/>
      <c r="PV20" s="100"/>
      <c r="PW20" s="100">
        <v>108</v>
      </c>
      <c r="PX20" s="100"/>
      <c r="PY20" s="100"/>
      <c r="PZ20" s="100"/>
      <c r="QA20" s="100"/>
      <c r="QB20" s="100"/>
      <c r="QC20" s="100"/>
      <c r="QD20" s="100"/>
      <c r="QE20" s="100"/>
      <c r="QF20" s="100"/>
      <c r="QG20" s="100"/>
      <c r="QH20" s="100"/>
      <c r="QI20" s="100"/>
      <c r="QJ20" s="100"/>
      <c r="QK20" s="100"/>
      <c r="QL20" s="100"/>
      <c r="QM20" s="100"/>
      <c r="QN20" s="100"/>
      <c r="QO20" s="100"/>
      <c r="QP20" s="100"/>
      <c r="QQ20" s="100"/>
      <c r="QR20" s="100"/>
      <c r="QS20" s="100"/>
      <c r="QT20" s="100"/>
      <c r="QU20" s="100"/>
      <c r="QV20" s="100"/>
      <c r="QW20" s="100"/>
      <c r="QX20" s="100"/>
      <c r="QY20" s="100"/>
      <c r="QZ20" s="23">
        <f t="shared" si="0"/>
        <v>108</v>
      </c>
      <c r="RA20" s="47" t="s">
        <v>69</v>
      </c>
      <c r="RB20" s="97">
        <v>21214.22</v>
      </c>
      <c r="RC20" s="63">
        <f>RF20</f>
        <v>21214.22</v>
      </c>
      <c r="RD20" s="63">
        <v>15541.2</v>
      </c>
      <c r="RE20" s="97">
        <f t="shared" si="1"/>
        <v>0</v>
      </c>
      <c r="RF20" s="107">
        <v>21214.22</v>
      </c>
      <c r="RG20" s="107"/>
      <c r="RH20" s="83">
        <f t="shared" si="2"/>
        <v>1.3650310143360873</v>
      </c>
      <c r="RI20" s="116" t="s">
        <v>521</v>
      </c>
    </row>
    <row r="21" spans="1:477" s="5" customFormat="1" ht="12.75" customHeight="1" x14ac:dyDescent="0.2">
      <c r="A21" s="48">
        <v>44949</v>
      </c>
      <c r="B21" s="90" t="s">
        <v>88</v>
      </c>
      <c r="C21" s="98"/>
      <c r="D21" s="98"/>
      <c r="E21" s="99"/>
      <c r="F21" s="99"/>
      <c r="G21" s="99"/>
      <c r="H21" s="99"/>
      <c r="I21" s="99"/>
      <c r="J21" s="99"/>
      <c r="K21" s="99"/>
      <c r="L21" s="99"/>
      <c r="M21" s="99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>
        <v>10</v>
      </c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>
        <v>10</v>
      </c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00"/>
      <c r="BQ21" s="100"/>
      <c r="BR21" s="100"/>
      <c r="BS21" s="100"/>
      <c r="BT21" s="100"/>
      <c r="BU21" s="100"/>
      <c r="BV21" s="100"/>
      <c r="BW21" s="100"/>
      <c r="BX21" s="100"/>
      <c r="BY21" s="100"/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  <c r="IX21" s="100"/>
      <c r="IY21" s="100"/>
      <c r="IZ21" s="100"/>
      <c r="JA21" s="100"/>
      <c r="JB21" s="100"/>
      <c r="JC21" s="100"/>
      <c r="JD21" s="100"/>
      <c r="JE21" s="100"/>
      <c r="JF21" s="100"/>
      <c r="JG21" s="100"/>
      <c r="JH21" s="100"/>
      <c r="JI21" s="100"/>
      <c r="JJ21" s="100"/>
      <c r="JK21" s="100"/>
      <c r="JL21" s="100"/>
      <c r="JM21" s="100"/>
      <c r="JN21" s="100"/>
      <c r="JO21" s="100"/>
      <c r="JP21" s="100"/>
      <c r="JQ21" s="100"/>
      <c r="JR21" s="100"/>
      <c r="JS21" s="100"/>
      <c r="JT21" s="100"/>
      <c r="JU21" s="100"/>
      <c r="JV21" s="100"/>
      <c r="JW21" s="100"/>
      <c r="JX21" s="100"/>
      <c r="JY21" s="100"/>
      <c r="JZ21" s="100"/>
      <c r="KA21" s="100"/>
      <c r="KB21" s="100"/>
      <c r="KC21" s="100"/>
      <c r="KD21" s="100"/>
      <c r="KE21" s="100"/>
      <c r="KF21" s="100"/>
      <c r="KG21" s="100"/>
      <c r="KH21" s="100"/>
      <c r="KI21" s="100"/>
      <c r="KJ21" s="100"/>
      <c r="KK21" s="100"/>
      <c r="KL21" s="100"/>
      <c r="KM21" s="100"/>
      <c r="KN21" s="100"/>
      <c r="KO21" s="100"/>
      <c r="KP21" s="100"/>
      <c r="KQ21" s="100"/>
      <c r="KR21" s="100"/>
      <c r="KS21" s="100"/>
      <c r="KT21" s="100"/>
      <c r="KU21" s="100"/>
      <c r="KV21" s="100"/>
      <c r="KW21" s="100"/>
      <c r="KX21" s="100"/>
      <c r="KY21" s="100"/>
      <c r="KZ21" s="100"/>
      <c r="LA21" s="100"/>
      <c r="LB21" s="100"/>
      <c r="LC21" s="100"/>
      <c r="LD21" s="100"/>
      <c r="LE21" s="100"/>
      <c r="LF21" s="100"/>
      <c r="LG21" s="100"/>
      <c r="LH21" s="100"/>
      <c r="LI21" s="100"/>
      <c r="LJ21" s="100"/>
      <c r="LK21" s="100"/>
      <c r="LL21" s="100"/>
      <c r="LM21" s="100"/>
      <c r="LN21" s="100"/>
      <c r="LO21" s="100"/>
      <c r="LP21" s="100"/>
      <c r="LQ21" s="100"/>
      <c r="LR21" s="100"/>
      <c r="LS21" s="100"/>
      <c r="LT21" s="100"/>
      <c r="LU21" s="100"/>
      <c r="LV21" s="100"/>
      <c r="LW21" s="100"/>
      <c r="LX21" s="100"/>
      <c r="LY21" s="100"/>
      <c r="LZ21" s="100"/>
      <c r="MA21" s="100"/>
      <c r="MB21" s="100"/>
      <c r="MC21" s="100"/>
      <c r="MD21" s="100"/>
      <c r="ME21" s="100"/>
      <c r="MF21" s="100"/>
      <c r="MG21" s="100"/>
      <c r="MH21" s="100"/>
      <c r="MI21" s="100"/>
      <c r="MJ21" s="100"/>
      <c r="MK21" s="100"/>
      <c r="ML21" s="100"/>
      <c r="MM21" s="100"/>
      <c r="MN21" s="100"/>
      <c r="MO21" s="100"/>
      <c r="MP21" s="100"/>
      <c r="MQ21" s="100"/>
      <c r="MR21" s="100"/>
      <c r="MS21" s="100"/>
      <c r="MT21" s="100"/>
      <c r="MU21" s="100"/>
      <c r="MV21" s="100"/>
      <c r="MW21" s="100"/>
      <c r="MX21" s="100"/>
      <c r="MY21" s="100"/>
      <c r="MZ21" s="100"/>
      <c r="NA21" s="100"/>
      <c r="NB21" s="100"/>
      <c r="NC21" s="100"/>
      <c r="ND21" s="100"/>
      <c r="NE21" s="100"/>
      <c r="NF21" s="100"/>
      <c r="NG21" s="100"/>
      <c r="NH21" s="100"/>
      <c r="NI21" s="100"/>
      <c r="NJ21" s="100"/>
      <c r="NK21" s="100"/>
      <c r="NL21" s="100"/>
      <c r="NM21" s="100"/>
      <c r="NN21" s="100"/>
      <c r="NO21" s="100"/>
      <c r="NP21" s="100"/>
      <c r="NQ21" s="100"/>
      <c r="NR21" s="100"/>
      <c r="NS21" s="100"/>
      <c r="NT21" s="100"/>
      <c r="NU21" s="100"/>
      <c r="NV21" s="100"/>
      <c r="NW21" s="100"/>
      <c r="NX21" s="100"/>
      <c r="NY21" s="100"/>
      <c r="NZ21" s="100"/>
      <c r="OA21" s="100"/>
      <c r="OB21" s="100"/>
      <c r="OC21" s="100"/>
      <c r="OD21" s="100"/>
      <c r="OE21" s="100"/>
      <c r="OF21" s="100"/>
      <c r="OG21" s="100"/>
      <c r="OH21" s="100"/>
      <c r="OI21" s="100"/>
      <c r="OJ21" s="100"/>
      <c r="OK21" s="100"/>
      <c r="OL21" s="100"/>
      <c r="OM21" s="100"/>
      <c r="ON21" s="100"/>
      <c r="OO21" s="100"/>
      <c r="OP21" s="100"/>
      <c r="OQ21" s="100"/>
      <c r="OR21" s="100"/>
      <c r="OS21" s="100"/>
      <c r="OT21" s="100"/>
      <c r="OU21" s="100"/>
      <c r="OV21" s="100"/>
      <c r="OW21" s="100"/>
      <c r="OX21" s="100"/>
      <c r="OY21" s="100"/>
      <c r="OZ21" s="100"/>
      <c r="PA21" s="100"/>
      <c r="PB21" s="100"/>
      <c r="PC21" s="100"/>
      <c r="PD21" s="100"/>
      <c r="PE21" s="100"/>
      <c r="PF21" s="100"/>
      <c r="PG21" s="100"/>
      <c r="PH21" s="100"/>
      <c r="PI21" s="100"/>
      <c r="PJ21" s="100"/>
      <c r="PK21" s="100"/>
      <c r="PL21" s="100"/>
      <c r="PM21" s="100"/>
      <c r="PN21" s="100"/>
      <c r="PO21" s="100"/>
      <c r="PP21" s="100"/>
      <c r="PQ21" s="100"/>
      <c r="PR21" s="100"/>
      <c r="PS21" s="100"/>
      <c r="PT21" s="100"/>
      <c r="PU21" s="100"/>
      <c r="PV21" s="100"/>
      <c r="PW21" s="100"/>
      <c r="PX21" s="100"/>
      <c r="PY21" s="100"/>
      <c r="PZ21" s="100"/>
      <c r="QA21" s="100"/>
      <c r="QB21" s="100"/>
      <c r="QC21" s="100"/>
      <c r="QD21" s="100"/>
      <c r="QE21" s="100"/>
      <c r="QF21" s="100"/>
      <c r="QG21" s="100"/>
      <c r="QH21" s="100"/>
      <c r="QI21" s="100"/>
      <c r="QJ21" s="100"/>
      <c r="QK21" s="100"/>
      <c r="QL21" s="100"/>
      <c r="QM21" s="100"/>
      <c r="QN21" s="100"/>
      <c r="QO21" s="100"/>
      <c r="QP21" s="100"/>
      <c r="QQ21" s="100"/>
      <c r="QR21" s="100"/>
      <c r="QS21" s="100"/>
      <c r="QT21" s="100"/>
      <c r="QU21" s="100"/>
      <c r="QV21" s="100"/>
      <c r="QW21" s="100"/>
      <c r="QX21" s="100"/>
      <c r="QY21" s="100"/>
      <c r="QZ21" s="23">
        <f t="shared" si="0"/>
        <v>20</v>
      </c>
      <c r="RA21" s="47" t="s">
        <v>36</v>
      </c>
      <c r="RB21" s="97">
        <v>1335.71</v>
      </c>
      <c r="RC21" s="63">
        <f>RF21+RG21</f>
        <v>0</v>
      </c>
      <c r="RD21" s="63">
        <v>816</v>
      </c>
      <c r="RE21" s="97">
        <f t="shared" si="1"/>
        <v>1335.71</v>
      </c>
      <c r="RF21" s="107"/>
      <c r="RG21" s="107"/>
      <c r="RH21" s="83">
        <f t="shared" si="2"/>
        <v>1.6368995098039216</v>
      </c>
      <c r="RI21" s="116" t="s">
        <v>544</v>
      </c>
    </row>
    <row r="22" spans="1:477" s="5" customFormat="1" ht="12.75" customHeight="1" x14ac:dyDescent="0.2">
      <c r="A22" s="48">
        <v>44950</v>
      </c>
      <c r="B22" s="90" t="s">
        <v>30</v>
      </c>
      <c r="C22" s="98"/>
      <c r="D22" s="98"/>
      <c r="E22" s="99"/>
      <c r="F22" s="99"/>
      <c r="G22" s="99"/>
      <c r="H22" s="99"/>
      <c r="I22" s="99"/>
      <c r="J22" s="99"/>
      <c r="K22" s="99"/>
      <c r="L22" s="99"/>
      <c r="M22" s="99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00"/>
      <c r="BQ22" s="100"/>
      <c r="BR22" s="100"/>
      <c r="BS22" s="100"/>
      <c r="BT22" s="100"/>
      <c r="BU22" s="100"/>
      <c r="BV22" s="100"/>
      <c r="BW22" s="100"/>
      <c r="BX22" s="100"/>
      <c r="BY22" s="100"/>
      <c r="BZ22" s="100"/>
      <c r="CA22" s="100"/>
      <c r="CB22" s="100"/>
      <c r="CC22" s="100"/>
      <c r="CD22" s="100"/>
      <c r="CE22" s="100"/>
      <c r="CF22" s="100"/>
      <c r="CG22" s="100"/>
      <c r="CH22" s="100"/>
      <c r="CI22" s="100"/>
      <c r="CJ22" s="100"/>
      <c r="CK22" s="100"/>
      <c r="CL22" s="100"/>
      <c r="CM22" s="100"/>
      <c r="CN22" s="10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0"/>
      <c r="DK22" s="100"/>
      <c r="DL22" s="100"/>
      <c r="DM22" s="100"/>
      <c r="DN22" s="100"/>
      <c r="DO22" s="100"/>
      <c r="DP22" s="100"/>
      <c r="DQ22" s="100"/>
      <c r="DR22" s="100"/>
      <c r="DS22" s="100"/>
      <c r="DT22" s="100"/>
      <c r="DU22" s="100"/>
      <c r="DV22" s="100"/>
      <c r="DW22" s="100"/>
      <c r="DX22" s="100"/>
      <c r="DY22" s="100">
        <v>20</v>
      </c>
      <c r="DZ22" s="100"/>
      <c r="EA22" s="100"/>
      <c r="EB22" s="100"/>
      <c r="EC22" s="100"/>
      <c r="ED22" s="100"/>
      <c r="EE22" s="100"/>
      <c r="EF22" s="100"/>
      <c r="EG22" s="100"/>
      <c r="EH22" s="100"/>
      <c r="EI22" s="100"/>
      <c r="EJ22" s="100"/>
      <c r="EK22" s="100"/>
      <c r="EL22" s="100"/>
      <c r="EM22" s="100"/>
      <c r="EN22" s="100"/>
      <c r="EO22" s="100"/>
      <c r="EP22" s="100"/>
      <c r="EQ22" s="100"/>
      <c r="ER22" s="100"/>
      <c r="ES22" s="100"/>
      <c r="ET22" s="100"/>
      <c r="EU22" s="100"/>
      <c r="EV22" s="100"/>
      <c r="EW22" s="100"/>
      <c r="EX22" s="100">
        <v>200</v>
      </c>
      <c r="EY22" s="100"/>
      <c r="EZ22" s="100"/>
      <c r="FA22" s="100"/>
      <c r="FB22" s="100"/>
      <c r="FC22" s="100"/>
      <c r="FD22" s="100"/>
      <c r="FE22" s="100"/>
      <c r="FF22" s="100"/>
      <c r="FG22" s="100"/>
      <c r="FH22" s="100"/>
      <c r="FI22" s="100"/>
      <c r="FJ22" s="100"/>
      <c r="FK22" s="100"/>
      <c r="FL22" s="100"/>
      <c r="FM22" s="100"/>
      <c r="FN22" s="100"/>
      <c r="FO22" s="100"/>
      <c r="FP22" s="100"/>
      <c r="FQ22" s="100"/>
      <c r="FR22" s="100"/>
      <c r="FS22" s="100"/>
      <c r="FT22" s="100"/>
      <c r="FU22" s="100"/>
      <c r="FV22" s="100"/>
      <c r="FW22" s="100"/>
      <c r="FX22" s="100"/>
      <c r="FY22" s="100"/>
      <c r="FZ22" s="100"/>
      <c r="GA22" s="100"/>
      <c r="GB22" s="100"/>
      <c r="GC22" s="100"/>
      <c r="GD22" s="100"/>
      <c r="GE22" s="100"/>
      <c r="GF22" s="100"/>
      <c r="GG22" s="100"/>
      <c r="GH22" s="100"/>
      <c r="GI22" s="100"/>
      <c r="GJ22" s="100"/>
      <c r="GK22" s="100"/>
      <c r="GL22" s="100"/>
      <c r="GM22" s="100"/>
      <c r="GN22" s="100"/>
      <c r="GO22" s="100"/>
      <c r="GP22" s="100"/>
      <c r="GQ22" s="100"/>
      <c r="GR22" s="100"/>
      <c r="GS22" s="100"/>
      <c r="GT22" s="100"/>
      <c r="GU22" s="100"/>
      <c r="GV22" s="100"/>
      <c r="GW22" s="100"/>
      <c r="GX22" s="100"/>
      <c r="GY22" s="100"/>
      <c r="GZ22" s="100"/>
      <c r="HA22" s="100"/>
      <c r="HB22" s="100"/>
      <c r="HC22" s="100"/>
      <c r="HD22" s="100"/>
      <c r="HE22" s="100"/>
      <c r="HF22" s="100"/>
      <c r="HG22" s="100"/>
      <c r="HH22" s="100"/>
      <c r="HI22" s="100"/>
      <c r="HJ22" s="100"/>
      <c r="HK22" s="100"/>
      <c r="HL22" s="100"/>
      <c r="HM22" s="100"/>
      <c r="HN22" s="100"/>
      <c r="HO22" s="100"/>
      <c r="HP22" s="100"/>
      <c r="HQ22" s="100"/>
      <c r="HR22" s="100"/>
      <c r="HS22" s="100"/>
      <c r="HT22" s="100"/>
      <c r="HU22" s="100"/>
      <c r="HV22" s="100"/>
      <c r="HW22" s="100"/>
      <c r="HX22" s="100"/>
      <c r="HY22" s="100"/>
      <c r="HZ22" s="100"/>
      <c r="IA22" s="100"/>
      <c r="IB22" s="100"/>
      <c r="IC22" s="100"/>
      <c r="ID22" s="100"/>
      <c r="IE22" s="100"/>
      <c r="IF22" s="100"/>
      <c r="IG22" s="100"/>
      <c r="IH22" s="100"/>
      <c r="II22" s="100"/>
      <c r="IJ22" s="100"/>
      <c r="IK22" s="100"/>
      <c r="IL22" s="100"/>
      <c r="IM22" s="100"/>
      <c r="IN22" s="100"/>
      <c r="IO22" s="100"/>
      <c r="IP22" s="100"/>
      <c r="IQ22" s="100"/>
      <c r="IR22" s="100"/>
      <c r="IS22" s="100"/>
      <c r="IT22" s="100"/>
      <c r="IU22" s="100"/>
      <c r="IV22" s="100"/>
      <c r="IW22" s="100"/>
      <c r="IX22" s="100"/>
      <c r="IY22" s="100"/>
      <c r="IZ22" s="100"/>
      <c r="JA22" s="100"/>
      <c r="JB22" s="100"/>
      <c r="JC22" s="100"/>
      <c r="JD22" s="100"/>
      <c r="JE22" s="100"/>
      <c r="JF22" s="100"/>
      <c r="JG22" s="100"/>
      <c r="JH22" s="100"/>
      <c r="JI22" s="100"/>
      <c r="JJ22" s="100"/>
      <c r="JK22" s="100"/>
      <c r="JL22" s="100"/>
      <c r="JM22" s="100"/>
      <c r="JN22" s="100"/>
      <c r="JO22" s="100"/>
      <c r="JP22" s="100"/>
      <c r="JQ22" s="100"/>
      <c r="JR22" s="100"/>
      <c r="JS22" s="100"/>
      <c r="JT22" s="100"/>
      <c r="JU22" s="100"/>
      <c r="JV22" s="100"/>
      <c r="JW22" s="100"/>
      <c r="JX22" s="100"/>
      <c r="JY22" s="100"/>
      <c r="JZ22" s="100"/>
      <c r="KA22" s="100"/>
      <c r="KB22" s="100"/>
      <c r="KC22" s="100"/>
      <c r="KD22" s="100"/>
      <c r="KE22" s="100"/>
      <c r="KF22" s="100"/>
      <c r="KG22" s="100"/>
      <c r="KH22" s="100"/>
      <c r="KI22" s="100"/>
      <c r="KJ22" s="100"/>
      <c r="KK22" s="100"/>
      <c r="KL22" s="100"/>
      <c r="KM22" s="100"/>
      <c r="KN22" s="100"/>
      <c r="KO22" s="100"/>
      <c r="KP22" s="100"/>
      <c r="KQ22" s="100"/>
      <c r="KR22" s="100"/>
      <c r="KS22" s="100"/>
      <c r="KT22" s="100"/>
      <c r="KU22" s="100"/>
      <c r="KV22" s="100"/>
      <c r="KW22" s="100"/>
      <c r="KX22" s="100"/>
      <c r="KY22" s="100"/>
      <c r="KZ22" s="100"/>
      <c r="LA22" s="100"/>
      <c r="LB22" s="100"/>
      <c r="LC22" s="100">
        <v>40</v>
      </c>
      <c r="LD22" s="100"/>
      <c r="LE22" s="100"/>
      <c r="LF22" s="100"/>
      <c r="LG22" s="100"/>
      <c r="LH22" s="100"/>
      <c r="LI22" s="100"/>
      <c r="LJ22" s="100"/>
      <c r="LK22" s="100"/>
      <c r="LL22" s="100"/>
      <c r="LM22" s="100"/>
      <c r="LN22" s="100"/>
      <c r="LO22" s="100"/>
      <c r="LP22" s="100"/>
      <c r="LQ22" s="100"/>
      <c r="LR22" s="100"/>
      <c r="LS22" s="100"/>
      <c r="LT22" s="100"/>
      <c r="LU22" s="100"/>
      <c r="LV22" s="100"/>
      <c r="LW22" s="100"/>
      <c r="LX22" s="100"/>
      <c r="LY22" s="100"/>
      <c r="LZ22" s="100"/>
      <c r="MA22" s="100"/>
      <c r="MB22" s="100"/>
      <c r="MC22" s="100"/>
      <c r="MD22" s="100"/>
      <c r="ME22" s="100"/>
      <c r="MF22" s="100"/>
      <c r="MG22" s="100"/>
      <c r="MH22" s="100"/>
      <c r="MI22" s="100"/>
      <c r="MJ22" s="100"/>
      <c r="MK22" s="100"/>
      <c r="ML22" s="100"/>
      <c r="MM22" s="100"/>
      <c r="MN22" s="100"/>
      <c r="MO22" s="100"/>
      <c r="MP22" s="100"/>
      <c r="MQ22" s="100"/>
      <c r="MR22" s="100"/>
      <c r="MS22" s="100"/>
      <c r="MT22" s="100"/>
      <c r="MU22" s="100"/>
      <c r="MV22" s="100"/>
      <c r="MW22" s="100"/>
      <c r="MX22" s="100"/>
      <c r="MY22" s="100"/>
      <c r="MZ22" s="100"/>
      <c r="NA22" s="100"/>
      <c r="NB22" s="100"/>
      <c r="NC22" s="100"/>
      <c r="ND22" s="100"/>
      <c r="NE22" s="100"/>
      <c r="NF22" s="100"/>
      <c r="NG22" s="100"/>
      <c r="NH22" s="100"/>
      <c r="NI22" s="100"/>
      <c r="NJ22" s="100"/>
      <c r="NK22" s="100"/>
      <c r="NL22" s="100"/>
      <c r="NM22" s="100"/>
      <c r="NN22" s="100"/>
      <c r="NO22" s="100"/>
      <c r="NP22" s="100"/>
      <c r="NQ22" s="100"/>
      <c r="NR22" s="100"/>
      <c r="NS22" s="100"/>
      <c r="NT22" s="100"/>
      <c r="NU22" s="100"/>
      <c r="NV22" s="100"/>
      <c r="NW22" s="100"/>
      <c r="NX22" s="100"/>
      <c r="NY22" s="100"/>
      <c r="NZ22" s="100"/>
      <c r="OA22" s="100"/>
      <c r="OB22" s="100"/>
      <c r="OC22" s="100"/>
      <c r="OD22" s="100"/>
      <c r="OE22" s="100"/>
      <c r="OF22" s="100"/>
      <c r="OG22" s="100"/>
      <c r="OH22" s="100"/>
      <c r="OI22" s="100"/>
      <c r="OJ22" s="100"/>
      <c r="OK22" s="100"/>
      <c r="OL22" s="100"/>
      <c r="OM22" s="100"/>
      <c r="ON22" s="100"/>
      <c r="OO22" s="100"/>
      <c r="OP22" s="100"/>
      <c r="OQ22" s="100"/>
      <c r="OR22" s="100"/>
      <c r="OS22" s="100"/>
      <c r="OT22" s="100"/>
      <c r="OU22" s="100"/>
      <c r="OV22" s="100"/>
      <c r="OW22" s="100"/>
      <c r="OX22" s="100"/>
      <c r="OY22" s="100"/>
      <c r="OZ22" s="100"/>
      <c r="PA22" s="100"/>
      <c r="PB22" s="100"/>
      <c r="PC22" s="100"/>
      <c r="PD22" s="100"/>
      <c r="PE22" s="100"/>
      <c r="PF22" s="100"/>
      <c r="PG22" s="100"/>
      <c r="PH22" s="100"/>
      <c r="PI22" s="100"/>
      <c r="PJ22" s="100"/>
      <c r="PK22" s="100"/>
      <c r="PL22" s="100"/>
      <c r="PM22" s="100"/>
      <c r="PN22" s="100"/>
      <c r="PO22" s="100"/>
      <c r="PP22" s="100"/>
      <c r="PQ22" s="100"/>
      <c r="PR22" s="100"/>
      <c r="PS22" s="100"/>
      <c r="PT22" s="100"/>
      <c r="PU22" s="100"/>
      <c r="PV22" s="100"/>
      <c r="PW22" s="100"/>
      <c r="PX22" s="100"/>
      <c r="PY22" s="100"/>
      <c r="PZ22" s="100"/>
      <c r="QA22" s="100"/>
      <c r="QB22" s="100"/>
      <c r="QC22" s="100"/>
      <c r="QD22" s="100"/>
      <c r="QE22" s="100"/>
      <c r="QF22" s="100"/>
      <c r="QG22" s="100"/>
      <c r="QH22" s="100"/>
      <c r="QI22" s="100"/>
      <c r="QJ22" s="100">
        <v>75</v>
      </c>
      <c r="QK22" s="100"/>
      <c r="QL22" s="100"/>
      <c r="QM22" s="100"/>
      <c r="QN22" s="100"/>
      <c r="QO22" s="100"/>
      <c r="QP22" s="100"/>
      <c r="QQ22" s="100"/>
      <c r="QR22" s="100"/>
      <c r="QS22" s="100"/>
      <c r="QT22" s="100"/>
      <c r="QU22" s="100"/>
      <c r="QV22" s="100"/>
      <c r="QW22" s="100"/>
      <c r="QX22" s="100"/>
      <c r="QY22" s="100"/>
      <c r="QZ22" s="23">
        <f t="shared" si="0"/>
        <v>335</v>
      </c>
      <c r="RA22" s="47" t="s">
        <v>36</v>
      </c>
      <c r="RB22" s="97">
        <v>21303.42</v>
      </c>
      <c r="RC22" s="63">
        <f>RF22+RG22</f>
        <v>0</v>
      </c>
      <c r="RD22" s="63">
        <v>13039.65</v>
      </c>
      <c r="RE22" s="97">
        <f t="shared" si="1"/>
        <v>21303.42</v>
      </c>
      <c r="RF22" s="107"/>
      <c r="RG22" s="107"/>
      <c r="RH22" s="83">
        <f t="shared" si="2"/>
        <v>1.6337417031898862</v>
      </c>
      <c r="RI22" s="116" t="s">
        <v>549</v>
      </c>
    </row>
    <row r="23" spans="1:477" s="5" customFormat="1" ht="12.75" customHeight="1" x14ac:dyDescent="0.2">
      <c r="A23" s="48">
        <v>44950</v>
      </c>
      <c r="B23" s="81" t="s">
        <v>534</v>
      </c>
      <c r="C23" s="98"/>
      <c r="D23" s="98"/>
      <c r="E23" s="99"/>
      <c r="F23" s="99"/>
      <c r="G23" s="99"/>
      <c r="H23" s="99"/>
      <c r="I23" s="99"/>
      <c r="J23" s="99"/>
      <c r="K23" s="99"/>
      <c r="L23" s="99"/>
      <c r="M23" s="99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00"/>
      <c r="BQ23" s="100"/>
      <c r="BR23" s="100"/>
      <c r="BS23" s="100"/>
      <c r="BT23" s="100"/>
      <c r="BU23" s="100"/>
      <c r="BV23" s="100"/>
      <c r="BW23" s="100"/>
      <c r="BX23" s="100"/>
      <c r="BY23" s="100"/>
      <c r="BZ23" s="100"/>
      <c r="CA23" s="100"/>
      <c r="CB23" s="100"/>
      <c r="CC23" s="100"/>
      <c r="CD23" s="100"/>
      <c r="CE23" s="100"/>
      <c r="CF23" s="100"/>
      <c r="CG23" s="100"/>
      <c r="CH23" s="100"/>
      <c r="CI23" s="100"/>
      <c r="CJ23" s="100"/>
      <c r="CK23" s="100"/>
      <c r="CL23" s="100"/>
      <c r="CM23" s="100"/>
      <c r="CN23" s="10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0"/>
      <c r="DK23" s="100"/>
      <c r="DL23" s="100"/>
      <c r="DM23" s="100"/>
      <c r="DN23" s="100"/>
      <c r="DO23" s="100"/>
      <c r="DP23" s="100"/>
      <c r="DQ23" s="100"/>
      <c r="DR23" s="100"/>
      <c r="DS23" s="100"/>
      <c r="DT23" s="100"/>
      <c r="DU23" s="100">
        <v>10</v>
      </c>
      <c r="DV23" s="100"/>
      <c r="DW23" s="100"/>
      <c r="DX23" s="100"/>
      <c r="DY23" s="100"/>
      <c r="DZ23" s="100"/>
      <c r="EA23" s="100"/>
      <c r="EB23" s="100">
        <v>22</v>
      </c>
      <c r="EC23" s="100"/>
      <c r="ED23" s="100"/>
      <c r="EE23" s="100"/>
      <c r="EF23" s="100"/>
      <c r="EG23" s="100"/>
      <c r="EH23" s="100">
        <v>5</v>
      </c>
      <c r="EI23" s="100"/>
      <c r="EJ23" s="100"/>
      <c r="EK23" s="100"/>
      <c r="EL23" s="100"/>
      <c r="EM23" s="100"/>
      <c r="EN23" s="100"/>
      <c r="EO23" s="100"/>
      <c r="EP23" s="100"/>
      <c r="EQ23" s="100"/>
      <c r="ER23" s="100"/>
      <c r="ES23" s="100"/>
      <c r="ET23" s="100"/>
      <c r="EU23" s="100"/>
      <c r="EV23" s="100"/>
      <c r="EW23" s="100"/>
      <c r="EX23" s="100"/>
      <c r="EY23" s="100"/>
      <c r="EZ23" s="100"/>
      <c r="FA23" s="100"/>
      <c r="FB23" s="100"/>
      <c r="FC23" s="100"/>
      <c r="FD23" s="100"/>
      <c r="FE23" s="100"/>
      <c r="FF23" s="100"/>
      <c r="FG23" s="100"/>
      <c r="FH23" s="100"/>
      <c r="FI23" s="100"/>
      <c r="FJ23" s="100"/>
      <c r="FK23" s="100"/>
      <c r="FL23" s="100"/>
      <c r="FM23" s="100"/>
      <c r="FN23" s="100"/>
      <c r="FO23" s="100"/>
      <c r="FP23" s="100"/>
      <c r="FQ23" s="100"/>
      <c r="FR23" s="100"/>
      <c r="FS23" s="100"/>
      <c r="FT23" s="100"/>
      <c r="FU23" s="100"/>
      <c r="FV23" s="100"/>
      <c r="FW23" s="100"/>
      <c r="FX23" s="100"/>
      <c r="FY23" s="100"/>
      <c r="FZ23" s="100"/>
      <c r="GA23" s="100"/>
      <c r="GB23" s="100"/>
      <c r="GC23" s="100">
        <v>27</v>
      </c>
      <c r="GD23" s="100"/>
      <c r="GE23" s="100"/>
      <c r="GF23" s="100"/>
      <c r="GG23" s="100"/>
      <c r="GH23" s="100"/>
      <c r="GI23" s="100"/>
      <c r="GJ23" s="100"/>
      <c r="GK23" s="100"/>
      <c r="GL23" s="100"/>
      <c r="GM23" s="100"/>
      <c r="GN23" s="100"/>
      <c r="GO23" s="100"/>
      <c r="GP23" s="100"/>
      <c r="GQ23" s="100"/>
      <c r="GR23" s="100"/>
      <c r="GS23" s="100"/>
      <c r="GT23" s="100"/>
      <c r="GU23" s="100"/>
      <c r="GV23" s="100"/>
      <c r="GW23" s="100"/>
      <c r="GX23" s="100"/>
      <c r="GY23" s="100"/>
      <c r="GZ23" s="100"/>
      <c r="HA23" s="100"/>
      <c r="HB23" s="100"/>
      <c r="HC23" s="100"/>
      <c r="HD23" s="100"/>
      <c r="HE23" s="100"/>
      <c r="HF23" s="100"/>
      <c r="HG23" s="100"/>
      <c r="HH23" s="100"/>
      <c r="HI23" s="100"/>
      <c r="HJ23" s="100"/>
      <c r="HK23" s="100"/>
      <c r="HL23" s="100"/>
      <c r="HM23" s="100"/>
      <c r="HN23" s="100"/>
      <c r="HO23" s="100"/>
      <c r="HP23" s="100"/>
      <c r="HQ23" s="100"/>
      <c r="HR23" s="100"/>
      <c r="HS23" s="100"/>
      <c r="HT23" s="100"/>
      <c r="HU23" s="100"/>
      <c r="HV23" s="100"/>
      <c r="HW23" s="100"/>
      <c r="HX23" s="100"/>
      <c r="HY23" s="100"/>
      <c r="HZ23" s="100"/>
      <c r="IA23" s="100"/>
      <c r="IB23" s="100"/>
      <c r="IC23" s="100"/>
      <c r="ID23" s="100"/>
      <c r="IE23" s="100"/>
      <c r="IF23" s="100"/>
      <c r="IG23" s="100"/>
      <c r="IH23" s="100"/>
      <c r="II23" s="100"/>
      <c r="IJ23" s="100"/>
      <c r="IK23" s="100"/>
      <c r="IL23" s="100"/>
      <c r="IM23" s="100"/>
      <c r="IN23" s="100"/>
      <c r="IO23" s="100"/>
      <c r="IP23" s="100"/>
      <c r="IQ23" s="100"/>
      <c r="IR23" s="100"/>
      <c r="IS23" s="100"/>
      <c r="IT23" s="100"/>
      <c r="IU23" s="100"/>
      <c r="IV23" s="100"/>
      <c r="IW23" s="100"/>
      <c r="IX23" s="100"/>
      <c r="IY23" s="100"/>
      <c r="IZ23" s="100"/>
      <c r="JA23" s="100"/>
      <c r="JB23" s="100"/>
      <c r="JC23" s="100"/>
      <c r="JD23" s="100"/>
      <c r="JE23" s="100"/>
      <c r="JF23" s="100"/>
      <c r="JG23" s="100"/>
      <c r="JH23" s="100"/>
      <c r="JI23" s="100"/>
      <c r="JJ23" s="100"/>
      <c r="JK23" s="100"/>
      <c r="JL23" s="100"/>
      <c r="JM23" s="100"/>
      <c r="JN23" s="100"/>
      <c r="JO23" s="100"/>
      <c r="JP23" s="100"/>
      <c r="JQ23" s="100"/>
      <c r="JR23" s="100"/>
      <c r="JS23" s="100"/>
      <c r="JT23" s="100"/>
      <c r="JU23" s="100"/>
      <c r="JV23" s="100"/>
      <c r="JW23" s="100"/>
      <c r="JX23" s="100"/>
      <c r="JY23" s="100"/>
      <c r="JZ23" s="100"/>
      <c r="KA23" s="100"/>
      <c r="KB23" s="100"/>
      <c r="KC23" s="100"/>
      <c r="KD23" s="100"/>
      <c r="KE23" s="100"/>
      <c r="KF23" s="100"/>
      <c r="KG23" s="100"/>
      <c r="KH23" s="100"/>
      <c r="KI23" s="100"/>
      <c r="KJ23" s="100"/>
      <c r="KK23" s="100"/>
      <c r="KL23" s="100"/>
      <c r="KM23" s="100"/>
      <c r="KN23" s="100"/>
      <c r="KO23" s="100"/>
      <c r="KP23" s="100"/>
      <c r="KQ23" s="100"/>
      <c r="KR23" s="100"/>
      <c r="KS23" s="100"/>
      <c r="KT23" s="100"/>
      <c r="KU23" s="100"/>
      <c r="KV23" s="100"/>
      <c r="KW23" s="100"/>
      <c r="KX23" s="100"/>
      <c r="KY23" s="100"/>
      <c r="KZ23" s="100"/>
      <c r="LA23" s="100"/>
      <c r="LB23" s="100"/>
      <c r="LC23" s="100"/>
      <c r="LD23" s="100"/>
      <c r="LE23" s="100"/>
      <c r="LF23" s="100"/>
      <c r="LG23" s="100"/>
      <c r="LH23" s="100"/>
      <c r="LI23" s="100"/>
      <c r="LJ23" s="100"/>
      <c r="LK23" s="100"/>
      <c r="LL23" s="100"/>
      <c r="LM23" s="100"/>
      <c r="LN23" s="100"/>
      <c r="LO23" s="100"/>
      <c r="LP23" s="100"/>
      <c r="LQ23" s="100"/>
      <c r="LR23" s="100"/>
      <c r="LS23" s="100"/>
      <c r="LT23" s="100"/>
      <c r="LU23" s="100"/>
      <c r="LV23" s="100"/>
      <c r="LW23" s="100"/>
      <c r="LX23" s="100"/>
      <c r="LY23" s="100"/>
      <c r="LZ23" s="100"/>
      <c r="MA23" s="100"/>
      <c r="MB23" s="100"/>
      <c r="MC23" s="100"/>
      <c r="MD23" s="100"/>
      <c r="ME23" s="100"/>
      <c r="MF23" s="100"/>
      <c r="MG23" s="100"/>
      <c r="MH23" s="100"/>
      <c r="MI23" s="100"/>
      <c r="MJ23" s="100"/>
      <c r="MK23" s="100"/>
      <c r="ML23" s="100"/>
      <c r="MM23" s="100"/>
      <c r="MN23" s="100"/>
      <c r="MO23" s="100"/>
      <c r="MP23" s="100"/>
      <c r="MQ23" s="100"/>
      <c r="MR23" s="100"/>
      <c r="MS23" s="100"/>
      <c r="MT23" s="100"/>
      <c r="MU23" s="100"/>
      <c r="MV23" s="100"/>
      <c r="MW23" s="100"/>
      <c r="MX23" s="100"/>
      <c r="MY23" s="100"/>
      <c r="MZ23" s="100"/>
      <c r="NA23" s="100"/>
      <c r="NB23" s="100"/>
      <c r="NC23" s="100"/>
      <c r="ND23" s="100"/>
      <c r="NE23" s="100"/>
      <c r="NF23" s="100"/>
      <c r="NG23" s="100"/>
      <c r="NH23" s="100"/>
      <c r="NI23" s="100"/>
      <c r="NJ23" s="100"/>
      <c r="NK23" s="100"/>
      <c r="NL23" s="100"/>
      <c r="NM23" s="100"/>
      <c r="NN23" s="100"/>
      <c r="NO23" s="100"/>
      <c r="NP23" s="100"/>
      <c r="NQ23" s="100"/>
      <c r="NR23" s="100"/>
      <c r="NS23" s="100"/>
      <c r="NT23" s="100"/>
      <c r="NU23" s="100"/>
      <c r="NV23" s="100"/>
      <c r="NW23" s="100"/>
      <c r="NX23" s="100"/>
      <c r="NY23" s="100"/>
      <c r="NZ23" s="100"/>
      <c r="OA23" s="100"/>
      <c r="OB23" s="100"/>
      <c r="OC23" s="100"/>
      <c r="OD23" s="100"/>
      <c r="OE23" s="100"/>
      <c r="OF23" s="100"/>
      <c r="OG23" s="100"/>
      <c r="OH23" s="100"/>
      <c r="OI23" s="100"/>
      <c r="OJ23" s="100"/>
      <c r="OK23" s="100"/>
      <c r="OL23" s="100"/>
      <c r="OM23" s="100"/>
      <c r="ON23" s="100"/>
      <c r="OO23" s="100"/>
      <c r="OP23" s="100"/>
      <c r="OQ23" s="100"/>
      <c r="OR23" s="100"/>
      <c r="OS23" s="100"/>
      <c r="OT23" s="100"/>
      <c r="OU23" s="100"/>
      <c r="OV23" s="100"/>
      <c r="OW23" s="100"/>
      <c r="OX23" s="100"/>
      <c r="OY23" s="100"/>
      <c r="OZ23" s="100"/>
      <c r="PA23" s="100"/>
      <c r="PB23" s="100"/>
      <c r="PC23" s="100"/>
      <c r="PD23" s="100"/>
      <c r="PE23" s="100"/>
      <c r="PF23" s="100"/>
      <c r="PG23" s="100"/>
      <c r="PH23" s="100"/>
      <c r="PI23" s="100"/>
      <c r="PJ23" s="100"/>
      <c r="PK23" s="100"/>
      <c r="PL23" s="100"/>
      <c r="PM23" s="100"/>
      <c r="PN23" s="100"/>
      <c r="PO23" s="100"/>
      <c r="PP23" s="100"/>
      <c r="PQ23" s="100"/>
      <c r="PR23" s="100"/>
      <c r="PS23" s="100"/>
      <c r="PT23" s="100"/>
      <c r="PU23" s="100"/>
      <c r="PV23" s="100"/>
      <c r="PW23" s="100"/>
      <c r="PX23" s="100"/>
      <c r="PY23" s="100"/>
      <c r="PZ23" s="100"/>
      <c r="QA23" s="100"/>
      <c r="QB23" s="100"/>
      <c r="QC23" s="100"/>
      <c r="QD23" s="100"/>
      <c r="QE23" s="100"/>
      <c r="QF23" s="100"/>
      <c r="QG23" s="100"/>
      <c r="QH23" s="100"/>
      <c r="QI23" s="100"/>
      <c r="QJ23" s="100"/>
      <c r="QK23" s="100"/>
      <c r="QL23" s="100"/>
      <c r="QM23" s="100"/>
      <c r="QN23" s="100"/>
      <c r="QO23" s="100"/>
      <c r="QP23" s="100"/>
      <c r="QQ23" s="100"/>
      <c r="QR23" s="100"/>
      <c r="QS23" s="100"/>
      <c r="QT23" s="100"/>
      <c r="QU23" s="100"/>
      <c r="QV23" s="100"/>
      <c r="QW23" s="100"/>
      <c r="QX23" s="100"/>
      <c r="QY23" s="100"/>
      <c r="QZ23" s="23">
        <f t="shared" si="0"/>
        <v>64</v>
      </c>
      <c r="RA23" s="47" t="s">
        <v>36</v>
      </c>
      <c r="RB23" s="97">
        <v>3552.12</v>
      </c>
      <c r="RC23" s="63">
        <f>RF23</f>
        <v>3552.12</v>
      </c>
      <c r="RD23" s="63">
        <v>2079.31</v>
      </c>
      <c r="RE23" s="97">
        <f t="shared" si="1"/>
        <v>0</v>
      </c>
      <c r="RF23" s="107">
        <v>3552.12</v>
      </c>
      <c r="RG23" s="107"/>
      <c r="RH23" s="83">
        <f t="shared" si="2"/>
        <v>1.7083167012133833</v>
      </c>
      <c r="RI23" s="116"/>
    </row>
    <row r="24" spans="1:477" s="5" customFormat="1" ht="12.75" customHeight="1" x14ac:dyDescent="0.2">
      <c r="A24" s="48">
        <v>44950</v>
      </c>
      <c r="B24" s="90" t="s">
        <v>75</v>
      </c>
      <c r="C24" s="98"/>
      <c r="D24" s="98"/>
      <c r="E24" s="99"/>
      <c r="F24" s="99"/>
      <c r="G24" s="99"/>
      <c r="H24" s="99"/>
      <c r="I24" s="99"/>
      <c r="J24" s="99"/>
      <c r="K24" s="99"/>
      <c r="L24" s="99"/>
      <c r="M24" s="99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BO24" s="100"/>
      <c r="BP24" s="100"/>
      <c r="BQ24" s="100"/>
      <c r="BR24" s="100"/>
      <c r="BS24" s="100"/>
      <c r="BT24" s="100"/>
      <c r="BU24" s="100"/>
      <c r="BV24" s="100"/>
      <c r="BW24" s="100"/>
      <c r="BX24" s="100"/>
      <c r="BY24" s="100"/>
      <c r="BZ24" s="100"/>
      <c r="CA24" s="100"/>
      <c r="CB24" s="100"/>
      <c r="CC24" s="100"/>
      <c r="CD24" s="100"/>
      <c r="CE24" s="100"/>
      <c r="CF24" s="100"/>
      <c r="CG24" s="100"/>
      <c r="CH24" s="100"/>
      <c r="CI24" s="100"/>
      <c r="CJ24" s="100"/>
      <c r="CK24" s="100"/>
      <c r="CL24" s="100"/>
      <c r="CM24" s="100"/>
      <c r="CN24" s="100"/>
      <c r="CO24" s="100"/>
      <c r="CP24" s="100"/>
      <c r="CQ24" s="100"/>
      <c r="CR24" s="100"/>
      <c r="CS24" s="100"/>
      <c r="CT24" s="100"/>
      <c r="CU24" s="100"/>
      <c r="CV24" s="100"/>
      <c r="CW24" s="100"/>
      <c r="CX24" s="100"/>
      <c r="CY24" s="100"/>
      <c r="CZ24" s="100"/>
      <c r="DA24" s="100"/>
      <c r="DB24" s="100"/>
      <c r="DC24" s="100"/>
      <c r="DD24" s="100"/>
      <c r="DE24" s="100"/>
      <c r="DF24" s="100"/>
      <c r="DG24" s="100"/>
      <c r="DH24" s="100"/>
      <c r="DI24" s="100"/>
      <c r="DJ24" s="100"/>
      <c r="DK24" s="100"/>
      <c r="DL24" s="100"/>
      <c r="DM24" s="100"/>
      <c r="DN24" s="100"/>
      <c r="DO24" s="100"/>
      <c r="DP24" s="100"/>
      <c r="DQ24" s="100"/>
      <c r="DR24" s="100"/>
      <c r="DS24" s="100"/>
      <c r="DT24" s="100"/>
      <c r="DU24" s="100"/>
      <c r="DV24" s="100"/>
      <c r="DW24" s="100"/>
      <c r="DX24" s="100"/>
      <c r="DY24" s="100"/>
      <c r="DZ24" s="100"/>
      <c r="EA24" s="100"/>
      <c r="EB24" s="100"/>
      <c r="EC24" s="100"/>
      <c r="ED24" s="100"/>
      <c r="EE24" s="100"/>
      <c r="EF24" s="100"/>
      <c r="EG24" s="100"/>
      <c r="EH24" s="100"/>
      <c r="EI24" s="100"/>
      <c r="EJ24" s="100"/>
      <c r="EK24" s="100"/>
      <c r="EL24" s="100"/>
      <c r="EM24" s="100"/>
      <c r="EN24" s="100"/>
      <c r="EO24" s="100"/>
      <c r="EP24" s="100"/>
      <c r="EQ24" s="100"/>
      <c r="ER24" s="100"/>
      <c r="ES24" s="100"/>
      <c r="ET24" s="100"/>
      <c r="EU24" s="100"/>
      <c r="EV24" s="100"/>
      <c r="EW24" s="100"/>
      <c r="EX24" s="100"/>
      <c r="EY24" s="100"/>
      <c r="EZ24" s="100"/>
      <c r="FA24" s="100"/>
      <c r="FB24" s="100"/>
      <c r="FC24" s="100"/>
      <c r="FD24" s="100"/>
      <c r="FE24" s="100"/>
      <c r="FF24" s="100"/>
      <c r="FG24" s="100"/>
      <c r="FH24" s="100"/>
      <c r="FI24" s="100"/>
      <c r="FJ24" s="100"/>
      <c r="FK24" s="100"/>
      <c r="FL24" s="100"/>
      <c r="FM24" s="100"/>
      <c r="FN24" s="100"/>
      <c r="FO24" s="100"/>
      <c r="FP24" s="100"/>
      <c r="FQ24" s="100"/>
      <c r="FR24" s="100"/>
      <c r="FS24" s="100"/>
      <c r="FT24" s="100"/>
      <c r="FU24" s="100"/>
      <c r="FV24" s="100"/>
      <c r="FW24" s="100"/>
      <c r="FX24" s="100"/>
      <c r="FY24" s="100"/>
      <c r="FZ24" s="100"/>
      <c r="GA24" s="100"/>
      <c r="GB24" s="100"/>
      <c r="GC24" s="100"/>
      <c r="GD24" s="100"/>
      <c r="GE24" s="100"/>
      <c r="GF24" s="100"/>
      <c r="GG24" s="100"/>
      <c r="GH24" s="100"/>
      <c r="GI24" s="100"/>
      <c r="GJ24" s="100"/>
      <c r="GK24" s="100"/>
      <c r="GL24" s="100"/>
      <c r="GM24" s="100"/>
      <c r="GN24" s="100"/>
      <c r="GO24" s="100"/>
      <c r="GP24" s="100"/>
      <c r="GQ24" s="100"/>
      <c r="GR24" s="100"/>
      <c r="GS24" s="100"/>
      <c r="GT24" s="100"/>
      <c r="GU24" s="100"/>
      <c r="GV24" s="100"/>
      <c r="GW24" s="100"/>
      <c r="GX24" s="100"/>
      <c r="GY24" s="100"/>
      <c r="GZ24" s="100"/>
      <c r="HA24" s="100"/>
      <c r="HB24" s="100"/>
      <c r="HC24" s="100"/>
      <c r="HD24" s="100"/>
      <c r="HE24" s="100"/>
      <c r="HF24" s="100"/>
      <c r="HG24" s="100"/>
      <c r="HH24" s="100"/>
      <c r="HI24" s="100"/>
      <c r="HJ24" s="100"/>
      <c r="HK24" s="100"/>
      <c r="HL24" s="100"/>
      <c r="HM24" s="100"/>
      <c r="HN24" s="100"/>
      <c r="HO24" s="100"/>
      <c r="HP24" s="100"/>
      <c r="HQ24" s="100"/>
      <c r="HR24" s="100"/>
      <c r="HS24" s="100"/>
      <c r="HT24" s="100"/>
      <c r="HU24" s="100"/>
      <c r="HV24" s="100"/>
      <c r="HW24" s="100"/>
      <c r="HX24" s="100"/>
      <c r="HY24" s="100"/>
      <c r="HZ24" s="100"/>
      <c r="IA24" s="100"/>
      <c r="IB24" s="100"/>
      <c r="IC24" s="100"/>
      <c r="ID24" s="100"/>
      <c r="IE24" s="100"/>
      <c r="IF24" s="100"/>
      <c r="IG24" s="100"/>
      <c r="IH24" s="100"/>
      <c r="II24" s="100"/>
      <c r="IJ24" s="100"/>
      <c r="IK24" s="100"/>
      <c r="IL24" s="100"/>
      <c r="IM24" s="100"/>
      <c r="IN24" s="100"/>
      <c r="IO24" s="100"/>
      <c r="IP24" s="100"/>
      <c r="IQ24" s="100"/>
      <c r="IR24" s="100"/>
      <c r="IS24" s="100"/>
      <c r="IT24" s="100"/>
      <c r="IU24" s="100"/>
      <c r="IV24" s="100"/>
      <c r="IW24" s="100"/>
      <c r="IX24" s="100"/>
      <c r="IY24" s="100"/>
      <c r="IZ24" s="100"/>
      <c r="JA24" s="100"/>
      <c r="JB24" s="100"/>
      <c r="JC24" s="100"/>
      <c r="JD24" s="100"/>
      <c r="JE24" s="100"/>
      <c r="JF24" s="100"/>
      <c r="JG24" s="100"/>
      <c r="JH24" s="100"/>
      <c r="JI24" s="100"/>
      <c r="JJ24" s="100"/>
      <c r="JK24" s="100"/>
      <c r="JL24" s="100"/>
      <c r="JM24" s="100"/>
      <c r="JN24" s="100"/>
      <c r="JO24" s="100"/>
      <c r="JP24" s="100"/>
      <c r="JQ24" s="100"/>
      <c r="JR24" s="100"/>
      <c r="JS24" s="100"/>
      <c r="JT24" s="100"/>
      <c r="JU24" s="100"/>
      <c r="JV24" s="100"/>
      <c r="JW24" s="100"/>
      <c r="JX24" s="100"/>
      <c r="JY24" s="100"/>
      <c r="JZ24" s="100"/>
      <c r="KA24" s="100"/>
      <c r="KB24" s="100"/>
      <c r="KC24" s="100"/>
      <c r="KD24" s="100"/>
      <c r="KE24" s="100"/>
      <c r="KF24" s="100"/>
      <c r="KG24" s="100"/>
      <c r="KH24" s="100"/>
      <c r="KI24" s="100"/>
      <c r="KJ24" s="100"/>
      <c r="KK24" s="100"/>
      <c r="KL24" s="100"/>
      <c r="KM24" s="100"/>
      <c r="KN24" s="100"/>
      <c r="KO24" s="100"/>
      <c r="KP24" s="100"/>
      <c r="KQ24" s="100"/>
      <c r="KR24" s="100"/>
      <c r="KS24" s="100"/>
      <c r="KT24" s="100"/>
      <c r="KU24" s="100"/>
      <c r="KV24" s="100"/>
      <c r="KW24" s="100"/>
      <c r="KX24" s="100"/>
      <c r="KY24" s="100"/>
      <c r="KZ24" s="100"/>
      <c r="LA24" s="100"/>
      <c r="LB24" s="100"/>
      <c r="LC24" s="100"/>
      <c r="LD24" s="100"/>
      <c r="LE24" s="100"/>
      <c r="LF24" s="100"/>
      <c r="LG24" s="100"/>
      <c r="LH24" s="100"/>
      <c r="LI24" s="100"/>
      <c r="LJ24" s="100"/>
      <c r="LK24" s="100"/>
      <c r="LL24" s="100"/>
      <c r="LM24" s="100"/>
      <c r="LN24" s="100"/>
      <c r="LO24" s="100"/>
      <c r="LP24" s="100"/>
      <c r="LQ24" s="100"/>
      <c r="LR24" s="100"/>
      <c r="LS24" s="100"/>
      <c r="LT24" s="100"/>
      <c r="LU24" s="100"/>
      <c r="LV24" s="100"/>
      <c r="LW24" s="100"/>
      <c r="LX24" s="100"/>
      <c r="LY24" s="100"/>
      <c r="LZ24" s="100"/>
      <c r="MA24" s="100"/>
      <c r="MB24" s="100"/>
      <c r="MC24" s="100"/>
      <c r="MD24" s="100"/>
      <c r="ME24" s="100"/>
      <c r="MF24" s="100"/>
      <c r="MG24" s="100"/>
      <c r="MH24" s="100"/>
      <c r="MI24" s="100"/>
      <c r="MJ24" s="100"/>
      <c r="MK24" s="100"/>
      <c r="ML24" s="100"/>
      <c r="MM24" s="100"/>
      <c r="MN24" s="100"/>
      <c r="MO24" s="100"/>
      <c r="MP24" s="100"/>
      <c r="MQ24" s="100"/>
      <c r="MR24" s="100"/>
      <c r="MS24" s="100"/>
      <c r="MT24" s="100"/>
      <c r="MU24" s="100"/>
      <c r="MV24" s="100"/>
      <c r="MW24" s="100"/>
      <c r="MX24" s="100"/>
      <c r="MY24" s="100"/>
      <c r="MZ24" s="100"/>
      <c r="NA24" s="100"/>
      <c r="NB24" s="100"/>
      <c r="NC24" s="100"/>
      <c r="ND24" s="100"/>
      <c r="NE24" s="100"/>
      <c r="NF24" s="100"/>
      <c r="NG24" s="100"/>
      <c r="NH24" s="100"/>
      <c r="NI24" s="100"/>
      <c r="NJ24" s="100"/>
      <c r="NK24" s="100"/>
      <c r="NL24" s="100"/>
      <c r="NM24" s="100"/>
      <c r="NN24" s="100"/>
      <c r="NO24" s="100"/>
      <c r="NP24" s="100"/>
      <c r="NQ24" s="100"/>
      <c r="NR24" s="100"/>
      <c r="NS24" s="100"/>
      <c r="NT24" s="100"/>
      <c r="NU24" s="100"/>
      <c r="NV24" s="100"/>
      <c r="NW24" s="100"/>
      <c r="NX24" s="100"/>
      <c r="NY24" s="100"/>
      <c r="NZ24" s="100"/>
      <c r="OA24" s="100"/>
      <c r="OB24" s="100"/>
      <c r="OC24" s="100"/>
      <c r="OD24" s="100"/>
      <c r="OE24" s="100"/>
      <c r="OF24" s="100"/>
      <c r="OG24" s="100"/>
      <c r="OH24" s="100"/>
      <c r="OI24" s="100"/>
      <c r="OJ24" s="100"/>
      <c r="OK24" s="100"/>
      <c r="OL24" s="100"/>
      <c r="OM24" s="100"/>
      <c r="ON24" s="100"/>
      <c r="OO24" s="100"/>
      <c r="OP24" s="100"/>
      <c r="OQ24" s="100"/>
      <c r="OR24" s="100"/>
      <c r="OS24" s="100"/>
      <c r="OT24" s="100"/>
      <c r="OU24" s="100"/>
      <c r="OV24" s="100"/>
      <c r="OW24" s="100"/>
      <c r="OX24" s="100"/>
      <c r="OY24" s="100"/>
      <c r="OZ24" s="100"/>
      <c r="PA24" s="100"/>
      <c r="PB24" s="100"/>
      <c r="PC24" s="100"/>
      <c r="PD24" s="100"/>
      <c r="PE24" s="100"/>
      <c r="PF24" s="100"/>
      <c r="PG24" s="100"/>
      <c r="PH24" s="100"/>
      <c r="PI24" s="100"/>
      <c r="PJ24" s="100"/>
      <c r="PK24" s="100"/>
      <c r="PL24" s="100"/>
      <c r="PM24" s="100"/>
      <c r="PN24" s="100"/>
      <c r="PO24" s="100"/>
      <c r="PP24" s="100"/>
      <c r="PQ24" s="100"/>
      <c r="PR24" s="100"/>
      <c r="PS24" s="100"/>
      <c r="PT24" s="100"/>
      <c r="PU24" s="100"/>
      <c r="PV24" s="100"/>
      <c r="PW24" s="100"/>
      <c r="PX24" s="100"/>
      <c r="PY24" s="100"/>
      <c r="PZ24" s="100"/>
      <c r="QA24" s="100"/>
      <c r="QB24" s="100"/>
      <c r="QC24" s="100"/>
      <c r="QD24" s="100"/>
      <c r="QE24" s="100"/>
      <c r="QF24" s="100"/>
      <c r="QG24" s="100"/>
      <c r="QH24" s="100"/>
      <c r="QI24" s="100"/>
      <c r="QJ24" s="100">
        <v>150</v>
      </c>
      <c r="QK24" s="100"/>
      <c r="QL24" s="100"/>
      <c r="QM24" s="100"/>
      <c r="QN24" s="100"/>
      <c r="QO24" s="100"/>
      <c r="QP24" s="100"/>
      <c r="QQ24" s="100"/>
      <c r="QR24" s="100"/>
      <c r="QS24" s="100"/>
      <c r="QT24" s="100"/>
      <c r="QU24" s="100"/>
      <c r="QV24" s="100"/>
      <c r="QW24" s="100"/>
      <c r="QX24" s="100"/>
      <c r="QY24" s="100"/>
      <c r="QZ24" s="23">
        <f t="shared" si="0"/>
        <v>150</v>
      </c>
      <c r="RA24" s="47" t="s">
        <v>91</v>
      </c>
      <c r="RB24" s="97">
        <v>8343</v>
      </c>
      <c r="RC24" s="63">
        <f>RF24+RG24</f>
        <v>0</v>
      </c>
      <c r="RD24" s="63">
        <v>5428.5</v>
      </c>
      <c r="RE24" s="97">
        <f t="shared" si="1"/>
        <v>8343</v>
      </c>
      <c r="RF24" s="107"/>
      <c r="RG24" s="107"/>
      <c r="RH24" s="83">
        <f t="shared" si="2"/>
        <v>1.536888643271622</v>
      </c>
      <c r="RI24" s="116"/>
    </row>
    <row r="25" spans="1:477" s="5" customFormat="1" ht="12.75" customHeight="1" x14ac:dyDescent="0.2">
      <c r="A25" s="48">
        <v>44950</v>
      </c>
      <c r="B25" s="81" t="s">
        <v>140</v>
      </c>
      <c r="C25" s="98"/>
      <c r="D25" s="98"/>
      <c r="E25" s="99"/>
      <c r="F25" s="99"/>
      <c r="G25" s="99"/>
      <c r="H25" s="99"/>
      <c r="I25" s="99"/>
      <c r="J25" s="99"/>
      <c r="K25" s="99"/>
      <c r="L25" s="99"/>
      <c r="M25" s="99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00"/>
      <c r="BQ25" s="100"/>
      <c r="BR25" s="100"/>
      <c r="BS25" s="100"/>
      <c r="BT25" s="100"/>
      <c r="BU25" s="100"/>
      <c r="BV25" s="100"/>
      <c r="BW25" s="100"/>
      <c r="BX25" s="100"/>
      <c r="BY25" s="100"/>
      <c r="BZ25" s="100"/>
      <c r="CA25" s="100"/>
      <c r="CB25" s="100"/>
      <c r="CC25" s="100"/>
      <c r="CD25" s="100"/>
      <c r="CE25" s="100"/>
      <c r="CF25" s="100"/>
      <c r="CG25" s="100"/>
      <c r="CH25" s="100"/>
      <c r="CI25" s="100"/>
      <c r="CJ25" s="100"/>
      <c r="CK25" s="100"/>
      <c r="CL25" s="100"/>
      <c r="CM25" s="100"/>
      <c r="CN25" s="100"/>
      <c r="CO25" s="100"/>
      <c r="CP25" s="100"/>
      <c r="CQ25" s="100"/>
      <c r="CR25" s="100"/>
      <c r="CS25" s="100"/>
      <c r="CT25" s="100"/>
      <c r="CU25" s="100"/>
      <c r="CV25" s="100"/>
      <c r="CW25" s="100"/>
      <c r="CX25" s="100"/>
      <c r="CY25" s="100"/>
      <c r="CZ25" s="100"/>
      <c r="DA25" s="100"/>
      <c r="DB25" s="100"/>
      <c r="DC25" s="100"/>
      <c r="DD25" s="100"/>
      <c r="DE25" s="100"/>
      <c r="DF25" s="100"/>
      <c r="DG25" s="100"/>
      <c r="DH25" s="100"/>
      <c r="DI25" s="100"/>
      <c r="DJ25" s="100"/>
      <c r="DK25" s="100"/>
      <c r="DL25" s="100"/>
      <c r="DM25" s="100"/>
      <c r="DN25" s="100"/>
      <c r="DO25" s="100"/>
      <c r="DP25" s="100"/>
      <c r="DQ25" s="100"/>
      <c r="DR25" s="100"/>
      <c r="DS25" s="100"/>
      <c r="DT25" s="100"/>
      <c r="DU25" s="100"/>
      <c r="DV25" s="100"/>
      <c r="DW25" s="100"/>
      <c r="DX25" s="100"/>
      <c r="DY25" s="100"/>
      <c r="DZ25" s="100"/>
      <c r="EA25" s="100"/>
      <c r="EB25" s="100"/>
      <c r="EC25" s="100"/>
      <c r="ED25" s="100"/>
      <c r="EE25" s="100"/>
      <c r="EF25" s="100"/>
      <c r="EG25" s="100">
        <v>0.9</v>
      </c>
      <c r="EH25" s="100">
        <v>10</v>
      </c>
      <c r="EI25" s="100"/>
      <c r="EJ25" s="100"/>
      <c r="EK25" s="100"/>
      <c r="EL25" s="100"/>
      <c r="EM25" s="100"/>
      <c r="EN25" s="100"/>
      <c r="EO25" s="100"/>
      <c r="EP25" s="100"/>
      <c r="EQ25" s="100"/>
      <c r="ER25" s="100"/>
      <c r="ES25" s="100"/>
      <c r="ET25" s="100"/>
      <c r="EU25" s="100"/>
      <c r="EV25" s="100"/>
      <c r="EW25" s="100"/>
      <c r="EX25" s="100"/>
      <c r="EY25" s="100"/>
      <c r="EZ25" s="100"/>
      <c r="FA25" s="100"/>
      <c r="FB25" s="100"/>
      <c r="FC25" s="100"/>
      <c r="FD25" s="100"/>
      <c r="FE25" s="100"/>
      <c r="FF25" s="100"/>
      <c r="FG25" s="100"/>
      <c r="FH25" s="100"/>
      <c r="FI25" s="100"/>
      <c r="FJ25" s="100"/>
      <c r="FK25" s="100"/>
      <c r="FL25" s="100"/>
      <c r="FM25" s="100"/>
      <c r="FN25" s="100"/>
      <c r="FO25" s="100"/>
      <c r="FP25" s="100"/>
      <c r="FQ25" s="100"/>
      <c r="FR25" s="100"/>
      <c r="FS25" s="100"/>
      <c r="FT25" s="100"/>
      <c r="FU25" s="100"/>
      <c r="FV25" s="100"/>
      <c r="FW25" s="100"/>
      <c r="FX25" s="100"/>
      <c r="FY25" s="100"/>
      <c r="FZ25" s="100"/>
      <c r="GA25" s="100"/>
      <c r="GB25" s="100"/>
      <c r="GC25" s="100"/>
      <c r="GD25" s="100">
        <v>10</v>
      </c>
      <c r="GE25" s="100"/>
      <c r="GF25" s="100"/>
      <c r="GG25" s="100"/>
      <c r="GH25" s="100"/>
      <c r="GI25" s="100"/>
      <c r="GJ25" s="100"/>
      <c r="GK25" s="100"/>
      <c r="GL25" s="100"/>
      <c r="GM25" s="100"/>
      <c r="GN25" s="100"/>
      <c r="GO25" s="100"/>
      <c r="GP25" s="100"/>
      <c r="GQ25" s="100"/>
      <c r="GR25" s="100"/>
      <c r="GS25" s="100"/>
      <c r="GT25" s="100"/>
      <c r="GU25" s="100"/>
      <c r="GV25" s="100"/>
      <c r="GW25" s="100"/>
      <c r="GX25" s="100"/>
      <c r="GY25" s="100"/>
      <c r="GZ25" s="100"/>
      <c r="HA25" s="100"/>
      <c r="HB25" s="100"/>
      <c r="HC25" s="100"/>
      <c r="HD25" s="100"/>
      <c r="HE25" s="100"/>
      <c r="HF25" s="100"/>
      <c r="HG25" s="100"/>
      <c r="HH25" s="100"/>
      <c r="HI25" s="100"/>
      <c r="HJ25" s="100"/>
      <c r="HK25" s="100"/>
      <c r="HL25" s="100"/>
      <c r="HM25" s="100"/>
      <c r="HN25" s="100"/>
      <c r="HO25" s="100"/>
      <c r="HP25" s="100"/>
      <c r="HQ25" s="100"/>
      <c r="HR25" s="100"/>
      <c r="HS25" s="100"/>
      <c r="HT25" s="100"/>
      <c r="HU25" s="100"/>
      <c r="HV25" s="100"/>
      <c r="HW25" s="100"/>
      <c r="HX25" s="100"/>
      <c r="HY25" s="100"/>
      <c r="HZ25" s="100"/>
      <c r="IA25" s="100"/>
      <c r="IB25" s="100"/>
      <c r="IC25" s="100"/>
      <c r="ID25" s="100"/>
      <c r="IE25" s="100"/>
      <c r="IF25" s="100"/>
      <c r="IG25" s="100"/>
      <c r="IH25" s="100"/>
      <c r="II25" s="100"/>
      <c r="IJ25" s="100"/>
      <c r="IK25" s="100"/>
      <c r="IL25" s="100"/>
      <c r="IM25" s="100"/>
      <c r="IN25" s="100"/>
      <c r="IO25" s="100"/>
      <c r="IP25" s="100"/>
      <c r="IQ25" s="100"/>
      <c r="IR25" s="100"/>
      <c r="IS25" s="100"/>
      <c r="IT25" s="100"/>
      <c r="IU25" s="100"/>
      <c r="IV25" s="100"/>
      <c r="IW25" s="100"/>
      <c r="IX25" s="100"/>
      <c r="IY25" s="100"/>
      <c r="IZ25" s="100"/>
      <c r="JA25" s="100"/>
      <c r="JB25" s="100"/>
      <c r="JC25" s="100"/>
      <c r="JD25" s="100"/>
      <c r="JE25" s="100"/>
      <c r="JF25" s="100"/>
      <c r="JG25" s="100"/>
      <c r="JH25" s="100"/>
      <c r="JI25" s="100"/>
      <c r="JJ25" s="100"/>
      <c r="JK25" s="100"/>
      <c r="JL25" s="100"/>
      <c r="JM25" s="100"/>
      <c r="JN25" s="100"/>
      <c r="JO25" s="100"/>
      <c r="JP25" s="100"/>
      <c r="JQ25" s="100"/>
      <c r="JR25" s="100"/>
      <c r="JS25" s="100"/>
      <c r="JT25" s="100"/>
      <c r="JU25" s="100"/>
      <c r="JV25" s="100"/>
      <c r="JW25" s="100"/>
      <c r="JX25" s="100"/>
      <c r="JY25" s="100"/>
      <c r="JZ25" s="100"/>
      <c r="KA25" s="100"/>
      <c r="KB25" s="100"/>
      <c r="KC25" s="100"/>
      <c r="KD25" s="100"/>
      <c r="KE25" s="100"/>
      <c r="KF25" s="100"/>
      <c r="KG25" s="100"/>
      <c r="KH25" s="100"/>
      <c r="KI25" s="100"/>
      <c r="KJ25" s="100"/>
      <c r="KK25" s="100"/>
      <c r="KL25" s="100"/>
      <c r="KM25" s="100"/>
      <c r="KN25" s="100"/>
      <c r="KO25" s="100"/>
      <c r="KP25" s="100"/>
      <c r="KQ25" s="100"/>
      <c r="KR25" s="100"/>
      <c r="KS25" s="100"/>
      <c r="KT25" s="100"/>
      <c r="KU25" s="100"/>
      <c r="KV25" s="100"/>
      <c r="KW25" s="100"/>
      <c r="KX25" s="100"/>
      <c r="KY25" s="100"/>
      <c r="KZ25" s="100"/>
      <c r="LA25" s="100"/>
      <c r="LB25" s="100"/>
      <c r="LC25" s="100"/>
      <c r="LD25" s="100"/>
      <c r="LE25" s="100"/>
      <c r="LF25" s="100"/>
      <c r="LG25" s="100"/>
      <c r="LH25" s="100"/>
      <c r="LI25" s="100"/>
      <c r="LJ25" s="100"/>
      <c r="LK25" s="100"/>
      <c r="LL25" s="100"/>
      <c r="LM25" s="100"/>
      <c r="LN25" s="100"/>
      <c r="LO25" s="100"/>
      <c r="LP25" s="100"/>
      <c r="LQ25" s="100"/>
      <c r="LR25" s="100"/>
      <c r="LS25" s="100"/>
      <c r="LT25" s="100"/>
      <c r="LU25" s="100"/>
      <c r="LV25" s="100"/>
      <c r="LW25" s="100"/>
      <c r="LX25" s="100"/>
      <c r="LY25" s="100"/>
      <c r="LZ25" s="100"/>
      <c r="MA25" s="100"/>
      <c r="MB25" s="100"/>
      <c r="MC25" s="100"/>
      <c r="MD25" s="100"/>
      <c r="ME25" s="100"/>
      <c r="MF25" s="100"/>
      <c r="MG25" s="100"/>
      <c r="MH25" s="100"/>
      <c r="MI25" s="100"/>
      <c r="MJ25" s="100"/>
      <c r="MK25" s="100"/>
      <c r="ML25" s="100"/>
      <c r="MM25" s="100"/>
      <c r="MN25" s="100"/>
      <c r="MO25" s="100"/>
      <c r="MP25" s="100"/>
      <c r="MQ25" s="100"/>
      <c r="MR25" s="100"/>
      <c r="MS25" s="100"/>
      <c r="MT25" s="100"/>
      <c r="MU25" s="100"/>
      <c r="MV25" s="100"/>
      <c r="MW25" s="100"/>
      <c r="MX25" s="100"/>
      <c r="MY25" s="100"/>
      <c r="MZ25" s="100"/>
      <c r="NA25" s="100"/>
      <c r="NB25" s="100"/>
      <c r="NC25" s="100"/>
      <c r="ND25" s="100"/>
      <c r="NE25" s="100"/>
      <c r="NF25" s="100"/>
      <c r="NG25" s="100"/>
      <c r="NH25" s="100"/>
      <c r="NI25" s="100"/>
      <c r="NJ25" s="100"/>
      <c r="NK25" s="100"/>
      <c r="NL25" s="100"/>
      <c r="NM25" s="100"/>
      <c r="NN25" s="100"/>
      <c r="NO25" s="100"/>
      <c r="NP25" s="100"/>
      <c r="NQ25" s="100"/>
      <c r="NR25" s="100"/>
      <c r="NS25" s="100"/>
      <c r="NT25" s="100"/>
      <c r="NU25" s="100"/>
      <c r="NV25" s="100"/>
      <c r="NW25" s="100"/>
      <c r="NX25" s="100"/>
      <c r="NY25" s="100"/>
      <c r="NZ25" s="100"/>
      <c r="OA25" s="100"/>
      <c r="OB25" s="100"/>
      <c r="OC25" s="100"/>
      <c r="OD25" s="100"/>
      <c r="OE25" s="100"/>
      <c r="OF25" s="100"/>
      <c r="OG25" s="100"/>
      <c r="OH25" s="100"/>
      <c r="OI25" s="100"/>
      <c r="OJ25" s="100"/>
      <c r="OK25" s="100"/>
      <c r="OL25" s="100"/>
      <c r="OM25" s="100"/>
      <c r="ON25" s="100"/>
      <c r="OO25" s="100"/>
      <c r="OP25" s="100"/>
      <c r="OQ25" s="100"/>
      <c r="OR25" s="100"/>
      <c r="OS25" s="100"/>
      <c r="OT25" s="100"/>
      <c r="OU25" s="100"/>
      <c r="OV25" s="100"/>
      <c r="OW25" s="100"/>
      <c r="OX25" s="100"/>
      <c r="OY25" s="100"/>
      <c r="OZ25" s="100"/>
      <c r="PA25" s="100"/>
      <c r="PB25" s="100"/>
      <c r="PC25" s="100"/>
      <c r="PD25" s="100"/>
      <c r="PE25" s="100"/>
      <c r="PF25" s="100"/>
      <c r="PG25" s="100"/>
      <c r="PH25" s="100"/>
      <c r="PI25" s="100"/>
      <c r="PJ25" s="100"/>
      <c r="PK25" s="100"/>
      <c r="PL25" s="100"/>
      <c r="PM25" s="100"/>
      <c r="PN25" s="100"/>
      <c r="PO25" s="100"/>
      <c r="PP25" s="100"/>
      <c r="PQ25" s="100"/>
      <c r="PR25" s="100"/>
      <c r="PS25" s="100"/>
      <c r="PT25" s="100"/>
      <c r="PU25" s="100"/>
      <c r="PV25" s="100"/>
      <c r="PW25" s="100"/>
      <c r="PX25" s="100"/>
      <c r="PY25" s="100"/>
      <c r="PZ25" s="100"/>
      <c r="QA25" s="100"/>
      <c r="QB25" s="100"/>
      <c r="QC25" s="100"/>
      <c r="QD25" s="100"/>
      <c r="QE25" s="100"/>
      <c r="QF25" s="100"/>
      <c r="QG25" s="100"/>
      <c r="QH25" s="100"/>
      <c r="QI25" s="100"/>
      <c r="QJ25" s="100"/>
      <c r="QK25" s="100"/>
      <c r="QL25" s="100"/>
      <c r="QM25" s="100"/>
      <c r="QN25" s="100"/>
      <c r="QO25" s="100"/>
      <c r="QP25" s="100"/>
      <c r="QQ25" s="100"/>
      <c r="QR25" s="100"/>
      <c r="QS25" s="100"/>
      <c r="QT25" s="100"/>
      <c r="QU25" s="100"/>
      <c r="QV25" s="100"/>
      <c r="QW25" s="100"/>
      <c r="QX25" s="100"/>
      <c r="QY25" s="100"/>
      <c r="QZ25" s="23">
        <f t="shared" si="0"/>
        <v>20.9</v>
      </c>
      <c r="RA25" s="47" t="s">
        <v>36</v>
      </c>
      <c r="RB25" s="97">
        <v>1209.08</v>
      </c>
      <c r="RC25" s="63">
        <f>RF25+RG25</f>
        <v>0</v>
      </c>
      <c r="RD25" s="63">
        <v>697.18900000000008</v>
      </c>
      <c r="RE25" s="97">
        <f t="shared" si="1"/>
        <v>1209.08</v>
      </c>
      <c r="RF25" s="107"/>
      <c r="RG25" s="107"/>
      <c r="RH25" s="83">
        <f t="shared" si="2"/>
        <v>1.7342212800259325</v>
      </c>
      <c r="RI25" s="116" t="s">
        <v>550</v>
      </c>
    </row>
    <row r="26" spans="1:477" s="5" customFormat="1" ht="12.75" customHeight="1" x14ac:dyDescent="0.2">
      <c r="A26" s="48">
        <v>44950</v>
      </c>
      <c r="B26" s="115" t="s">
        <v>545</v>
      </c>
      <c r="C26" s="98"/>
      <c r="D26" s="98"/>
      <c r="E26" s="99"/>
      <c r="F26" s="99"/>
      <c r="G26" s="99"/>
      <c r="H26" s="99"/>
      <c r="I26" s="99"/>
      <c r="J26" s="99"/>
      <c r="K26" s="99"/>
      <c r="L26" s="99"/>
      <c r="M26" s="99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>
        <v>30</v>
      </c>
      <c r="BT26" s="100"/>
      <c r="BU26" s="100"/>
      <c r="BV26" s="100"/>
      <c r="BW26" s="100"/>
      <c r="BX26" s="100"/>
      <c r="BY26" s="100"/>
      <c r="BZ26" s="100"/>
      <c r="CA26" s="100"/>
      <c r="CB26" s="100"/>
      <c r="CC26" s="100"/>
      <c r="CD26" s="100"/>
      <c r="CE26" s="100"/>
      <c r="CF26" s="100"/>
      <c r="CG26" s="100"/>
      <c r="CH26" s="100"/>
      <c r="CI26" s="100"/>
      <c r="CJ26" s="100"/>
      <c r="CK26" s="100"/>
      <c r="CL26" s="100"/>
      <c r="CM26" s="100"/>
      <c r="CN26" s="100"/>
      <c r="CO26" s="100"/>
      <c r="CP26" s="100"/>
      <c r="CQ26" s="100"/>
      <c r="CR26" s="100"/>
      <c r="CS26" s="100"/>
      <c r="CT26" s="100"/>
      <c r="CU26" s="100"/>
      <c r="CV26" s="100"/>
      <c r="CW26" s="100"/>
      <c r="CX26" s="100"/>
      <c r="CY26" s="100"/>
      <c r="CZ26" s="100"/>
      <c r="DA26" s="100"/>
      <c r="DB26" s="100"/>
      <c r="DC26" s="100"/>
      <c r="DD26" s="100"/>
      <c r="DE26" s="100"/>
      <c r="DF26" s="100"/>
      <c r="DG26" s="100"/>
      <c r="DH26" s="100"/>
      <c r="DI26" s="100"/>
      <c r="DJ26" s="100"/>
      <c r="DK26" s="100"/>
      <c r="DL26" s="100"/>
      <c r="DM26" s="100"/>
      <c r="DN26" s="100"/>
      <c r="DO26" s="100"/>
      <c r="DP26" s="100"/>
      <c r="DQ26" s="100"/>
      <c r="DR26" s="100"/>
      <c r="DS26" s="100"/>
      <c r="DT26" s="100"/>
      <c r="DU26" s="100"/>
      <c r="DV26" s="100"/>
      <c r="DW26" s="100"/>
      <c r="DX26" s="100"/>
      <c r="DY26" s="100"/>
      <c r="DZ26" s="100"/>
      <c r="EA26" s="100"/>
      <c r="EB26" s="100"/>
      <c r="EC26" s="100"/>
      <c r="ED26" s="100"/>
      <c r="EE26" s="100"/>
      <c r="EF26" s="100"/>
      <c r="EG26" s="100"/>
      <c r="EH26" s="100"/>
      <c r="EI26" s="100"/>
      <c r="EJ26" s="100"/>
      <c r="EK26" s="100"/>
      <c r="EL26" s="100"/>
      <c r="EM26" s="100"/>
      <c r="EN26" s="100"/>
      <c r="EO26" s="100"/>
      <c r="EP26" s="100"/>
      <c r="EQ26" s="100"/>
      <c r="ER26" s="100"/>
      <c r="ES26" s="100"/>
      <c r="ET26" s="100"/>
      <c r="EU26" s="100"/>
      <c r="EV26" s="100"/>
      <c r="EW26" s="100"/>
      <c r="EX26" s="100"/>
      <c r="EY26" s="100"/>
      <c r="EZ26" s="100"/>
      <c r="FA26" s="100"/>
      <c r="FB26" s="100"/>
      <c r="FC26" s="100"/>
      <c r="FD26" s="100"/>
      <c r="FE26" s="100"/>
      <c r="FF26" s="100"/>
      <c r="FG26" s="100"/>
      <c r="FH26" s="100"/>
      <c r="FI26" s="100"/>
      <c r="FJ26" s="100"/>
      <c r="FK26" s="100"/>
      <c r="FL26" s="100"/>
      <c r="FM26" s="100"/>
      <c r="FN26" s="100"/>
      <c r="FO26" s="100"/>
      <c r="FP26" s="100"/>
      <c r="FQ26" s="100"/>
      <c r="FR26" s="100"/>
      <c r="FS26" s="100"/>
      <c r="FT26" s="100"/>
      <c r="FU26" s="100"/>
      <c r="FV26" s="100"/>
      <c r="FW26" s="100"/>
      <c r="FX26" s="100"/>
      <c r="FY26" s="100"/>
      <c r="FZ26" s="100"/>
      <c r="GA26" s="100"/>
      <c r="GB26" s="100"/>
      <c r="GC26" s="100"/>
      <c r="GD26" s="100"/>
      <c r="GE26" s="100"/>
      <c r="GF26" s="100"/>
      <c r="GG26" s="100"/>
      <c r="GH26" s="100"/>
      <c r="GI26" s="100"/>
      <c r="GJ26" s="100"/>
      <c r="GK26" s="100"/>
      <c r="GL26" s="100"/>
      <c r="GM26" s="100"/>
      <c r="GN26" s="100"/>
      <c r="GO26" s="100"/>
      <c r="GP26" s="100"/>
      <c r="GQ26" s="100"/>
      <c r="GR26" s="100"/>
      <c r="GS26" s="100"/>
      <c r="GT26" s="100"/>
      <c r="GU26" s="100"/>
      <c r="GV26" s="100"/>
      <c r="GW26" s="100"/>
      <c r="GX26" s="100"/>
      <c r="GY26" s="100"/>
      <c r="GZ26" s="100"/>
      <c r="HA26" s="100"/>
      <c r="HB26" s="100"/>
      <c r="HC26" s="100"/>
      <c r="HD26" s="100"/>
      <c r="HE26" s="100"/>
      <c r="HF26" s="100"/>
      <c r="HG26" s="100"/>
      <c r="HH26" s="100"/>
      <c r="HI26" s="100"/>
      <c r="HJ26" s="100"/>
      <c r="HK26" s="100"/>
      <c r="HL26" s="100"/>
      <c r="HM26" s="100"/>
      <c r="HN26" s="100"/>
      <c r="HO26" s="100"/>
      <c r="HP26" s="100"/>
      <c r="HQ26" s="100"/>
      <c r="HR26" s="100"/>
      <c r="HS26" s="100"/>
      <c r="HT26" s="100"/>
      <c r="HU26" s="100"/>
      <c r="HV26" s="100"/>
      <c r="HW26" s="100"/>
      <c r="HX26" s="100"/>
      <c r="HY26" s="100"/>
      <c r="HZ26" s="100"/>
      <c r="IA26" s="100"/>
      <c r="IB26" s="100"/>
      <c r="IC26" s="100"/>
      <c r="ID26" s="100"/>
      <c r="IE26" s="100"/>
      <c r="IF26" s="100"/>
      <c r="IG26" s="100"/>
      <c r="IH26" s="100"/>
      <c r="II26" s="100"/>
      <c r="IJ26" s="100"/>
      <c r="IK26" s="100"/>
      <c r="IL26" s="100"/>
      <c r="IM26" s="100"/>
      <c r="IN26" s="100"/>
      <c r="IO26" s="100"/>
      <c r="IP26" s="100"/>
      <c r="IQ26" s="100"/>
      <c r="IR26" s="100"/>
      <c r="IS26" s="100"/>
      <c r="IT26" s="100"/>
      <c r="IU26" s="100"/>
      <c r="IV26" s="100"/>
      <c r="IW26" s="100"/>
      <c r="IX26" s="100"/>
      <c r="IY26" s="100"/>
      <c r="IZ26" s="100"/>
      <c r="JA26" s="100"/>
      <c r="JB26" s="100"/>
      <c r="JC26" s="100"/>
      <c r="JD26" s="100"/>
      <c r="JE26" s="100"/>
      <c r="JF26" s="100"/>
      <c r="JG26" s="100"/>
      <c r="JH26" s="100"/>
      <c r="JI26" s="100"/>
      <c r="JJ26" s="100"/>
      <c r="JK26" s="100"/>
      <c r="JL26" s="100"/>
      <c r="JM26" s="100"/>
      <c r="JN26" s="100"/>
      <c r="JO26" s="100"/>
      <c r="JP26" s="100"/>
      <c r="JQ26" s="100"/>
      <c r="JR26" s="100"/>
      <c r="JS26" s="100"/>
      <c r="JT26" s="100"/>
      <c r="JU26" s="100"/>
      <c r="JV26" s="100"/>
      <c r="JW26" s="100"/>
      <c r="JX26" s="100"/>
      <c r="JY26" s="100"/>
      <c r="JZ26" s="100"/>
      <c r="KA26" s="100"/>
      <c r="KB26" s="100"/>
      <c r="KC26" s="100"/>
      <c r="KD26" s="100"/>
      <c r="KE26" s="100"/>
      <c r="KF26" s="100"/>
      <c r="KG26" s="100"/>
      <c r="KH26" s="100"/>
      <c r="KI26" s="100"/>
      <c r="KJ26" s="100"/>
      <c r="KK26" s="100"/>
      <c r="KL26" s="100"/>
      <c r="KM26" s="100"/>
      <c r="KN26" s="100"/>
      <c r="KO26" s="100"/>
      <c r="KP26" s="100"/>
      <c r="KQ26" s="100"/>
      <c r="KR26" s="100"/>
      <c r="KS26" s="100"/>
      <c r="KT26" s="100"/>
      <c r="KU26" s="100"/>
      <c r="KV26" s="100"/>
      <c r="KW26" s="100"/>
      <c r="KX26" s="100"/>
      <c r="KY26" s="100"/>
      <c r="KZ26" s="100"/>
      <c r="LA26" s="100"/>
      <c r="LB26" s="100"/>
      <c r="LC26" s="100"/>
      <c r="LD26" s="100"/>
      <c r="LE26" s="100"/>
      <c r="LF26" s="100"/>
      <c r="LG26" s="100"/>
      <c r="LH26" s="100"/>
      <c r="LI26" s="100"/>
      <c r="LJ26" s="100"/>
      <c r="LK26" s="100"/>
      <c r="LL26" s="100"/>
      <c r="LM26" s="100"/>
      <c r="LN26" s="100"/>
      <c r="LO26" s="100"/>
      <c r="LP26" s="100"/>
      <c r="LQ26" s="100"/>
      <c r="LR26" s="100"/>
      <c r="LS26" s="100"/>
      <c r="LT26" s="100"/>
      <c r="LU26" s="100"/>
      <c r="LV26" s="100"/>
      <c r="LW26" s="100"/>
      <c r="LX26" s="100"/>
      <c r="LY26" s="100"/>
      <c r="LZ26" s="100"/>
      <c r="MA26" s="100"/>
      <c r="MB26" s="100"/>
      <c r="MC26" s="100"/>
      <c r="MD26" s="100"/>
      <c r="ME26" s="100"/>
      <c r="MF26" s="100"/>
      <c r="MG26" s="100"/>
      <c r="MH26" s="100"/>
      <c r="MI26" s="100"/>
      <c r="MJ26" s="100"/>
      <c r="MK26" s="100"/>
      <c r="ML26" s="100"/>
      <c r="MM26" s="100"/>
      <c r="MN26" s="100"/>
      <c r="MO26" s="100"/>
      <c r="MP26" s="100"/>
      <c r="MQ26" s="100"/>
      <c r="MR26" s="100"/>
      <c r="MS26" s="100"/>
      <c r="MT26" s="100"/>
      <c r="MU26" s="100"/>
      <c r="MV26" s="100"/>
      <c r="MW26" s="100"/>
      <c r="MX26" s="100"/>
      <c r="MY26" s="100"/>
      <c r="MZ26" s="100"/>
      <c r="NA26" s="100"/>
      <c r="NB26" s="100"/>
      <c r="NC26" s="100"/>
      <c r="ND26" s="100"/>
      <c r="NE26" s="100"/>
      <c r="NF26" s="100"/>
      <c r="NG26" s="100"/>
      <c r="NH26" s="100"/>
      <c r="NI26" s="100"/>
      <c r="NJ26" s="100"/>
      <c r="NK26" s="100"/>
      <c r="NL26" s="100"/>
      <c r="NM26" s="100"/>
      <c r="NN26" s="100"/>
      <c r="NO26" s="100"/>
      <c r="NP26" s="100"/>
      <c r="NQ26" s="100"/>
      <c r="NR26" s="100"/>
      <c r="NS26" s="100"/>
      <c r="NT26" s="100"/>
      <c r="NU26" s="100"/>
      <c r="NV26" s="100"/>
      <c r="NW26" s="100"/>
      <c r="NX26" s="100"/>
      <c r="NY26" s="100"/>
      <c r="NZ26" s="100"/>
      <c r="OA26" s="100"/>
      <c r="OB26" s="100"/>
      <c r="OC26" s="100"/>
      <c r="OD26" s="100"/>
      <c r="OE26" s="100"/>
      <c r="OF26" s="100"/>
      <c r="OG26" s="100"/>
      <c r="OH26" s="100"/>
      <c r="OI26" s="100"/>
      <c r="OJ26" s="100"/>
      <c r="OK26" s="100"/>
      <c r="OL26" s="100"/>
      <c r="OM26" s="100"/>
      <c r="ON26" s="100"/>
      <c r="OO26" s="100"/>
      <c r="OP26" s="100"/>
      <c r="OQ26" s="100"/>
      <c r="OR26" s="100"/>
      <c r="OS26" s="100"/>
      <c r="OT26" s="100"/>
      <c r="OU26" s="100"/>
      <c r="OV26" s="100"/>
      <c r="OW26" s="100"/>
      <c r="OX26" s="100"/>
      <c r="OY26" s="100"/>
      <c r="OZ26" s="100"/>
      <c r="PA26" s="100"/>
      <c r="PB26" s="100"/>
      <c r="PC26" s="100"/>
      <c r="PD26" s="100"/>
      <c r="PE26" s="100"/>
      <c r="PF26" s="100"/>
      <c r="PG26" s="100"/>
      <c r="PH26" s="100"/>
      <c r="PI26" s="100"/>
      <c r="PJ26" s="100"/>
      <c r="PK26" s="100"/>
      <c r="PL26" s="100"/>
      <c r="PM26" s="100"/>
      <c r="PN26" s="100"/>
      <c r="PO26" s="100"/>
      <c r="PP26" s="100"/>
      <c r="PQ26" s="100"/>
      <c r="PR26" s="100"/>
      <c r="PS26" s="100"/>
      <c r="PT26" s="100"/>
      <c r="PU26" s="100"/>
      <c r="PV26" s="100"/>
      <c r="PW26" s="100"/>
      <c r="PX26" s="100"/>
      <c r="PY26" s="100"/>
      <c r="PZ26" s="100"/>
      <c r="QA26" s="100"/>
      <c r="QB26" s="100"/>
      <c r="QC26" s="100"/>
      <c r="QD26" s="100"/>
      <c r="QE26" s="100"/>
      <c r="QF26" s="100"/>
      <c r="QG26" s="100"/>
      <c r="QH26" s="100"/>
      <c r="QI26" s="100"/>
      <c r="QJ26" s="100"/>
      <c r="QK26" s="100"/>
      <c r="QL26" s="100"/>
      <c r="QM26" s="100"/>
      <c r="QN26" s="100"/>
      <c r="QO26" s="100"/>
      <c r="QP26" s="100"/>
      <c r="QQ26" s="100"/>
      <c r="QR26" s="100"/>
      <c r="QS26" s="100"/>
      <c r="QT26" s="100"/>
      <c r="QU26" s="100"/>
      <c r="QV26" s="100"/>
      <c r="QW26" s="100"/>
      <c r="QX26" s="100"/>
      <c r="QY26" s="100"/>
      <c r="QZ26" s="23">
        <f t="shared" si="0"/>
        <v>30</v>
      </c>
      <c r="RA26" s="47" t="s">
        <v>36</v>
      </c>
      <c r="RB26" s="97">
        <v>2233.44</v>
      </c>
      <c r="RC26" s="63">
        <f>RF26</f>
        <v>2233.44</v>
      </c>
      <c r="RD26" s="63">
        <v>1396.2</v>
      </c>
      <c r="RE26" s="97">
        <f t="shared" si="1"/>
        <v>0</v>
      </c>
      <c r="RF26" s="107">
        <v>2233.44</v>
      </c>
      <c r="RG26" s="107"/>
      <c r="RH26" s="83">
        <f t="shared" si="2"/>
        <v>1.5996562097120757</v>
      </c>
      <c r="RI26" s="116"/>
    </row>
    <row r="27" spans="1:477" s="5" customFormat="1" ht="12.75" customHeight="1" x14ac:dyDescent="0.2">
      <c r="A27" s="48">
        <v>44950</v>
      </c>
      <c r="B27" s="81" t="s">
        <v>455</v>
      </c>
      <c r="C27" s="98"/>
      <c r="D27" s="98"/>
      <c r="E27" s="99"/>
      <c r="F27" s="99"/>
      <c r="G27" s="99"/>
      <c r="H27" s="99"/>
      <c r="I27" s="99"/>
      <c r="J27" s="99"/>
      <c r="K27" s="99"/>
      <c r="L27" s="99"/>
      <c r="M27" s="99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  <c r="EE27" s="100"/>
      <c r="EF27" s="100"/>
      <c r="EG27" s="100"/>
      <c r="EH27" s="100"/>
      <c r="EI27" s="100"/>
      <c r="EJ27" s="100"/>
      <c r="EK27" s="100"/>
      <c r="EL27" s="100"/>
      <c r="EM27" s="100"/>
      <c r="EN27" s="100"/>
      <c r="EO27" s="100"/>
      <c r="EP27" s="100"/>
      <c r="EQ27" s="100"/>
      <c r="ER27" s="100"/>
      <c r="ES27" s="100"/>
      <c r="ET27" s="100"/>
      <c r="EU27" s="100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00"/>
      <c r="FH27" s="100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00"/>
      <c r="FU27" s="100"/>
      <c r="FV27" s="100"/>
      <c r="FW27" s="100"/>
      <c r="FX27" s="100"/>
      <c r="FY27" s="100"/>
      <c r="FZ27" s="100"/>
      <c r="GA27" s="100"/>
      <c r="GB27" s="100"/>
      <c r="GC27" s="100"/>
      <c r="GD27" s="100"/>
      <c r="GE27" s="100"/>
      <c r="GF27" s="100"/>
      <c r="GG27" s="100"/>
      <c r="GH27" s="100"/>
      <c r="GI27" s="100"/>
      <c r="GJ27" s="100"/>
      <c r="GK27" s="100"/>
      <c r="GL27" s="100"/>
      <c r="GM27" s="100"/>
      <c r="GN27" s="100"/>
      <c r="GO27" s="100"/>
      <c r="GP27" s="100"/>
      <c r="GQ27" s="100"/>
      <c r="GR27" s="100"/>
      <c r="GS27" s="100"/>
      <c r="GT27" s="100"/>
      <c r="GU27" s="100"/>
      <c r="GV27" s="100"/>
      <c r="GW27" s="100"/>
      <c r="GX27" s="100"/>
      <c r="GY27" s="100"/>
      <c r="GZ27" s="100"/>
      <c r="HA27" s="100"/>
      <c r="HB27" s="100"/>
      <c r="HC27" s="100"/>
      <c r="HD27" s="100"/>
      <c r="HE27" s="100"/>
      <c r="HF27" s="100"/>
      <c r="HG27" s="100"/>
      <c r="HH27" s="100"/>
      <c r="HI27" s="100"/>
      <c r="HJ27" s="100"/>
      <c r="HK27" s="100"/>
      <c r="HL27" s="100"/>
      <c r="HM27" s="100"/>
      <c r="HN27" s="100"/>
      <c r="HO27" s="100"/>
      <c r="HP27" s="100"/>
      <c r="HQ27" s="100"/>
      <c r="HR27" s="100"/>
      <c r="HS27" s="100"/>
      <c r="HT27" s="100"/>
      <c r="HU27" s="100"/>
      <c r="HV27" s="100"/>
      <c r="HW27" s="100"/>
      <c r="HX27" s="100"/>
      <c r="HY27" s="100"/>
      <c r="HZ27" s="100"/>
      <c r="IA27" s="100"/>
      <c r="IB27" s="100"/>
      <c r="IC27" s="100"/>
      <c r="ID27" s="100"/>
      <c r="IE27" s="100"/>
      <c r="IF27" s="100"/>
      <c r="IG27" s="100"/>
      <c r="IH27" s="100"/>
      <c r="II27" s="100"/>
      <c r="IJ27" s="100"/>
      <c r="IK27" s="100"/>
      <c r="IL27" s="100"/>
      <c r="IM27" s="100"/>
      <c r="IN27" s="100"/>
      <c r="IO27" s="100"/>
      <c r="IP27" s="100"/>
      <c r="IQ27" s="100"/>
      <c r="IR27" s="100"/>
      <c r="IS27" s="100"/>
      <c r="IT27" s="100"/>
      <c r="IU27" s="100"/>
      <c r="IV27" s="100"/>
      <c r="IW27" s="100"/>
      <c r="IX27" s="100"/>
      <c r="IY27" s="100"/>
      <c r="IZ27" s="100"/>
      <c r="JA27" s="100"/>
      <c r="JB27" s="100"/>
      <c r="JC27" s="100"/>
      <c r="JD27" s="100"/>
      <c r="JE27" s="100"/>
      <c r="JF27" s="100"/>
      <c r="JG27" s="100"/>
      <c r="JH27" s="100"/>
      <c r="JI27" s="100"/>
      <c r="JJ27" s="100"/>
      <c r="JK27" s="100"/>
      <c r="JL27" s="100"/>
      <c r="JM27" s="100"/>
      <c r="JN27" s="100"/>
      <c r="JO27" s="100"/>
      <c r="JP27" s="100"/>
      <c r="JQ27" s="100"/>
      <c r="JR27" s="100"/>
      <c r="JS27" s="100"/>
      <c r="JT27" s="100"/>
      <c r="JU27" s="100"/>
      <c r="JV27" s="100"/>
      <c r="JW27" s="100"/>
      <c r="JX27" s="100"/>
      <c r="JY27" s="100"/>
      <c r="JZ27" s="100"/>
      <c r="KA27" s="100"/>
      <c r="KB27" s="100"/>
      <c r="KC27" s="100"/>
      <c r="KD27" s="100"/>
      <c r="KE27" s="100"/>
      <c r="KF27" s="100"/>
      <c r="KG27" s="100"/>
      <c r="KH27" s="100"/>
      <c r="KI27" s="100"/>
      <c r="KJ27" s="100"/>
      <c r="KK27" s="100"/>
      <c r="KL27" s="100"/>
      <c r="KM27" s="100"/>
      <c r="KN27" s="100">
        <v>2</v>
      </c>
      <c r="KO27" s="100"/>
      <c r="KP27" s="100"/>
      <c r="KQ27" s="100"/>
      <c r="KR27" s="100"/>
      <c r="KS27" s="100"/>
      <c r="KT27" s="100"/>
      <c r="KU27" s="100"/>
      <c r="KV27" s="100"/>
      <c r="KW27" s="100"/>
      <c r="KX27" s="100"/>
      <c r="KY27" s="100"/>
      <c r="KZ27" s="100"/>
      <c r="LA27" s="100"/>
      <c r="LB27" s="100"/>
      <c r="LC27" s="100"/>
      <c r="LD27" s="100"/>
      <c r="LE27" s="100"/>
      <c r="LF27" s="100"/>
      <c r="LG27" s="100"/>
      <c r="LH27" s="100"/>
      <c r="LI27" s="100"/>
      <c r="LJ27" s="100"/>
      <c r="LK27" s="100"/>
      <c r="LL27" s="100"/>
      <c r="LM27" s="100"/>
      <c r="LN27" s="100"/>
      <c r="LO27" s="100"/>
      <c r="LP27" s="100"/>
      <c r="LQ27" s="100"/>
      <c r="LR27" s="100"/>
      <c r="LS27" s="100"/>
      <c r="LT27" s="100"/>
      <c r="LU27" s="100"/>
      <c r="LV27" s="100"/>
      <c r="LW27" s="100"/>
      <c r="LX27" s="100"/>
      <c r="LY27" s="100"/>
      <c r="LZ27" s="100"/>
      <c r="MA27" s="100"/>
      <c r="MB27" s="100"/>
      <c r="MC27" s="100"/>
      <c r="MD27" s="100"/>
      <c r="ME27" s="100"/>
      <c r="MF27" s="100"/>
      <c r="MG27" s="100"/>
      <c r="MH27" s="100"/>
      <c r="MI27" s="100"/>
      <c r="MJ27" s="100"/>
      <c r="MK27" s="100"/>
      <c r="ML27" s="100"/>
      <c r="MM27" s="100"/>
      <c r="MN27" s="100"/>
      <c r="MO27" s="100"/>
      <c r="MP27" s="100"/>
      <c r="MQ27" s="100"/>
      <c r="MR27" s="100"/>
      <c r="MS27" s="100"/>
      <c r="MT27" s="100"/>
      <c r="MU27" s="100"/>
      <c r="MV27" s="100"/>
      <c r="MW27" s="100"/>
      <c r="MX27" s="100"/>
      <c r="MY27" s="100"/>
      <c r="MZ27" s="100"/>
      <c r="NA27" s="100"/>
      <c r="NB27" s="100"/>
      <c r="NC27" s="100"/>
      <c r="ND27" s="100"/>
      <c r="NE27" s="100"/>
      <c r="NF27" s="100"/>
      <c r="NG27" s="100"/>
      <c r="NH27" s="100"/>
      <c r="NI27" s="100"/>
      <c r="NJ27" s="100"/>
      <c r="NK27" s="100"/>
      <c r="NL27" s="100"/>
      <c r="NM27" s="100"/>
      <c r="NN27" s="100"/>
      <c r="NO27" s="100"/>
      <c r="NP27" s="100"/>
      <c r="NQ27" s="100"/>
      <c r="NR27" s="100"/>
      <c r="NS27" s="100"/>
      <c r="NT27" s="100"/>
      <c r="NU27" s="100"/>
      <c r="NV27" s="100"/>
      <c r="NW27" s="100"/>
      <c r="NX27" s="100"/>
      <c r="NY27" s="100"/>
      <c r="NZ27" s="100"/>
      <c r="OA27" s="100"/>
      <c r="OB27" s="100"/>
      <c r="OC27" s="100"/>
      <c r="OD27" s="100"/>
      <c r="OE27" s="100"/>
      <c r="OF27" s="100"/>
      <c r="OG27" s="100"/>
      <c r="OH27" s="100"/>
      <c r="OI27" s="100"/>
      <c r="OJ27" s="100"/>
      <c r="OK27" s="100"/>
      <c r="OL27" s="100"/>
      <c r="OM27" s="100"/>
      <c r="ON27" s="100"/>
      <c r="OO27" s="100"/>
      <c r="OP27" s="100"/>
      <c r="OQ27" s="100"/>
      <c r="OR27" s="100"/>
      <c r="OS27" s="100"/>
      <c r="OT27" s="100"/>
      <c r="OU27" s="100"/>
      <c r="OV27" s="100"/>
      <c r="OW27" s="100"/>
      <c r="OX27" s="100"/>
      <c r="OY27" s="100"/>
      <c r="OZ27" s="100"/>
      <c r="PA27" s="100"/>
      <c r="PB27" s="100"/>
      <c r="PC27" s="100"/>
      <c r="PD27" s="100"/>
      <c r="PE27" s="100"/>
      <c r="PF27" s="100"/>
      <c r="PG27" s="100"/>
      <c r="PH27" s="100"/>
      <c r="PI27" s="100"/>
      <c r="PJ27" s="100"/>
      <c r="PK27" s="100"/>
      <c r="PL27" s="100"/>
      <c r="PM27" s="100"/>
      <c r="PN27" s="100"/>
      <c r="PO27" s="100"/>
      <c r="PP27" s="100"/>
      <c r="PQ27" s="100"/>
      <c r="PR27" s="100"/>
      <c r="PS27" s="100"/>
      <c r="PT27" s="100"/>
      <c r="PU27" s="100"/>
      <c r="PV27" s="100"/>
      <c r="PW27" s="100"/>
      <c r="PX27" s="100"/>
      <c r="PY27" s="100"/>
      <c r="PZ27" s="100"/>
      <c r="QA27" s="100"/>
      <c r="QB27" s="100"/>
      <c r="QC27" s="100"/>
      <c r="QD27" s="100"/>
      <c r="QE27" s="100"/>
      <c r="QF27" s="100"/>
      <c r="QG27" s="100"/>
      <c r="QH27" s="100"/>
      <c r="QI27" s="100"/>
      <c r="QJ27" s="100"/>
      <c r="QK27" s="100"/>
      <c r="QL27" s="100"/>
      <c r="QM27" s="100"/>
      <c r="QN27" s="100"/>
      <c r="QO27" s="100"/>
      <c r="QP27" s="100"/>
      <c r="QQ27" s="100"/>
      <c r="QR27" s="100"/>
      <c r="QS27" s="100"/>
      <c r="QT27" s="100"/>
      <c r="QU27" s="100"/>
      <c r="QV27" s="100"/>
      <c r="QW27" s="100"/>
      <c r="QX27" s="100"/>
      <c r="QY27" s="100"/>
      <c r="QZ27" s="23">
        <f t="shared" si="0"/>
        <v>2</v>
      </c>
      <c r="RA27" s="47" t="s">
        <v>36</v>
      </c>
      <c r="RB27" s="97">
        <v>178.82</v>
      </c>
      <c r="RC27" s="63">
        <f>RF27</f>
        <v>178.82</v>
      </c>
      <c r="RD27" s="63">
        <v>109.18</v>
      </c>
      <c r="RE27" s="97">
        <f t="shared" si="1"/>
        <v>0</v>
      </c>
      <c r="RF27" s="107">
        <v>178.82</v>
      </c>
      <c r="RG27" s="107"/>
      <c r="RH27" s="83">
        <f t="shared" si="2"/>
        <v>1.6378457592965743</v>
      </c>
      <c r="RI27" s="116" t="s">
        <v>551</v>
      </c>
    </row>
    <row r="28" spans="1:477" s="5" customFormat="1" ht="12.75" customHeight="1" x14ac:dyDescent="0.2">
      <c r="A28" s="48">
        <v>44950</v>
      </c>
      <c r="B28" s="90" t="s">
        <v>546</v>
      </c>
      <c r="C28" s="98"/>
      <c r="D28" s="98"/>
      <c r="E28" s="99"/>
      <c r="F28" s="99"/>
      <c r="G28" s="99"/>
      <c r="H28" s="99"/>
      <c r="I28" s="99"/>
      <c r="J28" s="99"/>
      <c r="K28" s="99"/>
      <c r="L28" s="99"/>
      <c r="M28" s="99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100"/>
      <c r="CN28" s="10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0"/>
      <c r="DJ28" s="100"/>
      <c r="DK28" s="100"/>
      <c r="DL28" s="100"/>
      <c r="DM28" s="100"/>
      <c r="DN28" s="100"/>
      <c r="DO28" s="100"/>
      <c r="DP28" s="100"/>
      <c r="DQ28" s="100"/>
      <c r="DR28" s="100"/>
      <c r="DS28" s="100"/>
      <c r="DT28" s="100"/>
      <c r="DU28" s="100"/>
      <c r="DV28" s="100"/>
      <c r="DW28" s="100"/>
      <c r="DX28" s="100"/>
      <c r="DY28" s="100"/>
      <c r="DZ28" s="100"/>
      <c r="EA28" s="100"/>
      <c r="EB28" s="100"/>
      <c r="EC28" s="100"/>
      <c r="ED28" s="100"/>
      <c r="EE28" s="100"/>
      <c r="EF28" s="100"/>
      <c r="EG28" s="100"/>
      <c r="EH28" s="100"/>
      <c r="EI28" s="100"/>
      <c r="EJ28" s="100"/>
      <c r="EK28" s="100"/>
      <c r="EL28" s="100"/>
      <c r="EM28" s="100"/>
      <c r="EN28" s="100"/>
      <c r="EO28" s="100"/>
      <c r="EP28" s="100"/>
      <c r="EQ28" s="100"/>
      <c r="ER28" s="100"/>
      <c r="ES28" s="100"/>
      <c r="ET28" s="100"/>
      <c r="EU28" s="100"/>
      <c r="EV28" s="100"/>
      <c r="EW28" s="100"/>
      <c r="EX28" s="100"/>
      <c r="EY28" s="100"/>
      <c r="EZ28" s="100"/>
      <c r="FA28" s="100"/>
      <c r="FB28" s="100"/>
      <c r="FC28" s="100"/>
      <c r="FD28" s="100"/>
      <c r="FE28" s="100"/>
      <c r="FF28" s="100"/>
      <c r="FG28" s="100"/>
      <c r="FH28" s="100"/>
      <c r="FI28" s="100"/>
      <c r="FJ28" s="100"/>
      <c r="FK28" s="100"/>
      <c r="FL28" s="100"/>
      <c r="FM28" s="100"/>
      <c r="FN28" s="100"/>
      <c r="FO28" s="100"/>
      <c r="FP28" s="100"/>
      <c r="FQ28" s="100"/>
      <c r="FR28" s="100"/>
      <c r="FS28" s="100"/>
      <c r="FT28" s="100"/>
      <c r="FU28" s="100"/>
      <c r="FV28" s="100"/>
      <c r="FW28" s="100"/>
      <c r="FX28" s="100"/>
      <c r="FY28" s="100"/>
      <c r="FZ28" s="100"/>
      <c r="GA28" s="100"/>
      <c r="GB28" s="100"/>
      <c r="GC28" s="100"/>
      <c r="GD28" s="100"/>
      <c r="GE28" s="100"/>
      <c r="GF28" s="100"/>
      <c r="GG28" s="100"/>
      <c r="GH28" s="100"/>
      <c r="GI28" s="100"/>
      <c r="GJ28" s="100"/>
      <c r="GK28" s="100"/>
      <c r="GL28" s="100"/>
      <c r="GM28" s="100"/>
      <c r="GN28" s="100"/>
      <c r="GO28" s="100"/>
      <c r="GP28" s="100"/>
      <c r="GQ28" s="100"/>
      <c r="GR28" s="100"/>
      <c r="GS28" s="100"/>
      <c r="GT28" s="100"/>
      <c r="GU28" s="100"/>
      <c r="GV28" s="100"/>
      <c r="GW28" s="100"/>
      <c r="GX28" s="100"/>
      <c r="GY28" s="100"/>
      <c r="GZ28" s="100"/>
      <c r="HA28" s="100"/>
      <c r="HB28" s="100"/>
      <c r="HC28" s="100"/>
      <c r="HD28" s="100"/>
      <c r="HE28" s="100"/>
      <c r="HF28" s="100"/>
      <c r="HG28" s="100"/>
      <c r="HH28" s="100"/>
      <c r="HI28" s="100"/>
      <c r="HJ28" s="100"/>
      <c r="HK28" s="100"/>
      <c r="HL28" s="100"/>
      <c r="HM28" s="100"/>
      <c r="HN28" s="100"/>
      <c r="HO28" s="100"/>
      <c r="HP28" s="100"/>
      <c r="HQ28" s="100"/>
      <c r="HR28" s="100"/>
      <c r="HS28" s="100"/>
      <c r="HT28" s="100"/>
      <c r="HU28" s="100"/>
      <c r="HV28" s="100"/>
      <c r="HW28" s="100"/>
      <c r="HX28" s="100"/>
      <c r="HY28" s="100"/>
      <c r="HZ28" s="100"/>
      <c r="IA28" s="100"/>
      <c r="IB28" s="100"/>
      <c r="IC28" s="100"/>
      <c r="ID28" s="100"/>
      <c r="IE28" s="100"/>
      <c r="IF28" s="100"/>
      <c r="IG28" s="100"/>
      <c r="IH28" s="100"/>
      <c r="II28" s="100"/>
      <c r="IJ28" s="100"/>
      <c r="IK28" s="100"/>
      <c r="IL28" s="100"/>
      <c r="IM28" s="100"/>
      <c r="IN28" s="100"/>
      <c r="IO28" s="100"/>
      <c r="IP28" s="100"/>
      <c r="IQ28" s="100"/>
      <c r="IR28" s="100"/>
      <c r="IS28" s="100"/>
      <c r="IT28" s="100"/>
      <c r="IU28" s="100"/>
      <c r="IV28" s="100"/>
      <c r="IW28" s="100"/>
      <c r="IX28" s="100"/>
      <c r="IY28" s="100"/>
      <c r="IZ28" s="100"/>
      <c r="JA28" s="100"/>
      <c r="JB28" s="100"/>
      <c r="JC28" s="100"/>
      <c r="JD28" s="100"/>
      <c r="JE28" s="100"/>
      <c r="JF28" s="100"/>
      <c r="JG28" s="100"/>
      <c r="JH28" s="100"/>
      <c r="JI28" s="100"/>
      <c r="JJ28" s="100"/>
      <c r="JK28" s="100"/>
      <c r="JL28" s="100"/>
      <c r="JM28" s="100"/>
      <c r="JN28" s="100"/>
      <c r="JO28" s="100"/>
      <c r="JP28" s="100"/>
      <c r="JQ28" s="100"/>
      <c r="JR28" s="100"/>
      <c r="JS28" s="100"/>
      <c r="JT28" s="100"/>
      <c r="JU28" s="100"/>
      <c r="JV28" s="100"/>
      <c r="JW28" s="100"/>
      <c r="JX28" s="100"/>
      <c r="JY28" s="100"/>
      <c r="JZ28" s="100"/>
      <c r="KA28" s="100"/>
      <c r="KB28" s="100"/>
      <c r="KC28" s="100"/>
      <c r="KD28" s="100"/>
      <c r="KE28" s="100"/>
      <c r="KF28" s="100"/>
      <c r="KG28" s="100"/>
      <c r="KH28" s="100"/>
      <c r="KI28" s="100"/>
      <c r="KJ28" s="100"/>
      <c r="KK28" s="100"/>
      <c r="KL28" s="100"/>
      <c r="KM28" s="100"/>
      <c r="KN28" s="100"/>
      <c r="KO28" s="100"/>
      <c r="KP28" s="100"/>
      <c r="KQ28" s="100"/>
      <c r="KR28" s="100"/>
      <c r="KS28" s="100"/>
      <c r="KT28" s="100"/>
      <c r="KU28" s="100"/>
      <c r="KV28" s="100"/>
      <c r="KW28" s="100"/>
      <c r="KX28" s="100"/>
      <c r="KY28" s="100"/>
      <c r="KZ28" s="100"/>
      <c r="LA28" s="100"/>
      <c r="LB28" s="100"/>
      <c r="LC28" s="100"/>
      <c r="LD28" s="100"/>
      <c r="LE28" s="100"/>
      <c r="LF28" s="100"/>
      <c r="LG28" s="100"/>
      <c r="LH28" s="100"/>
      <c r="LI28" s="100"/>
      <c r="LJ28" s="100"/>
      <c r="LK28" s="100"/>
      <c r="LL28" s="100"/>
      <c r="LM28" s="100"/>
      <c r="LN28" s="100"/>
      <c r="LO28" s="100"/>
      <c r="LP28" s="100"/>
      <c r="LQ28" s="100"/>
      <c r="LR28" s="100"/>
      <c r="LS28" s="100"/>
      <c r="LT28" s="100"/>
      <c r="LU28" s="100"/>
      <c r="LV28" s="100"/>
      <c r="LW28" s="100"/>
      <c r="LX28" s="100"/>
      <c r="LY28" s="100"/>
      <c r="LZ28" s="100"/>
      <c r="MA28" s="100"/>
      <c r="MB28" s="100"/>
      <c r="MC28" s="100"/>
      <c r="MD28" s="100"/>
      <c r="ME28" s="100"/>
      <c r="MF28" s="100"/>
      <c r="MG28" s="100"/>
      <c r="MH28" s="100"/>
      <c r="MI28" s="100"/>
      <c r="MJ28" s="100"/>
      <c r="MK28" s="100"/>
      <c r="ML28" s="100"/>
      <c r="MM28" s="100"/>
      <c r="MN28" s="100"/>
      <c r="MO28" s="100"/>
      <c r="MP28" s="100"/>
      <c r="MQ28" s="100"/>
      <c r="MR28" s="100"/>
      <c r="MS28" s="100"/>
      <c r="MT28" s="100"/>
      <c r="MU28" s="100"/>
      <c r="MV28" s="100"/>
      <c r="MW28" s="100"/>
      <c r="MX28" s="100"/>
      <c r="MY28" s="100"/>
      <c r="MZ28" s="100"/>
      <c r="NA28" s="100"/>
      <c r="NB28" s="100"/>
      <c r="NC28" s="100"/>
      <c r="ND28" s="100"/>
      <c r="NE28" s="100"/>
      <c r="NF28" s="100"/>
      <c r="NG28" s="100"/>
      <c r="NH28" s="100"/>
      <c r="NI28" s="100"/>
      <c r="NJ28" s="100"/>
      <c r="NK28" s="100"/>
      <c r="NL28" s="100"/>
      <c r="NM28" s="100"/>
      <c r="NN28" s="100"/>
      <c r="NO28" s="100"/>
      <c r="NP28" s="100"/>
      <c r="NQ28" s="100"/>
      <c r="NR28" s="100"/>
      <c r="NS28" s="100"/>
      <c r="NT28" s="100"/>
      <c r="NU28" s="100"/>
      <c r="NV28" s="100"/>
      <c r="NW28" s="100"/>
      <c r="NX28" s="100"/>
      <c r="NY28" s="100"/>
      <c r="NZ28" s="100"/>
      <c r="OA28" s="100"/>
      <c r="OB28" s="100"/>
      <c r="OC28" s="100"/>
      <c r="OD28" s="100"/>
      <c r="OE28" s="100"/>
      <c r="OF28" s="100"/>
      <c r="OG28" s="100"/>
      <c r="OH28" s="100"/>
      <c r="OI28" s="100"/>
      <c r="OJ28" s="100"/>
      <c r="OK28" s="100"/>
      <c r="OL28" s="100"/>
      <c r="OM28" s="100"/>
      <c r="ON28" s="100"/>
      <c r="OO28" s="100"/>
      <c r="OP28" s="100"/>
      <c r="OQ28" s="100"/>
      <c r="OR28" s="100"/>
      <c r="OS28" s="100"/>
      <c r="OT28" s="100"/>
      <c r="OU28" s="100"/>
      <c r="OV28" s="100"/>
      <c r="OW28" s="100"/>
      <c r="OX28" s="100"/>
      <c r="OY28" s="100"/>
      <c r="OZ28" s="100"/>
      <c r="PA28" s="100"/>
      <c r="PB28" s="100"/>
      <c r="PC28" s="100"/>
      <c r="PD28" s="100"/>
      <c r="PE28" s="100"/>
      <c r="PF28" s="100"/>
      <c r="PG28" s="100"/>
      <c r="PH28" s="100"/>
      <c r="PI28" s="100"/>
      <c r="PJ28" s="100"/>
      <c r="PK28" s="100"/>
      <c r="PL28" s="100"/>
      <c r="PM28" s="100"/>
      <c r="PN28" s="100"/>
      <c r="PO28" s="100"/>
      <c r="PP28" s="100"/>
      <c r="PQ28" s="100"/>
      <c r="PR28" s="100"/>
      <c r="PS28" s="100"/>
      <c r="PT28" s="100"/>
      <c r="PU28" s="100"/>
      <c r="PV28" s="100"/>
      <c r="PW28" s="100"/>
      <c r="PX28" s="100"/>
      <c r="PY28" s="100"/>
      <c r="PZ28" s="100"/>
      <c r="QA28" s="100"/>
      <c r="QB28" s="100"/>
      <c r="QC28" s="100"/>
      <c r="QD28" s="100"/>
      <c r="QE28" s="100"/>
      <c r="QF28" s="100"/>
      <c r="QG28" s="100"/>
      <c r="QH28" s="100"/>
      <c r="QI28" s="100"/>
      <c r="QJ28" s="100"/>
      <c r="QK28" s="100"/>
      <c r="QL28" s="100"/>
      <c r="QM28" s="100"/>
      <c r="QN28" s="100"/>
      <c r="QO28" s="100"/>
      <c r="QP28" s="100"/>
      <c r="QQ28" s="100"/>
      <c r="QR28" s="100"/>
      <c r="QS28" s="100"/>
      <c r="QT28" s="100"/>
      <c r="QU28" s="100"/>
      <c r="QV28" s="100">
        <v>3</v>
      </c>
      <c r="QW28" s="100"/>
      <c r="QX28" s="100"/>
      <c r="QY28" s="100"/>
      <c r="QZ28" s="23">
        <f t="shared" si="0"/>
        <v>3</v>
      </c>
      <c r="RA28" s="47" t="s">
        <v>36</v>
      </c>
      <c r="RB28" s="97">
        <v>174.53</v>
      </c>
      <c r="RC28" s="63">
        <f>RF28</f>
        <v>174.53</v>
      </c>
      <c r="RD28" s="63">
        <v>114.03</v>
      </c>
      <c r="RE28" s="97">
        <f t="shared" si="1"/>
        <v>0</v>
      </c>
      <c r="RF28" s="107">
        <v>174.53</v>
      </c>
      <c r="RG28" s="107"/>
      <c r="RH28" s="83">
        <f t="shared" si="2"/>
        <v>1.5305621327720775</v>
      </c>
      <c r="RI28" s="116" t="s">
        <v>540</v>
      </c>
    </row>
    <row r="29" spans="1:477" s="5" customFormat="1" ht="12.75" customHeight="1" x14ac:dyDescent="0.2">
      <c r="A29" s="48">
        <v>44950</v>
      </c>
      <c r="B29" s="115" t="s">
        <v>123</v>
      </c>
      <c r="C29" s="98"/>
      <c r="D29" s="98"/>
      <c r="E29" s="99"/>
      <c r="F29" s="99"/>
      <c r="G29" s="99"/>
      <c r="H29" s="99"/>
      <c r="I29" s="99"/>
      <c r="J29" s="99"/>
      <c r="K29" s="99"/>
      <c r="L29" s="99"/>
      <c r="M29" s="99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100"/>
      <c r="BS29" s="100"/>
      <c r="BT29" s="100"/>
      <c r="BU29" s="100"/>
      <c r="BV29" s="100"/>
      <c r="BW29" s="100"/>
      <c r="BX29" s="100"/>
      <c r="BY29" s="100"/>
      <c r="BZ29" s="100"/>
      <c r="CA29" s="100"/>
      <c r="CB29" s="100"/>
      <c r="CC29" s="100"/>
      <c r="CD29" s="100"/>
      <c r="CE29" s="100"/>
      <c r="CF29" s="100"/>
      <c r="CG29" s="100"/>
      <c r="CH29" s="100"/>
      <c r="CI29" s="100"/>
      <c r="CJ29" s="100"/>
      <c r="CK29" s="100"/>
      <c r="CL29" s="100"/>
      <c r="CM29" s="100"/>
      <c r="CN29" s="10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0"/>
      <c r="DJ29" s="100"/>
      <c r="DK29" s="100"/>
      <c r="DL29" s="100"/>
      <c r="DM29" s="100"/>
      <c r="DN29" s="100"/>
      <c r="DO29" s="100"/>
      <c r="DP29" s="100"/>
      <c r="DQ29" s="100"/>
      <c r="DR29" s="100"/>
      <c r="DS29" s="100"/>
      <c r="DT29" s="100"/>
      <c r="DU29" s="100"/>
      <c r="DV29" s="100"/>
      <c r="DW29" s="100"/>
      <c r="DX29" s="100"/>
      <c r="DY29" s="100"/>
      <c r="DZ29" s="100"/>
      <c r="EA29" s="100"/>
      <c r="EB29" s="100"/>
      <c r="EC29" s="100"/>
      <c r="ED29" s="100"/>
      <c r="EE29" s="100"/>
      <c r="EF29" s="100"/>
      <c r="EG29" s="100"/>
      <c r="EH29" s="100"/>
      <c r="EI29" s="100"/>
      <c r="EJ29" s="100"/>
      <c r="EK29" s="100"/>
      <c r="EL29" s="100"/>
      <c r="EM29" s="100"/>
      <c r="EN29" s="100"/>
      <c r="EO29" s="100"/>
      <c r="EP29" s="100"/>
      <c r="EQ29" s="100"/>
      <c r="ER29" s="100"/>
      <c r="ES29" s="100"/>
      <c r="ET29" s="100"/>
      <c r="EU29" s="100"/>
      <c r="EV29" s="100"/>
      <c r="EW29" s="100"/>
      <c r="EX29" s="100"/>
      <c r="EY29" s="100"/>
      <c r="EZ29" s="100"/>
      <c r="FA29" s="100"/>
      <c r="FB29" s="100"/>
      <c r="FC29" s="100"/>
      <c r="FD29" s="100"/>
      <c r="FE29" s="100"/>
      <c r="FF29" s="100"/>
      <c r="FG29" s="100"/>
      <c r="FH29" s="100"/>
      <c r="FI29" s="100"/>
      <c r="FJ29" s="100"/>
      <c r="FK29" s="100"/>
      <c r="FL29" s="100"/>
      <c r="FM29" s="100"/>
      <c r="FN29" s="100"/>
      <c r="FO29" s="100"/>
      <c r="FP29" s="100"/>
      <c r="FQ29" s="100"/>
      <c r="FR29" s="100"/>
      <c r="FS29" s="100"/>
      <c r="FT29" s="100"/>
      <c r="FU29" s="100"/>
      <c r="FV29" s="100"/>
      <c r="FW29" s="100"/>
      <c r="FX29" s="100"/>
      <c r="FY29" s="100"/>
      <c r="FZ29" s="100"/>
      <c r="GA29" s="100"/>
      <c r="GB29" s="100"/>
      <c r="GC29" s="100"/>
      <c r="GD29" s="100"/>
      <c r="GE29" s="100"/>
      <c r="GF29" s="100"/>
      <c r="GG29" s="100"/>
      <c r="GH29" s="100"/>
      <c r="GI29" s="100"/>
      <c r="GJ29" s="100"/>
      <c r="GK29" s="100"/>
      <c r="GL29" s="100"/>
      <c r="GM29" s="100"/>
      <c r="GN29" s="100"/>
      <c r="GO29" s="100"/>
      <c r="GP29" s="100"/>
      <c r="GQ29" s="100"/>
      <c r="GR29" s="100"/>
      <c r="GS29" s="100"/>
      <c r="GT29" s="100"/>
      <c r="GU29" s="100"/>
      <c r="GV29" s="100"/>
      <c r="GW29" s="100"/>
      <c r="GX29" s="100"/>
      <c r="GY29" s="100"/>
      <c r="GZ29" s="100"/>
      <c r="HA29" s="100"/>
      <c r="HB29" s="100"/>
      <c r="HC29" s="100"/>
      <c r="HD29" s="100"/>
      <c r="HE29" s="100"/>
      <c r="HF29" s="100"/>
      <c r="HG29" s="100"/>
      <c r="HH29" s="100"/>
      <c r="HI29" s="100"/>
      <c r="HJ29" s="100"/>
      <c r="HK29" s="100"/>
      <c r="HL29" s="100"/>
      <c r="HM29" s="100"/>
      <c r="HN29" s="100"/>
      <c r="HO29" s="100"/>
      <c r="HP29" s="100"/>
      <c r="HQ29" s="100"/>
      <c r="HR29" s="100"/>
      <c r="HS29" s="100"/>
      <c r="HT29" s="100"/>
      <c r="HU29" s="100"/>
      <c r="HV29" s="100"/>
      <c r="HW29" s="100"/>
      <c r="HX29" s="100"/>
      <c r="HY29" s="100"/>
      <c r="HZ29" s="100"/>
      <c r="IA29" s="100"/>
      <c r="IB29" s="100"/>
      <c r="IC29" s="100"/>
      <c r="ID29" s="100"/>
      <c r="IE29" s="100"/>
      <c r="IF29" s="100"/>
      <c r="IG29" s="100"/>
      <c r="IH29" s="100"/>
      <c r="II29" s="100"/>
      <c r="IJ29" s="100"/>
      <c r="IK29" s="100"/>
      <c r="IL29" s="100"/>
      <c r="IM29" s="100"/>
      <c r="IN29" s="100"/>
      <c r="IO29" s="100"/>
      <c r="IP29" s="100"/>
      <c r="IQ29" s="100"/>
      <c r="IR29" s="100"/>
      <c r="IS29" s="100"/>
      <c r="IT29" s="100"/>
      <c r="IU29" s="100"/>
      <c r="IV29" s="100"/>
      <c r="IW29" s="100"/>
      <c r="IX29" s="100"/>
      <c r="IY29" s="100"/>
      <c r="IZ29" s="100"/>
      <c r="JA29" s="100"/>
      <c r="JB29" s="100"/>
      <c r="JC29" s="100"/>
      <c r="JD29" s="100"/>
      <c r="JE29" s="100"/>
      <c r="JF29" s="100"/>
      <c r="JG29" s="100"/>
      <c r="JH29" s="100"/>
      <c r="JI29" s="100"/>
      <c r="JJ29" s="100"/>
      <c r="JK29" s="100"/>
      <c r="JL29" s="100"/>
      <c r="JM29" s="100"/>
      <c r="JN29" s="100"/>
      <c r="JO29" s="100"/>
      <c r="JP29" s="100"/>
      <c r="JQ29" s="100"/>
      <c r="JR29" s="100"/>
      <c r="JS29" s="100"/>
      <c r="JT29" s="100"/>
      <c r="JU29" s="100"/>
      <c r="JV29" s="100"/>
      <c r="JW29" s="100"/>
      <c r="JX29" s="100"/>
      <c r="JY29" s="100"/>
      <c r="JZ29" s="100"/>
      <c r="KA29" s="100"/>
      <c r="KB29" s="100"/>
      <c r="KC29" s="100"/>
      <c r="KD29" s="100"/>
      <c r="KE29" s="100"/>
      <c r="KF29" s="100"/>
      <c r="KG29" s="100"/>
      <c r="KH29" s="100"/>
      <c r="KI29" s="100"/>
      <c r="KJ29" s="100"/>
      <c r="KK29" s="100"/>
      <c r="KL29" s="100"/>
      <c r="KM29" s="100"/>
      <c r="KN29" s="100"/>
      <c r="KO29" s="100"/>
      <c r="KP29" s="100"/>
      <c r="KQ29" s="100"/>
      <c r="KR29" s="100"/>
      <c r="KS29" s="100"/>
      <c r="KT29" s="100"/>
      <c r="KU29" s="100"/>
      <c r="KV29" s="100"/>
      <c r="KW29" s="100"/>
      <c r="KX29" s="100"/>
      <c r="KY29" s="100"/>
      <c r="KZ29" s="100"/>
      <c r="LA29" s="100"/>
      <c r="LB29" s="100"/>
      <c r="LC29" s="100"/>
      <c r="LD29" s="100"/>
      <c r="LE29" s="100"/>
      <c r="LF29" s="100"/>
      <c r="LG29" s="100"/>
      <c r="LH29" s="100"/>
      <c r="LI29" s="100"/>
      <c r="LJ29" s="100"/>
      <c r="LK29" s="100"/>
      <c r="LL29" s="100"/>
      <c r="LM29" s="100"/>
      <c r="LN29" s="100"/>
      <c r="LO29" s="100"/>
      <c r="LP29" s="100"/>
      <c r="LQ29" s="100"/>
      <c r="LR29" s="100"/>
      <c r="LS29" s="100"/>
      <c r="LT29" s="100"/>
      <c r="LU29" s="100"/>
      <c r="LV29" s="100"/>
      <c r="LW29" s="100"/>
      <c r="LX29" s="100"/>
      <c r="LY29" s="100"/>
      <c r="LZ29" s="100"/>
      <c r="MA29" s="100"/>
      <c r="MB29" s="100"/>
      <c r="MC29" s="100"/>
      <c r="MD29" s="100"/>
      <c r="ME29" s="100"/>
      <c r="MF29" s="100"/>
      <c r="MG29" s="100"/>
      <c r="MH29" s="100"/>
      <c r="MI29" s="100"/>
      <c r="MJ29" s="100"/>
      <c r="MK29" s="100"/>
      <c r="ML29" s="100"/>
      <c r="MM29" s="100"/>
      <c r="MN29" s="100"/>
      <c r="MO29" s="100"/>
      <c r="MP29" s="100"/>
      <c r="MQ29" s="100"/>
      <c r="MR29" s="100"/>
      <c r="MS29" s="100"/>
      <c r="MT29" s="100"/>
      <c r="MU29" s="100"/>
      <c r="MV29" s="100"/>
      <c r="MW29" s="100"/>
      <c r="MX29" s="100"/>
      <c r="MY29" s="100"/>
      <c r="MZ29" s="100"/>
      <c r="NA29" s="100"/>
      <c r="NB29" s="100"/>
      <c r="NC29" s="100"/>
      <c r="ND29" s="100"/>
      <c r="NE29" s="100"/>
      <c r="NF29" s="100"/>
      <c r="NG29" s="100"/>
      <c r="NH29" s="100"/>
      <c r="NI29" s="100"/>
      <c r="NJ29" s="100"/>
      <c r="NK29" s="100"/>
      <c r="NL29" s="100"/>
      <c r="NM29" s="100"/>
      <c r="NN29" s="100"/>
      <c r="NO29" s="100"/>
      <c r="NP29" s="100"/>
      <c r="NQ29" s="100"/>
      <c r="NR29" s="100"/>
      <c r="NS29" s="100"/>
      <c r="NT29" s="100"/>
      <c r="NU29" s="100"/>
      <c r="NV29" s="100"/>
      <c r="NW29" s="100"/>
      <c r="NX29" s="100"/>
      <c r="NY29" s="100"/>
      <c r="NZ29" s="100"/>
      <c r="OA29" s="100"/>
      <c r="OB29" s="100"/>
      <c r="OC29" s="100"/>
      <c r="OD29" s="100"/>
      <c r="OE29" s="100"/>
      <c r="OF29" s="100"/>
      <c r="OG29" s="100"/>
      <c r="OH29" s="100"/>
      <c r="OI29" s="100"/>
      <c r="OJ29" s="100"/>
      <c r="OK29" s="100"/>
      <c r="OL29" s="100"/>
      <c r="OM29" s="100"/>
      <c r="ON29" s="100"/>
      <c r="OO29" s="100"/>
      <c r="OP29" s="100"/>
      <c r="OQ29" s="100"/>
      <c r="OR29" s="100"/>
      <c r="OS29" s="100"/>
      <c r="OT29" s="100"/>
      <c r="OU29" s="100"/>
      <c r="OV29" s="100"/>
      <c r="OW29" s="100"/>
      <c r="OX29" s="100"/>
      <c r="OY29" s="100"/>
      <c r="OZ29" s="100"/>
      <c r="PA29" s="100"/>
      <c r="PB29" s="100"/>
      <c r="PC29" s="100"/>
      <c r="PD29" s="100"/>
      <c r="PE29" s="100"/>
      <c r="PF29" s="100"/>
      <c r="PG29" s="100"/>
      <c r="PH29" s="100"/>
      <c r="PI29" s="100"/>
      <c r="PJ29" s="100"/>
      <c r="PK29" s="100"/>
      <c r="PL29" s="100"/>
      <c r="PM29" s="100"/>
      <c r="PN29" s="100"/>
      <c r="PO29" s="100"/>
      <c r="PP29" s="100"/>
      <c r="PQ29" s="100"/>
      <c r="PR29" s="100"/>
      <c r="PS29" s="100"/>
      <c r="PT29" s="100"/>
      <c r="PU29" s="100"/>
      <c r="PV29" s="100"/>
      <c r="PW29" s="100"/>
      <c r="PX29" s="100"/>
      <c r="PY29" s="100"/>
      <c r="PZ29" s="100"/>
      <c r="QA29" s="100"/>
      <c r="QB29" s="100"/>
      <c r="QC29" s="100"/>
      <c r="QD29" s="100"/>
      <c r="QE29" s="100"/>
      <c r="QF29" s="100"/>
      <c r="QG29" s="100"/>
      <c r="QH29" s="100"/>
      <c r="QI29" s="100"/>
      <c r="QJ29" s="100"/>
      <c r="QK29" s="100"/>
      <c r="QL29" s="100"/>
      <c r="QM29" s="100"/>
      <c r="QN29" s="100"/>
      <c r="QO29" s="100"/>
      <c r="QP29" s="100"/>
      <c r="QQ29" s="100"/>
      <c r="QR29" s="100"/>
      <c r="QS29" s="100"/>
      <c r="QT29" s="100"/>
      <c r="QU29" s="100"/>
      <c r="QV29" s="100"/>
      <c r="QW29" s="100">
        <v>2</v>
      </c>
      <c r="QX29" s="100"/>
      <c r="QY29" s="100"/>
      <c r="QZ29" s="23">
        <f t="shared" si="0"/>
        <v>2</v>
      </c>
      <c r="RA29" s="47" t="s">
        <v>36</v>
      </c>
      <c r="RB29" s="97">
        <v>167.52</v>
      </c>
      <c r="RC29" s="63">
        <f>RF29+RG29</f>
        <v>167.52</v>
      </c>
      <c r="RD29" s="63">
        <v>109.72</v>
      </c>
      <c r="RE29" s="97">
        <f t="shared" si="1"/>
        <v>0</v>
      </c>
      <c r="RF29" s="107"/>
      <c r="RG29" s="107">
        <v>167.52</v>
      </c>
      <c r="RH29" s="83">
        <f t="shared" si="2"/>
        <v>1.5267954794021146</v>
      </c>
      <c r="RI29" s="116"/>
    </row>
    <row r="30" spans="1:477" s="5" customFormat="1" ht="12.75" customHeight="1" x14ac:dyDescent="0.2">
      <c r="A30" s="48">
        <v>44950</v>
      </c>
      <c r="B30" s="81" t="s">
        <v>535</v>
      </c>
      <c r="C30" s="98"/>
      <c r="D30" s="98"/>
      <c r="E30" s="99"/>
      <c r="F30" s="99"/>
      <c r="G30" s="99"/>
      <c r="H30" s="99"/>
      <c r="I30" s="99"/>
      <c r="J30" s="99"/>
      <c r="K30" s="99"/>
      <c r="L30" s="99"/>
      <c r="M30" s="99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>
        <v>20</v>
      </c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00"/>
      <c r="BQ30" s="100"/>
      <c r="BR30" s="100"/>
      <c r="BS30" s="100"/>
      <c r="BT30" s="100"/>
      <c r="BU30" s="100"/>
      <c r="BV30" s="100"/>
      <c r="BW30" s="100"/>
      <c r="BX30" s="100"/>
      <c r="BY30" s="100"/>
      <c r="BZ30" s="100"/>
      <c r="CA30" s="100"/>
      <c r="CB30" s="100"/>
      <c r="CC30" s="100"/>
      <c r="CD30" s="100"/>
      <c r="CE30" s="100"/>
      <c r="CF30" s="100"/>
      <c r="CG30" s="100"/>
      <c r="CH30" s="100"/>
      <c r="CI30" s="100"/>
      <c r="CJ30" s="100"/>
      <c r="CK30" s="100"/>
      <c r="CL30" s="100"/>
      <c r="CM30" s="100"/>
      <c r="CN30" s="10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0"/>
      <c r="DJ30" s="100"/>
      <c r="DK30" s="100"/>
      <c r="DL30" s="100"/>
      <c r="DM30" s="100"/>
      <c r="DN30" s="100"/>
      <c r="DO30" s="100"/>
      <c r="DP30" s="100"/>
      <c r="DQ30" s="100"/>
      <c r="DR30" s="100"/>
      <c r="DS30" s="100"/>
      <c r="DT30" s="100"/>
      <c r="DU30" s="100"/>
      <c r="DV30" s="100"/>
      <c r="DW30" s="100"/>
      <c r="DX30" s="100"/>
      <c r="DY30" s="100"/>
      <c r="DZ30" s="100"/>
      <c r="EA30" s="100"/>
      <c r="EB30" s="100"/>
      <c r="EC30" s="100"/>
      <c r="ED30" s="100"/>
      <c r="EE30" s="100"/>
      <c r="EF30" s="100"/>
      <c r="EG30" s="100"/>
      <c r="EH30" s="100"/>
      <c r="EI30" s="100"/>
      <c r="EJ30" s="100"/>
      <c r="EK30" s="100"/>
      <c r="EL30" s="100"/>
      <c r="EM30" s="100"/>
      <c r="EN30" s="100"/>
      <c r="EO30" s="100"/>
      <c r="EP30" s="100"/>
      <c r="EQ30" s="100"/>
      <c r="ER30" s="100"/>
      <c r="ES30" s="100"/>
      <c r="ET30" s="100"/>
      <c r="EU30" s="100"/>
      <c r="EV30" s="100"/>
      <c r="EW30" s="100"/>
      <c r="EX30" s="100"/>
      <c r="EY30" s="100"/>
      <c r="EZ30" s="100"/>
      <c r="FA30" s="100"/>
      <c r="FB30" s="100"/>
      <c r="FC30" s="100"/>
      <c r="FD30" s="100"/>
      <c r="FE30" s="100"/>
      <c r="FF30" s="100"/>
      <c r="FG30" s="100"/>
      <c r="FH30" s="100"/>
      <c r="FI30" s="100"/>
      <c r="FJ30" s="100"/>
      <c r="FK30" s="100"/>
      <c r="FL30" s="100"/>
      <c r="FM30" s="100"/>
      <c r="FN30" s="100"/>
      <c r="FO30" s="100"/>
      <c r="FP30" s="100"/>
      <c r="FQ30" s="100"/>
      <c r="FR30" s="100"/>
      <c r="FS30" s="100"/>
      <c r="FT30" s="100"/>
      <c r="FU30" s="100"/>
      <c r="FV30" s="100"/>
      <c r="FW30" s="100"/>
      <c r="FX30" s="100"/>
      <c r="FY30" s="100"/>
      <c r="FZ30" s="100"/>
      <c r="GA30" s="100"/>
      <c r="GB30" s="100"/>
      <c r="GC30" s="100"/>
      <c r="GD30" s="100"/>
      <c r="GE30" s="100"/>
      <c r="GF30" s="100"/>
      <c r="GG30" s="100"/>
      <c r="GH30" s="100"/>
      <c r="GI30" s="100"/>
      <c r="GJ30" s="100"/>
      <c r="GK30" s="100"/>
      <c r="GL30" s="100"/>
      <c r="GM30" s="100"/>
      <c r="GN30" s="100"/>
      <c r="GO30" s="100"/>
      <c r="GP30" s="100"/>
      <c r="GQ30" s="100"/>
      <c r="GR30" s="100"/>
      <c r="GS30" s="100"/>
      <c r="GT30" s="100"/>
      <c r="GU30" s="100"/>
      <c r="GV30" s="100"/>
      <c r="GW30" s="100"/>
      <c r="GX30" s="100"/>
      <c r="GY30" s="100"/>
      <c r="GZ30" s="100"/>
      <c r="HA30" s="100"/>
      <c r="HB30" s="100"/>
      <c r="HC30" s="100"/>
      <c r="HD30" s="100"/>
      <c r="HE30" s="100"/>
      <c r="HF30" s="100"/>
      <c r="HG30" s="100"/>
      <c r="HH30" s="100"/>
      <c r="HI30" s="100"/>
      <c r="HJ30" s="100"/>
      <c r="HK30" s="100"/>
      <c r="HL30" s="100"/>
      <c r="HM30" s="100"/>
      <c r="HN30" s="100"/>
      <c r="HO30" s="100"/>
      <c r="HP30" s="100"/>
      <c r="HQ30" s="100"/>
      <c r="HR30" s="100"/>
      <c r="HS30" s="100"/>
      <c r="HT30" s="100"/>
      <c r="HU30" s="100"/>
      <c r="HV30" s="100"/>
      <c r="HW30" s="100"/>
      <c r="HX30" s="100"/>
      <c r="HY30" s="100"/>
      <c r="HZ30" s="100"/>
      <c r="IA30" s="100"/>
      <c r="IB30" s="100"/>
      <c r="IC30" s="100"/>
      <c r="ID30" s="100"/>
      <c r="IE30" s="100"/>
      <c r="IF30" s="100"/>
      <c r="IG30" s="100"/>
      <c r="IH30" s="100"/>
      <c r="II30" s="100"/>
      <c r="IJ30" s="100"/>
      <c r="IK30" s="100"/>
      <c r="IL30" s="100"/>
      <c r="IM30" s="100"/>
      <c r="IN30" s="100"/>
      <c r="IO30" s="100"/>
      <c r="IP30" s="100"/>
      <c r="IQ30" s="100"/>
      <c r="IR30" s="100"/>
      <c r="IS30" s="100"/>
      <c r="IT30" s="100"/>
      <c r="IU30" s="100"/>
      <c r="IV30" s="100"/>
      <c r="IW30" s="100"/>
      <c r="IX30" s="100"/>
      <c r="IY30" s="100"/>
      <c r="IZ30" s="100"/>
      <c r="JA30" s="100"/>
      <c r="JB30" s="100"/>
      <c r="JC30" s="100"/>
      <c r="JD30" s="100"/>
      <c r="JE30" s="100"/>
      <c r="JF30" s="100"/>
      <c r="JG30" s="100"/>
      <c r="JH30" s="100"/>
      <c r="JI30" s="100"/>
      <c r="JJ30" s="100"/>
      <c r="JK30" s="100"/>
      <c r="JL30" s="100"/>
      <c r="JM30" s="100"/>
      <c r="JN30" s="100"/>
      <c r="JO30" s="100"/>
      <c r="JP30" s="100"/>
      <c r="JQ30" s="100"/>
      <c r="JR30" s="100"/>
      <c r="JS30" s="100"/>
      <c r="JT30" s="100"/>
      <c r="JU30" s="100"/>
      <c r="JV30" s="100"/>
      <c r="JW30" s="100"/>
      <c r="JX30" s="100"/>
      <c r="JY30" s="100"/>
      <c r="JZ30" s="100"/>
      <c r="KA30" s="100"/>
      <c r="KB30" s="100"/>
      <c r="KC30" s="100"/>
      <c r="KD30" s="100"/>
      <c r="KE30" s="100"/>
      <c r="KF30" s="100"/>
      <c r="KG30" s="100"/>
      <c r="KH30" s="100"/>
      <c r="KI30" s="100"/>
      <c r="KJ30" s="100"/>
      <c r="KK30" s="100"/>
      <c r="KL30" s="100"/>
      <c r="KM30" s="100"/>
      <c r="KN30" s="100"/>
      <c r="KO30" s="100"/>
      <c r="KP30" s="100"/>
      <c r="KQ30" s="100"/>
      <c r="KR30" s="100"/>
      <c r="KS30" s="100"/>
      <c r="KT30" s="100"/>
      <c r="KU30" s="100"/>
      <c r="KV30" s="100"/>
      <c r="KW30" s="100"/>
      <c r="KX30" s="100"/>
      <c r="KY30" s="100"/>
      <c r="KZ30" s="100"/>
      <c r="LA30" s="100"/>
      <c r="LB30" s="100"/>
      <c r="LC30" s="100"/>
      <c r="LD30" s="100"/>
      <c r="LE30" s="100"/>
      <c r="LF30" s="100"/>
      <c r="LG30" s="100"/>
      <c r="LH30" s="100"/>
      <c r="LI30" s="100"/>
      <c r="LJ30" s="100"/>
      <c r="LK30" s="100"/>
      <c r="LL30" s="100"/>
      <c r="LM30" s="100"/>
      <c r="LN30" s="100"/>
      <c r="LO30" s="100"/>
      <c r="LP30" s="100"/>
      <c r="LQ30" s="100"/>
      <c r="LR30" s="100"/>
      <c r="LS30" s="100"/>
      <c r="LT30" s="100"/>
      <c r="LU30" s="100"/>
      <c r="LV30" s="100"/>
      <c r="LW30" s="100"/>
      <c r="LX30" s="100"/>
      <c r="LY30" s="100"/>
      <c r="LZ30" s="100"/>
      <c r="MA30" s="100"/>
      <c r="MB30" s="100"/>
      <c r="MC30" s="100"/>
      <c r="MD30" s="100"/>
      <c r="ME30" s="100"/>
      <c r="MF30" s="100"/>
      <c r="MG30" s="100"/>
      <c r="MH30" s="100"/>
      <c r="MI30" s="100"/>
      <c r="MJ30" s="100"/>
      <c r="MK30" s="100"/>
      <c r="ML30" s="100"/>
      <c r="MM30" s="100"/>
      <c r="MN30" s="100"/>
      <c r="MO30" s="100"/>
      <c r="MP30" s="100"/>
      <c r="MQ30" s="100"/>
      <c r="MR30" s="100"/>
      <c r="MS30" s="100"/>
      <c r="MT30" s="100"/>
      <c r="MU30" s="100"/>
      <c r="MV30" s="100"/>
      <c r="MW30" s="100"/>
      <c r="MX30" s="100"/>
      <c r="MY30" s="100"/>
      <c r="MZ30" s="100"/>
      <c r="NA30" s="100"/>
      <c r="NB30" s="100"/>
      <c r="NC30" s="100"/>
      <c r="ND30" s="100"/>
      <c r="NE30" s="100"/>
      <c r="NF30" s="100"/>
      <c r="NG30" s="100"/>
      <c r="NH30" s="100"/>
      <c r="NI30" s="100"/>
      <c r="NJ30" s="100"/>
      <c r="NK30" s="100"/>
      <c r="NL30" s="100"/>
      <c r="NM30" s="100"/>
      <c r="NN30" s="100"/>
      <c r="NO30" s="100"/>
      <c r="NP30" s="100"/>
      <c r="NQ30" s="100"/>
      <c r="NR30" s="100"/>
      <c r="NS30" s="100"/>
      <c r="NT30" s="100"/>
      <c r="NU30" s="100"/>
      <c r="NV30" s="100"/>
      <c r="NW30" s="100"/>
      <c r="NX30" s="100"/>
      <c r="NY30" s="100"/>
      <c r="NZ30" s="100"/>
      <c r="OA30" s="100"/>
      <c r="OB30" s="100"/>
      <c r="OC30" s="100"/>
      <c r="OD30" s="100"/>
      <c r="OE30" s="100"/>
      <c r="OF30" s="100"/>
      <c r="OG30" s="100"/>
      <c r="OH30" s="100"/>
      <c r="OI30" s="100"/>
      <c r="OJ30" s="100"/>
      <c r="OK30" s="100"/>
      <c r="OL30" s="100"/>
      <c r="OM30" s="100"/>
      <c r="ON30" s="100"/>
      <c r="OO30" s="100"/>
      <c r="OP30" s="100"/>
      <c r="OQ30" s="100"/>
      <c r="OR30" s="100"/>
      <c r="OS30" s="100"/>
      <c r="OT30" s="100"/>
      <c r="OU30" s="100"/>
      <c r="OV30" s="100"/>
      <c r="OW30" s="100"/>
      <c r="OX30" s="100"/>
      <c r="OY30" s="100"/>
      <c r="OZ30" s="100"/>
      <c r="PA30" s="100"/>
      <c r="PB30" s="100"/>
      <c r="PC30" s="100"/>
      <c r="PD30" s="100"/>
      <c r="PE30" s="100"/>
      <c r="PF30" s="100"/>
      <c r="PG30" s="100"/>
      <c r="PH30" s="100"/>
      <c r="PI30" s="100"/>
      <c r="PJ30" s="100"/>
      <c r="PK30" s="100"/>
      <c r="PL30" s="100"/>
      <c r="PM30" s="100"/>
      <c r="PN30" s="100"/>
      <c r="PO30" s="100"/>
      <c r="PP30" s="100"/>
      <c r="PQ30" s="100"/>
      <c r="PR30" s="100"/>
      <c r="PS30" s="100"/>
      <c r="PT30" s="100"/>
      <c r="PU30" s="100"/>
      <c r="PV30" s="100"/>
      <c r="PW30" s="100"/>
      <c r="PX30" s="100"/>
      <c r="PY30" s="100"/>
      <c r="PZ30" s="100"/>
      <c r="QA30" s="100"/>
      <c r="QB30" s="100"/>
      <c r="QC30" s="100"/>
      <c r="QD30" s="100"/>
      <c r="QE30" s="100"/>
      <c r="QF30" s="100"/>
      <c r="QG30" s="100"/>
      <c r="QH30" s="100"/>
      <c r="QI30" s="100"/>
      <c r="QJ30" s="100"/>
      <c r="QK30" s="100"/>
      <c r="QL30" s="100"/>
      <c r="QM30" s="100"/>
      <c r="QN30" s="100"/>
      <c r="QO30" s="100"/>
      <c r="QP30" s="100"/>
      <c r="QQ30" s="100"/>
      <c r="QR30" s="100"/>
      <c r="QS30" s="100"/>
      <c r="QT30" s="100"/>
      <c r="QU30" s="100"/>
      <c r="QV30" s="100"/>
      <c r="QW30" s="100"/>
      <c r="QX30" s="100"/>
      <c r="QY30" s="100"/>
      <c r="QZ30" s="23">
        <f t="shared" si="0"/>
        <v>20</v>
      </c>
      <c r="RA30" s="47" t="s">
        <v>36</v>
      </c>
      <c r="RB30" s="97">
        <v>1080</v>
      </c>
      <c r="RC30" s="63">
        <f>RF30</f>
        <v>1080</v>
      </c>
      <c r="RD30" s="63">
        <v>632.79999999999995</v>
      </c>
      <c r="RE30" s="97">
        <f t="shared" si="1"/>
        <v>0</v>
      </c>
      <c r="RF30" s="107">
        <v>1080</v>
      </c>
      <c r="RG30" s="107"/>
      <c r="RH30" s="83">
        <f t="shared" si="2"/>
        <v>1.706700379266751</v>
      </c>
      <c r="RI30" s="116"/>
    </row>
    <row r="31" spans="1:477" s="5" customFormat="1" ht="12.75" customHeight="1" x14ac:dyDescent="0.2">
      <c r="A31" s="48">
        <v>44951</v>
      </c>
      <c r="B31" s="90" t="s">
        <v>456</v>
      </c>
      <c r="C31" s="98"/>
      <c r="D31" s="98"/>
      <c r="E31" s="99"/>
      <c r="F31" s="99"/>
      <c r="G31" s="99"/>
      <c r="H31" s="99"/>
      <c r="I31" s="99"/>
      <c r="J31" s="99"/>
      <c r="K31" s="99"/>
      <c r="L31" s="99"/>
      <c r="M31" s="99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  <c r="BP31" s="100"/>
      <c r="BQ31" s="100"/>
      <c r="BR31" s="100"/>
      <c r="BS31" s="100"/>
      <c r="BT31" s="100"/>
      <c r="BU31" s="100"/>
      <c r="BV31" s="100"/>
      <c r="BW31" s="100"/>
      <c r="BX31" s="100"/>
      <c r="BY31" s="100"/>
      <c r="BZ31" s="100"/>
      <c r="CA31" s="100"/>
      <c r="CB31" s="100"/>
      <c r="CC31" s="100"/>
      <c r="CD31" s="100"/>
      <c r="CE31" s="100"/>
      <c r="CF31" s="100"/>
      <c r="CG31" s="100"/>
      <c r="CH31" s="100"/>
      <c r="CI31" s="100"/>
      <c r="CJ31" s="100"/>
      <c r="CK31" s="100"/>
      <c r="CL31" s="100"/>
      <c r="CM31" s="100"/>
      <c r="CN31" s="10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0"/>
      <c r="DJ31" s="100"/>
      <c r="DK31" s="100"/>
      <c r="DL31" s="100"/>
      <c r="DM31" s="100"/>
      <c r="DN31" s="100"/>
      <c r="DO31" s="100"/>
      <c r="DP31" s="100"/>
      <c r="DQ31" s="100"/>
      <c r="DR31" s="100"/>
      <c r="DS31" s="100"/>
      <c r="DT31" s="100"/>
      <c r="DU31" s="100"/>
      <c r="DV31" s="100"/>
      <c r="DW31" s="100"/>
      <c r="DX31" s="100"/>
      <c r="DY31" s="100"/>
      <c r="DZ31" s="100"/>
      <c r="EA31" s="100"/>
      <c r="EB31" s="100"/>
      <c r="EC31" s="100"/>
      <c r="ED31" s="100"/>
      <c r="EE31" s="100"/>
      <c r="EF31" s="100"/>
      <c r="EG31" s="100"/>
      <c r="EH31" s="100"/>
      <c r="EI31" s="100"/>
      <c r="EJ31" s="100"/>
      <c r="EK31" s="100"/>
      <c r="EL31" s="100"/>
      <c r="EM31" s="100"/>
      <c r="EN31" s="100"/>
      <c r="EO31" s="100"/>
      <c r="EP31" s="100"/>
      <c r="EQ31" s="100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  <c r="FQ31" s="100"/>
      <c r="FR31" s="100"/>
      <c r="FS31" s="100"/>
      <c r="FT31" s="100"/>
      <c r="FU31" s="100"/>
      <c r="FV31" s="100"/>
      <c r="FW31" s="100"/>
      <c r="FX31" s="100"/>
      <c r="FY31" s="100"/>
      <c r="FZ31" s="100"/>
      <c r="GA31" s="100"/>
      <c r="GB31" s="100"/>
      <c r="GC31" s="100"/>
      <c r="GD31" s="100"/>
      <c r="GE31" s="100"/>
      <c r="GF31" s="100"/>
      <c r="GG31" s="100"/>
      <c r="GH31" s="100"/>
      <c r="GI31" s="100"/>
      <c r="GJ31" s="100"/>
      <c r="GK31" s="100"/>
      <c r="GL31" s="100"/>
      <c r="GM31" s="100"/>
      <c r="GN31" s="100"/>
      <c r="GO31" s="100"/>
      <c r="GP31" s="100"/>
      <c r="GQ31" s="100"/>
      <c r="GR31" s="100"/>
      <c r="GS31" s="100"/>
      <c r="GT31" s="100"/>
      <c r="GU31" s="100"/>
      <c r="GV31" s="100"/>
      <c r="GW31" s="100"/>
      <c r="GX31" s="100">
        <v>15</v>
      </c>
      <c r="GY31" s="100"/>
      <c r="GZ31" s="100"/>
      <c r="HA31" s="100"/>
      <c r="HB31" s="100"/>
      <c r="HC31" s="100"/>
      <c r="HD31" s="100"/>
      <c r="HE31" s="100"/>
      <c r="HF31" s="100"/>
      <c r="HG31" s="100"/>
      <c r="HH31" s="100"/>
      <c r="HI31" s="100"/>
      <c r="HJ31" s="100"/>
      <c r="HK31" s="100"/>
      <c r="HL31" s="100"/>
      <c r="HM31" s="100"/>
      <c r="HN31" s="100"/>
      <c r="HO31" s="100"/>
      <c r="HP31" s="100"/>
      <c r="HQ31" s="100"/>
      <c r="HR31" s="100"/>
      <c r="HS31" s="100"/>
      <c r="HT31" s="100"/>
      <c r="HU31" s="100"/>
      <c r="HV31" s="100"/>
      <c r="HW31" s="100"/>
      <c r="HX31" s="100"/>
      <c r="HY31" s="100"/>
      <c r="HZ31" s="100"/>
      <c r="IA31" s="100"/>
      <c r="IB31" s="100"/>
      <c r="IC31" s="100"/>
      <c r="ID31" s="100"/>
      <c r="IE31" s="100"/>
      <c r="IF31" s="100"/>
      <c r="IG31" s="100"/>
      <c r="IH31" s="100"/>
      <c r="II31" s="100"/>
      <c r="IJ31" s="100"/>
      <c r="IK31" s="100"/>
      <c r="IL31" s="100"/>
      <c r="IM31" s="100"/>
      <c r="IN31" s="100"/>
      <c r="IO31" s="100"/>
      <c r="IP31" s="100"/>
      <c r="IQ31" s="100"/>
      <c r="IR31" s="100"/>
      <c r="IS31" s="100"/>
      <c r="IT31" s="100"/>
      <c r="IU31" s="100"/>
      <c r="IV31" s="100"/>
      <c r="IW31" s="100"/>
      <c r="IX31" s="100"/>
      <c r="IY31" s="100"/>
      <c r="IZ31" s="100"/>
      <c r="JA31" s="100"/>
      <c r="JB31" s="100"/>
      <c r="JC31" s="100"/>
      <c r="JD31" s="100"/>
      <c r="JE31" s="100"/>
      <c r="JF31" s="100"/>
      <c r="JG31" s="100"/>
      <c r="JH31" s="100"/>
      <c r="JI31" s="100"/>
      <c r="JJ31" s="100"/>
      <c r="JK31" s="100"/>
      <c r="JL31" s="100"/>
      <c r="JM31" s="100"/>
      <c r="JN31" s="100"/>
      <c r="JO31" s="100"/>
      <c r="JP31" s="100"/>
      <c r="JQ31" s="100"/>
      <c r="JR31" s="100"/>
      <c r="JS31" s="100"/>
      <c r="JT31" s="100"/>
      <c r="JU31" s="100"/>
      <c r="JV31" s="100"/>
      <c r="JW31" s="100"/>
      <c r="JX31" s="100"/>
      <c r="JY31" s="100"/>
      <c r="JZ31" s="100"/>
      <c r="KA31" s="100"/>
      <c r="KB31" s="100"/>
      <c r="KC31" s="100"/>
      <c r="KD31" s="100"/>
      <c r="KE31" s="100"/>
      <c r="KF31" s="100"/>
      <c r="KG31" s="100"/>
      <c r="KH31" s="100"/>
      <c r="KI31" s="100"/>
      <c r="KJ31" s="100"/>
      <c r="KK31" s="100"/>
      <c r="KL31" s="100"/>
      <c r="KM31" s="100"/>
      <c r="KN31" s="100"/>
      <c r="KO31" s="100"/>
      <c r="KP31" s="100"/>
      <c r="KQ31" s="100"/>
      <c r="KR31" s="100"/>
      <c r="KS31" s="100"/>
      <c r="KT31" s="100"/>
      <c r="KU31" s="100"/>
      <c r="KV31" s="100"/>
      <c r="KW31" s="100"/>
      <c r="KX31" s="100"/>
      <c r="KY31" s="100"/>
      <c r="KZ31" s="100"/>
      <c r="LA31" s="100"/>
      <c r="LB31" s="100"/>
      <c r="LC31" s="100"/>
      <c r="LD31" s="100"/>
      <c r="LE31" s="100"/>
      <c r="LF31" s="100"/>
      <c r="LG31" s="100"/>
      <c r="LH31" s="100"/>
      <c r="LI31" s="100"/>
      <c r="LJ31" s="100"/>
      <c r="LK31" s="100"/>
      <c r="LL31" s="100"/>
      <c r="LM31" s="100"/>
      <c r="LN31" s="100"/>
      <c r="LO31" s="100"/>
      <c r="LP31" s="100"/>
      <c r="LQ31" s="100"/>
      <c r="LR31" s="100"/>
      <c r="LS31" s="100"/>
      <c r="LT31" s="100"/>
      <c r="LU31" s="100"/>
      <c r="LV31" s="100"/>
      <c r="LW31" s="100"/>
      <c r="LX31" s="100"/>
      <c r="LY31" s="100"/>
      <c r="LZ31" s="100"/>
      <c r="MA31" s="100"/>
      <c r="MB31" s="100"/>
      <c r="MC31" s="100"/>
      <c r="MD31" s="100"/>
      <c r="ME31" s="100"/>
      <c r="MF31" s="100"/>
      <c r="MG31" s="100"/>
      <c r="MH31" s="100"/>
      <c r="MI31" s="100"/>
      <c r="MJ31" s="100"/>
      <c r="MK31" s="100"/>
      <c r="ML31" s="100"/>
      <c r="MM31" s="100"/>
      <c r="MN31" s="100"/>
      <c r="MO31" s="100"/>
      <c r="MP31" s="100"/>
      <c r="MQ31" s="100"/>
      <c r="MR31" s="100"/>
      <c r="MS31" s="100"/>
      <c r="MT31" s="100"/>
      <c r="MU31" s="100"/>
      <c r="MV31" s="100"/>
      <c r="MW31" s="100"/>
      <c r="MX31" s="100"/>
      <c r="MY31" s="100"/>
      <c r="MZ31" s="100"/>
      <c r="NA31" s="100"/>
      <c r="NB31" s="100"/>
      <c r="NC31" s="100"/>
      <c r="ND31" s="100"/>
      <c r="NE31" s="100"/>
      <c r="NF31" s="100"/>
      <c r="NG31" s="100"/>
      <c r="NH31" s="100"/>
      <c r="NI31" s="100"/>
      <c r="NJ31" s="100"/>
      <c r="NK31" s="100"/>
      <c r="NL31" s="100"/>
      <c r="NM31" s="100"/>
      <c r="NN31" s="100"/>
      <c r="NO31" s="100"/>
      <c r="NP31" s="100"/>
      <c r="NQ31" s="100"/>
      <c r="NR31" s="100"/>
      <c r="NS31" s="100"/>
      <c r="NT31" s="100"/>
      <c r="NU31" s="100"/>
      <c r="NV31" s="100"/>
      <c r="NW31" s="100"/>
      <c r="NX31" s="100"/>
      <c r="NY31" s="100"/>
      <c r="NZ31" s="100"/>
      <c r="OA31" s="100"/>
      <c r="OB31" s="100"/>
      <c r="OC31" s="100"/>
      <c r="OD31" s="100"/>
      <c r="OE31" s="100"/>
      <c r="OF31" s="100"/>
      <c r="OG31" s="100"/>
      <c r="OH31" s="100"/>
      <c r="OI31" s="100"/>
      <c r="OJ31" s="100"/>
      <c r="OK31" s="100"/>
      <c r="OL31" s="100"/>
      <c r="OM31" s="100"/>
      <c r="ON31" s="100"/>
      <c r="OO31" s="100"/>
      <c r="OP31" s="100"/>
      <c r="OQ31" s="100"/>
      <c r="OR31" s="100"/>
      <c r="OS31" s="100"/>
      <c r="OT31" s="100"/>
      <c r="OU31" s="100"/>
      <c r="OV31" s="100"/>
      <c r="OW31" s="100"/>
      <c r="OX31" s="100"/>
      <c r="OY31" s="100"/>
      <c r="OZ31" s="100"/>
      <c r="PA31" s="100"/>
      <c r="PB31" s="100"/>
      <c r="PC31" s="100"/>
      <c r="PD31" s="100"/>
      <c r="PE31" s="100"/>
      <c r="PF31" s="100"/>
      <c r="PG31" s="100"/>
      <c r="PH31" s="100"/>
      <c r="PI31" s="100"/>
      <c r="PJ31" s="100"/>
      <c r="PK31" s="100"/>
      <c r="PL31" s="100"/>
      <c r="PM31" s="100"/>
      <c r="PN31" s="100"/>
      <c r="PO31" s="100"/>
      <c r="PP31" s="100"/>
      <c r="PQ31" s="100"/>
      <c r="PR31" s="100"/>
      <c r="PS31" s="100"/>
      <c r="PT31" s="100"/>
      <c r="PU31" s="100"/>
      <c r="PV31" s="100"/>
      <c r="PW31" s="100"/>
      <c r="PX31" s="100"/>
      <c r="PY31" s="100"/>
      <c r="PZ31" s="100"/>
      <c r="QA31" s="100"/>
      <c r="QB31" s="100"/>
      <c r="QC31" s="100"/>
      <c r="QD31" s="100"/>
      <c r="QE31" s="100"/>
      <c r="QF31" s="100"/>
      <c r="QG31" s="100"/>
      <c r="QH31" s="100"/>
      <c r="QI31" s="100"/>
      <c r="QJ31" s="100"/>
      <c r="QK31" s="100"/>
      <c r="QL31" s="100"/>
      <c r="QM31" s="100"/>
      <c r="QN31" s="100"/>
      <c r="QO31" s="100"/>
      <c r="QP31" s="100"/>
      <c r="QQ31" s="100"/>
      <c r="QR31" s="100"/>
      <c r="QS31" s="100"/>
      <c r="QT31" s="100"/>
      <c r="QU31" s="100"/>
      <c r="QV31" s="100"/>
      <c r="QW31" s="100"/>
      <c r="QX31" s="100"/>
      <c r="QY31" s="100"/>
      <c r="QZ31" s="23">
        <f t="shared" si="0"/>
        <v>15</v>
      </c>
      <c r="RA31" s="47" t="s">
        <v>36</v>
      </c>
      <c r="RB31" s="97">
        <v>1913.04</v>
      </c>
      <c r="RC31" s="63">
        <f>RF31</f>
        <v>1913.04</v>
      </c>
      <c r="RD31" s="63">
        <v>1188.1499999999999</v>
      </c>
      <c r="RE31" s="97">
        <f t="shared" si="1"/>
        <v>0</v>
      </c>
      <c r="RF31" s="107">
        <v>1913.04</v>
      </c>
      <c r="RG31" s="107"/>
      <c r="RH31" s="83">
        <f t="shared" si="2"/>
        <v>1.6100997348819595</v>
      </c>
      <c r="RI31" s="116" t="s">
        <v>543</v>
      </c>
    </row>
    <row r="32" spans="1:477" s="5" customFormat="1" ht="12.75" customHeight="1" x14ac:dyDescent="0.2">
      <c r="A32" s="48">
        <v>44951</v>
      </c>
      <c r="B32" s="81" t="s">
        <v>547</v>
      </c>
      <c r="C32" s="98"/>
      <c r="D32" s="98"/>
      <c r="E32" s="99"/>
      <c r="F32" s="99"/>
      <c r="G32" s="99"/>
      <c r="H32" s="99"/>
      <c r="I32" s="99"/>
      <c r="J32" s="99"/>
      <c r="K32" s="99"/>
      <c r="L32" s="99"/>
      <c r="M32" s="99"/>
      <c r="N32" s="100"/>
      <c r="O32" s="100"/>
      <c r="P32" s="100"/>
      <c r="Q32" s="100"/>
      <c r="R32" s="100">
        <v>1</v>
      </c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00"/>
      <c r="BQ32" s="100"/>
      <c r="BR32" s="100"/>
      <c r="BS32" s="100"/>
      <c r="BT32" s="100"/>
      <c r="BU32" s="100"/>
      <c r="BV32" s="100"/>
      <c r="BW32" s="100"/>
      <c r="BX32" s="100"/>
      <c r="BY32" s="100"/>
      <c r="BZ32" s="100"/>
      <c r="CA32" s="100"/>
      <c r="CB32" s="100"/>
      <c r="CC32" s="100"/>
      <c r="CD32" s="100"/>
      <c r="CE32" s="100"/>
      <c r="CF32" s="100"/>
      <c r="CG32" s="100"/>
      <c r="CH32" s="100"/>
      <c r="CI32" s="100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00"/>
      <c r="DM32" s="100"/>
      <c r="DN32" s="100"/>
      <c r="DO32" s="100"/>
      <c r="DP32" s="100"/>
      <c r="DQ32" s="100"/>
      <c r="DR32" s="100"/>
      <c r="DS32" s="100"/>
      <c r="DT32" s="100"/>
      <c r="DU32" s="100"/>
      <c r="DV32" s="100"/>
      <c r="DW32" s="100"/>
      <c r="DX32" s="100"/>
      <c r="DY32" s="100"/>
      <c r="DZ32" s="100"/>
      <c r="EA32" s="100"/>
      <c r="EB32" s="100"/>
      <c r="EC32" s="100"/>
      <c r="ED32" s="100"/>
      <c r="EE32" s="100"/>
      <c r="EF32" s="100"/>
      <c r="EG32" s="100"/>
      <c r="EH32" s="100"/>
      <c r="EI32" s="100"/>
      <c r="EJ32" s="100"/>
      <c r="EK32" s="100"/>
      <c r="EL32" s="100"/>
      <c r="EM32" s="100"/>
      <c r="EN32" s="100"/>
      <c r="EO32" s="100"/>
      <c r="EP32" s="100"/>
      <c r="EQ32" s="100"/>
      <c r="ER32" s="100"/>
      <c r="ES32" s="100"/>
      <c r="ET32" s="100"/>
      <c r="EU32" s="100"/>
      <c r="EV32" s="100"/>
      <c r="EW32" s="100"/>
      <c r="EX32" s="100"/>
      <c r="EY32" s="100"/>
      <c r="EZ32" s="100"/>
      <c r="FA32" s="100"/>
      <c r="FB32" s="100"/>
      <c r="FC32" s="100"/>
      <c r="FD32" s="100"/>
      <c r="FE32" s="100"/>
      <c r="FF32" s="100"/>
      <c r="FG32" s="100"/>
      <c r="FH32" s="100"/>
      <c r="FI32" s="100"/>
      <c r="FJ32" s="100"/>
      <c r="FK32" s="100"/>
      <c r="FL32" s="100"/>
      <c r="FM32" s="100"/>
      <c r="FN32" s="100"/>
      <c r="FO32" s="100"/>
      <c r="FP32" s="100"/>
      <c r="FQ32" s="100"/>
      <c r="FR32" s="100"/>
      <c r="FS32" s="100"/>
      <c r="FT32" s="100"/>
      <c r="FU32" s="100"/>
      <c r="FV32" s="100"/>
      <c r="FW32" s="100"/>
      <c r="FX32" s="100"/>
      <c r="FY32" s="100"/>
      <c r="FZ32" s="100"/>
      <c r="GA32" s="100"/>
      <c r="GB32" s="100"/>
      <c r="GC32" s="100"/>
      <c r="GD32" s="100"/>
      <c r="GE32" s="100"/>
      <c r="GF32" s="100"/>
      <c r="GG32" s="100"/>
      <c r="GH32" s="100"/>
      <c r="GI32" s="100"/>
      <c r="GJ32" s="100"/>
      <c r="GK32" s="100"/>
      <c r="GL32" s="100"/>
      <c r="GM32" s="100"/>
      <c r="GN32" s="100"/>
      <c r="GO32" s="100"/>
      <c r="GP32" s="100"/>
      <c r="GQ32" s="100"/>
      <c r="GR32" s="100"/>
      <c r="GS32" s="100"/>
      <c r="GT32" s="100"/>
      <c r="GU32" s="100"/>
      <c r="GV32" s="100"/>
      <c r="GW32" s="100"/>
      <c r="GX32" s="100"/>
      <c r="GY32" s="100"/>
      <c r="GZ32" s="100"/>
      <c r="HA32" s="100"/>
      <c r="HB32" s="100"/>
      <c r="HC32" s="100"/>
      <c r="HD32" s="100"/>
      <c r="HE32" s="100"/>
      <c r="HF32" s="100"/>
      <c r="HG32" s="100"/>
      <c r="HH32" s="100"/>
      <c r="HI32" s="100"/>
      <c r="HJ32" s="100"/>
      <c r="HK32" s="100"/>
      <c r="HL32" s="100"/>
      <c r="HM32" s="100"/>
      <c r="HN32" s="100"/>
      <c r="HO32" s="100"/>
      <c r="HP32" s="100"/>
      <c r="HQ32" s="100"/>
      <c r="HR32" s="100"/>
      <c r="HS32" s="100"/>
      <c r="HT32" s="100"/>
      <c r="HU32" s="100"/>
      <c r="HV32" s="100"/>
      <c r="HW32" s="100"/>
      <c r="HX32" s="100"/>
      <c r="HY32" s="100"/>
      <c r="HZ32" s="100"/>
      <c r="IA32" s="100"/>
      <c r="IB32" s="100"/>
      <c r="IC32" s="100"/>
      <c r="ID32" s="100"/>
      <c r="IE32" s="100"/>
      <c r="IF32" s="100"/>
      <c r="IG32" s="100"/>
      <c r="IH32" s="100"/>
      <c r="II32" s="100"/>
      <c r="IJ32" s="100"/>
      <c r="IK32" s="100"/>
      <c r="IL32" s="100"/>
      <c r="IM32" s="100"/>
      <c r="IN32" s="100"/>
      <c r="IO32" s="100"/>
      <c r="IP32" s="100"/>
      <c r="IQ32" s="100"/>
      <c r="IR32" s="100"/>
      <c r="IS32" s="100"/>
      <c r="IT32" s="100"/>
      <c r="IU32" s="100"/>
      <c r="IV32" s="100"/>
      <c r="IW32" s="100"/>
      <c r="IX32" s="100"/>
      <c r="IY32" s="100"/>
      <c r="IZ32" s="100"/>
      <c r="JA32" s="100"/>
      <c r="JB32" s="100"/>
      <c r="JC32" s="100"/>
      <c r="JD32" s="100"/>
      <c r="JE32" s="100"/>
      <c r="JF32" s="100"/>
      <c r="JG32" s="100"/>
      <c r="JH32" s="100"/>
      <c r="JI32" s="100"/>
      <c r="JJ32" s="100"/>
      <c r="JK32" s="100"/>
      <c r="JL32" s="100"/>
      <c r="JM32" s="100"/>
      <c r="JN32" s="100"/>
      <c r="JO32" s="100"/>
      <c r="JP32" s="100"/>
      <c r="JQ32" s="100"/>
      <c r="JR32" s="100"/>
      <c r="JS32" s="100"/>
      <c r="JT32" s="100"/>
      <c r="JU32" s="100"/>
      <c r="JV32" s="100"/>
      <c r="JW32" s="100"/>
      <c r="JX32" s="100"/>
      <c r="JY32" s="100"/>
      <c r="JZ32" s="100"/>
      <c r="KA32" s="100"/>
      <c r="KB32" s="100"/>
      <c r="KC32" s="100"/>
      <c r="KD32" s="100"/>
      <c r="KE32" s="100"/>
      <c r="KF32" s="100"/>
      <c r="KG32" s="100"/>
      <c r="KH32" s="100"/>
      <c r="KI32" s="100"/>
      <c r="KJ32" s="100"/>
      <c r="KK32" s="100"/>
      <c r="KL32" s="100"/>
      <c r="KM32" s="100"/>
      <c r="KN32" s="100"/>
      <c r="KO32" s="100"/>
      <c r="KP32" s="100"/>
      <c r="KQ32" s="100"/>
      <c r="KR32" s="100"/>
      <c r="KS32" s="100"/>
      <c r="KT32" s="100"/>
      <c r="KU32" s="100"/>
      <c r="KV32" s="100"/>
      <c r="KW32" s="100"/>
      <c r="KX32" s="100"/>
      <c r="KY32" s="100"/>
      <c r="KZ32" s="100"/>
      <c r="LA32" s="100"/>
      <c r="LB32" s="100"/>
      <c r="LC32" s="100"/>
      <c r="LD32" s="100"/>
      <c r="LE32" s="100"/>
      <c r="LF32" s="100"/>
      <c r="LG32" s="100"/>
      <c r="LH32" s="100"/>
      <c r="LI32" s="100"/>
      <c r="LJ32" s="100"/>
      <c r="LK32" s="100"/>
      <c r="LL32" s="100"/>
      <c r="LM32" s="100"/>
      <c r="LN32" s="100"/>
      <c r="LO32" s="100"/>
      <c r="LP32" s="100"/>
      <c r="LQ32" s="100"/>
      <c r="LR32" s="100"/>
      <c r="LS32" s="100"/>
      <c r="LT32" s="100"/>
      <c r="LU32" s="100"/>
      <c r="LV32" s="100"/>
      <c r="LW32" s="100"/>
      <c r="LX32" s="100"/>
      <c r="LY32" s="100"/>
      <c r="LZ32" s="100"/>
      <c r="MA32" s="100"/>
      <c r="MB32" s="100"/>
      <c r="MC32" s="100"/>
      <c r="MD32" s="100"/>
      <c r="ME32" s="100"/>
      <c r="MF32" s="100"/>
      <c r="MG32" s="100"/>
      <c r="MH32" s="100"/>
      <c r="MI32" s="100"/>
      <c r="MJ32" s="100"/>
      <c r="MK32" s="100"/>
      <c r="ML32" s="100"/>
      <c r="MM32" s="100"/>
      <c r="MN32" s="100"/>
      <c r="MO32" s="100"/>
      <c r="MP32" s="100"/>
      <c r="MQ32" s="100"/>
      <c r="MR32" s="100"/>
      <c r="MS32" s="100"/>
      <c r="MT32" s="100"/>
      <c r="MU32" s="100"/>
      <c r="MV32" s="100"/>
      <c r="MW32" s="100"/>
      <c r="MX32" s="100"/>
      <c r="MY32" s="100"/>
      <c r="MZ32" s="100"/>
      <c r="NA32" s="100"/>
      <c r="NB32" s="100"/>
      <c r="NC32" s="100"/>
      <c r="ND32" s="100"/>
      <c r="NE32" s="100"/>
      <c r="NF32" s="100"/>
      <c r="NG32" s="100"/>
      <c r="NH32" s="100"/>
      <c r="NI32" s="100"/>
      <c r="NJ32" s="100"/>
      <c r="NK32" s="100"/>
      <c r="NL32" s="100"/>
      <c r="NM32" s="100"/>
      <c r="NN32" s="100"/>
      <c r="NO32" s="100"/>
      <c r="NP32" s="100"/>
      <c r="NQ32" s="100"/>
      <c r="NR32" s="100"/>
      <c r="NS32" s="100"/>
      <c r="NT32" s="100"/>
      <c r="NU32" s="100"/>
      <c r="NV32" s="100"/>
      <c r="NW32" s="100"/>
      <c r="NX32" s="100"/>
      <c r="NY32" s="100"/>
      <c r="NZ32" s="100"/>
      <c r="OA32" s="100"/>
      <c r="OB32" s="100"/>
      <c r="OC32" s="100"/>
      <c r="OD32" s="100"/>
      <c r="OE32" s="100"/>
      <c r="OF32" s="100"/>
      <c r="OG32" s="100"/>
      <c r="OH32" s="100"/>
      <c r="OI32" s="100"/>
      <c r="OJ32" s="100"/>
      <c r="OK32" s="100"/>
      <c r="OL32" s="100"/>
      <c r="OM32" s="100"/>
      <c r="ON32" s="100"/>
      <c r="OO32" s="100"/>
      <c r="OP32" s="100"/>
      <c r="OQ32" s="100"/>
      <c r="OR32" s="100"/>
      <c r="OS32" s="100"/>
      <c r="OT32" s="100"/>
      <c r="OU32" s="100"/>
      <c r="OV32" s="100"/>
      <c r="OW32" s="100"/>
      <c r="OX32" s="100"/>
      <c r="OY32" s="100"/>
      <c r="OZ32" s="100"/>
      <c r="PA32" s="100"/>
      <c r="PB32" s="100"/>
      <c r="PC32" s="100"/>
      <c r="PD32" s="100"/>
      <c r="PE32" s="100"/>
      <c r="PF32" s="100"/>
      <c r="PG32" s="100"/>
      <c r="PH32" s="100"/>
      <c r="PI32" s="100"/>
      <c r="PJ32" s="100"/>
      <c r="PK32" s="100"/>
      <c r="PL32" s="100"/>
      <c r="PM32" s="100"/>
      <c r="PN32" s="100"/>
      <c r="PO32" s="100"/>
      <c r="PP32" s="100"/>
      <c r="PQ32" s="100"/>
      <c r="PR32" s="100"/>
      <c r="PS32" s="100"/>
      <c r="PT32" s="100"/>
      <c r="PU32" s="100"/>
      <c r="PV32" s="100"/>
      <c r="PW32" s="100"/>
      <c r="PX32" s="100"/>
      <c r="PY32" s="100"/>
      <c r="PZ32" s="100"/>
      <c r="QA32" s="100"/>
      <c r="QB32" s="100"/>
      <c r="QC32" s="100"/>
      <c r="QD32" s="100"/>
      <c r="QE32" s="100"/>
      <c r="QF32" s="100"/>
      <c r="QG32" s="100"/>
      <c r="QH32" s="100"/>
      <c r="QI32" s="100"/>
      <c r="QJ32" s="100"/>
      <c r="QK32" s="100"/>
      <c r="QL32" s="100"/>
      <c r="QM32" s="100"/>
      <c r="QN32" s="100"/>
      <c r="QO32" s="100"/>
      <c r="QP32" s="100"/>
      <c r="QQ32" s="100"/>
      <c r="QR32" s="100"/>
      <c r="QS32" s="100"/>
      <c r="QT32" s="100"/>
      <c r="QU32" s="100"/>
      <c r="QV32" s="100"/>
      <c r="QW32" s="100"/>
      <c r="QX32" s="100"/>
      <c r="QY32" s="100"/>
      <c r="QZ32" s="23">
        <f t="shared" si="0"/>
        <v>1</v>
      </c>
      <c r="RA32" s="47" t="s">
        <v>36</v>
      </c>
      <c r="RB32" s="97">
        <v>52.8</v>
      </c>
      <c r="RC32" s="63">
        <f>RF32</f>
        <v>52.8</v>
      </c>
      <c r="RD32" s="63">
        <v>31.64</v>
      </c>
      <c r="RE32" s="97">
        <f t="shared" si="1"/>
        <v>0</v>
      </c>
      <c r="RF32" s="107">
        <v>52.8</v>
      </c>
      <c r="RG32" s="107"/>
      <c r="RH32" s="83">
        <f t="shared" si="2"/>
        <v>1.6687737041719342</v>
      </c>
      <c r="RI32" s="116"/>
    </row>
    <row r="33" spans="1:477" s="5" customFormat="1" ht="12.75" customHeight="1" x14ac:dyDescent="0.2">
      <c r="A33" s="48">
        <v>44951</v>
      </c>
      <c r="B33" s="81" t="s">
        <v>552</v>
      </c>
      <c r="C33" s="98"/>
      <c r="D33" s="98"/>
      <c r="E33" s="99"/>
      <c r="F33" s="99"/>
      <c r="G33" s="99"/>
      <c r="H33" s="99"/>
      <c r="I33" s="99"/>
      <c r="J33" s="99"/>
      <c r="K33" s="99"/>
      <c r="L33" s="99"/>
      <c r="M33" s="99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00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0"/>
      <c r="CD33" s="100"/>
      <c r="CE33" s="100"/>
      <c r="CF33" s="100"/>
      <c r="CG33" s="100"/>
      <c r="CH33" s="100"/>
      <c r="CI33" s="100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00"/>
      <c r="DM33" s="100"/>
      <c r="DN33" s="100"/>
      <c r="DO33" s="100"/>
      <c r="DP33" s="100"/>
      <c r="DQ33" s="100"/>
      <c r="DR33" s="100"/>
      <c r="DS33" s="100"/>
      <c r="DT33" s="100"/>
      <c r="DU33" s="100"/>
      <c r="DV33" s="100"/>
      <c r="DW33" s="100"/>
      <c r="DX33" s="100"/>
      <c r="DY33" s="100"/>
      <c r="DZ33" s="100"/>
      <c r="EA33" s="100"/>
      <c r="EB33" s="100"/>
      <c r="EC33" s="100"/>
      <c r="ED33" s="100"/>
      <c r="EE33" s="100"/>
      <c r="EF33" s="100"/>
      <c r="EG33" s="100"/>
      <c r="EH33" s="100"/>
      <c r="EI33" s="100"/>
      <c r="EJ33" s="100"/>
      <c r="EK33" s="100"/>
      <c r="EL33" s="100"/>
      <c r="EM33" s="100"/>
      <c r="EN33" s="100"/>
      <c r="EO33" s="100"/>
      <c r="EP33" s="100"/>
      <c r="EQ33" s="100"/>
      <c r="ER33" s="100"/>
      <c r="ES33" s="100"/>
      <c r="ET33" s="100"/>
      <c r="EU33" s="100"/>
      <c r="EV33" s="100"/>
      <c r="EW33" s="100"/>
      <c r="EX33" s="100"/>
      <c r="EY33" s="100"/>
      <c r="EZ33" s="100"/>
      <c r="FA33" s="100"/>
      <c r="FB33" s="100"/>
      <c r="FC33" s="100"/>
      <c r="FD33" s="100"/>
      <c r="FE33" s="100"/>
      <c r="FF33" s="100"/>
      <c r="FG33" s="100"/>
      <c r="FH33" s="100"/>
      <c r="FI33" s="100"/>
      <c r="FJ33" s="100"/>
      <c r="FK33" s="100"/>
      <c r="FL33" s="100"/>
      <c r="FM33" s="100"/>
      <c r="FN33" s="100"/>
      <c r="FO33" s="100"/>
      <c r="FP33" s="100"/>
      <c r="FQ33" s="100"/>
      <c r="FR33" s="100"/>
      <c r="FS33" s="100"/>
      <c r="FT33" s="100"/>
      <c r="FU33" s="100"/>
      <c r="FV33" s="100"/>
      <c r="FW33" s="100"/>
      <c r="FX33" s="100"/>
      <c r="FY33" s="100"/>
      <c r="FZ33" s="100"/>
      <c r="GA33" s="100"/>
      <c r="GB33" s="100"/>
      <c r="GC33" s="100"/>
      <c r="GD33" s="100"/>
      <c r="GE33" s="100"/>
      <c r="GF33" s="100"/>
      <c r="GG33" s="100"/>
      <c r="GH33" s="100"/>
      <c r="GI33" s="100"/>
      <c r="GJ33" s="100"/>
      <c r="GK33" s="100"/>
      <c r="GL33" s="100"/>
      <c r="GM33" s="100"/>
      <c r="GN33" s="100"/>
      <c r="GO33" s="100"/>
      <c r="GP33" s="100"/>
      <c r="GQ33" s="100">
        <v>10</v>
      </c>
      <c r="GR33" s="100"/>
      <c r="GS33" s="100"/>
      <c r="GT33" s="100"/>
      <c r="GU33" s="100"/>
      <c r="GV33" s="100"/>
      <c r="GW33" s="100"/>
      <c r="GX33" s="100"/>
      <c r="GY33" s="100"/>
      <c r="GZ33" s="100"/>
      <c r="HA33" s="100"/>
      <c r="HB33" s="100"/>
      <c r="HC33" s="100"/>
      <c r="HD33" s="100"/>
      <c r="HE33" s="100"/>
      <c r="HF33" s="100"/>
      <c r="HG33" s="100"/>
      <c r="HH33" s="100"/>
      <c r="HI33" s="100"/>
      <c r="HJ33" s="100"/>
      <c r="HK33" s="100"/>
      <c r="HL33" s="100"/>
      <c r="HM33" s="100"/>
      <c r="HN33" s="100"/>
      <c r="HO33" s="100"/>
      <c r="HP33" s="100"/>
      <c r="HQ33" s="100"/>
      <c r="HR33" s="100"/>
      <c r="HS33" s="100"/>
      <c r="HT33" s="100"/>
      <c r="HU33" s="100"/>
      <c r="HV33" s="100"/>
      <c r="HW33" s="100"/>
      <c r="HX33" s="100"/>
      <c r="HY33" s="100"/>
      <c r="HZ33" s="100"/>
      <c r="IA33" s="100"/>
      <c r="IB33" s="100"/>
      <c r="IC33" s="100"/>
      <c r="ID33" s="100"/>
      <c r="IE33" s="100"/>
      <c r="IF33" s="100"/>
      <c r="IG33" s="100"/>
      <c r="IH33" s="100"/>
      <c r="II33" s="100"/>
      <c r="IJ33" s="100"/>
      <c r="IK33" s="100"/>
      <c r="IL33" s="100"/>
      <c r="IM33" s="100"/>
      <c r="IN33" s="100"/>
      <c r="IO33" s="100"/>
      <c r="IP33" s="100"/>
      <c r="IQ33" s="100"/>
      <c r="IR33" s="100"/>
      <c r="IS33" s="100"/>
      <c r="IT33" s="100"/>
      <c r="IU33" s="100"/>
      <c r="IV33" s="100"/>
      <c r="IW33" s="100"/>
      <c r="IX33" s="100"/>
      <c r="IY33" s="100"/>
      <c r="IZ33" s="100"/>
      <c r="JA33" s="100"/>
      <c r="JB33" s="100"/>
      <c r="JC33" s="100"/>
      <c r="JD33" s="100"/>
      <c r="JE33" s="100"/>
      <c r="JF33" s="100"/>
      <c r="JG33" s="100"/>
      <c r="JH33" s="100"/>
      <c r="JI33" s="100"/>
      <c r="JJ33" s="100"/>
      <c r="JK33" s="100"/>
      <c r="JL33" s="100"/>
      <c r="JM33" s="100"/>
      <c r="JN33" s="100"/>
      <c r="JO33" s="100"/>
      <c r="JP33" s="100"/>
      <c r="JQ33" s="100"/>
      <c r="JR33" s="100"/>
      <c r="JS33" s="100"/>
      <c r="JT33" s="100"/>
      <c r="JU33" s="100"/>
      <c r="JV33" s="100"/>
      <c r="JW33" s="100"/>
      <c r="JX33" s="100"/>
      <c r="JY33" s="100"/>
      <c r="JZ33" s="100"/>
      <c r="KA33" s="100"/>
      <c r="KB33" s="100"/>
      <c r="KC33" s="100"/>
      <c r="KD33" s="100"/>
      <c r="KE33" s="100"/>
      <c r="KF33" s="100"/>
      <c r="KG33" s="100"/>
      <c r="KH33" s="100"/>
      <c r="KI33" s="100"/>
      <c r="KJ33" s="100"/>
      <c r="KK33" s="100"/>
      <c r="KL33" s="100"/>
      <c r="KM33" s="100"/>
      <c r="KN33" s="100"/>
      <c r="KO33" s="100"/>
      <c r="KP33" s="100"/>
      <c r="KQ33" s="100"/>
      <c r="KR33" s="100"/>
      <c r="KS33" s="100"/>
      <c r="KT33" s="100"/>
      <c r="KU33" s="100"/>
      <c r="KV33" s="100"/>
      <c r="KW33" s="100"/>
      <c r="KX33" s="100"/>
      <c r="KY33" s="100"/>
      <c r="KZ33" s="100"/>
      <c r="LA33" s="100"/>
      <c r="LB33" s="100"/>
      <c r="LC33" s="100"/>
      <c r="LD33" s="100"/>
      <c r="LE33" s="100"/>
      <c r="LF33" s="100"/>
      <c r="LG33" s="100"/>
      <c r="LH33" s="100"/>
      <c r="LI33" s="100"/>
      <c r="LJ33" s="100"/>
      <c r="LK33" s="100"/>
      <c r="LL33" s="100"/>
      <c r="LM33" s="100"/>
      <c r="LN33" s="100"/>
      <c r="LO33" s="100"/>
      <c r="LP33" s="100"/>
      <c r="LQ33" s="100"/>
      <c r="LR33" s="100"/>
      <c r="LS33" s="100"/>
      <c r="LT33" s="100"/>
      <c r="LU33" s="100"/>
      <c r="LV33" s="100"/>
      <c r="LW33" s="100"/>
      <c r="LX33" s="100"/>
      <c r="LY33" s="100"/>
      <c r="LZ33" s="100"/>
      <c r="MA33" s="100"/>
      <c r="MB33" s="100"/>
      <c r="MC33" s="100"/>
      <c r="MD33" s="100"/>
      <c r="ME33" s="100"/>
      <c r="MF33" s="100"/>
      <c r="MG33" s="100"/>
      <c r="MH33" s="100"/>
      <c r="MI33" s="100"/>
      <c r="MJ33" s="100"/>
      <c r="MK33" s="100"/>
      <c r="ML33" s="100"/>
      <c r="MM33" s="100"/>
      <c r="MN33" s="100"/>
      <c r="MO33" s="100"/>
      <c r="MP33" s="100"/>
      <c r="MQ33" s="100"/>
      <c r="MR33" s="100"/>
      <c r="MS33" s="100"/>
      <c r="MT33" s="100"/>
      <c r="MU33" s="100"/>
      <c r="MV33" s="100"/>
      <c r="MW33" s="100"/>
      <c r="MX33" s="100"/>
      <c r="MY33" s="100"/>
      <c r="MZ33" s="100"/>
      <c r="NA33" s="100"/>
      <c r="NB33" s="100"/>
      <c r="NC33" s="100"/>
      <c r="ND33" s="100"/>
      <c r="NE33" s="100"/>
      <c r="NF33" s="100"/>
      <c r="NG33" s="100"/>
      <c r="NH33" s="100"/>
      <c r="NI33" s="100"/>
      <c r="NJ33" s="100"/>
      <c r="NK33" s="100"/>
      <c r="NL33" s="100"/>
      <c r="NM33" s="100"/>
      <c r="NN33" s="100"/>
      <c r="NO33" s="100"/>
      <c r="NP33" s="100"/>
      <c r="NQ33" s="100"/>
      <c r="NR33" s="100"/>
      <c r="NS33" s="100"/>
      <c r="NT33" s="100"/>
      <c r="NU33" s="100"/>
      <c r="NV33" s="100"/>
      <c r="NW33" s="100"/>
      <c r="NX33" s="100"/>
      <c r="NY33" s="100"/>
      <c r="NZ33" s="100"/>
      <c r="OA33" s="100"/>
      <c r="OB33" s="100"/>
      <c r="OC33" s="100"/>
      <c r="OD33" s="100"/>
      <c r="OE33" s="100"/>
      <c r="OF33" s="100"/>
      <c r="OG33" s="100"/>
      <c r="OH33" s="100"/>
      <c r="OI33" s="100"/>
      <c r="OJ33" s="100"/>
      <c r="OK33" s="100"/>
      <c r="OL33" s="100"/>
      <c r="OM33" s="100"/>
      <c r="ON33" s="100"/>
      <c r="OO33" s="100"/>
      <c r="OP33" s="100"/>
      <c r="OQ33" s="100"/>
      <c r="OR33" s="100"/>
      <c r="OS33" s="100"/>
      <c r="OT33" s="100"/>
      <c r="OU33" s="100"/>
      <c r="OV33" s="100"/>
      <c r="OW33" s="100"/>
      <c r="OX33" s="100"/>
      <c r="OY33" s="100"/>
      <c r="OZ33" s="100"/>
      <c r="PA33" s="100"/>
      <c r="PB33" s="100"/>
      <c r="PC33" s="100"/>
      <c r="PD33" s="100"/>
      <c r="PE33" s="100"/>
      <c r="PF33" s="100"/>
      <c r="PG33" s="100"/>
      <c r="PH33" s="100"/>
      <c r="PI33" s="100"/>
      <c r="PJ33" s="100"/>
      <c r="PK33" s="100"/>
      <c r="PL33" s="100"/>
      <c r="PM33" s="100"/>
      <c r="PN33" s="100"/>
      <c r="PO33" s="100"/>
      <c r="PP33" s="100"/>
      <c r="PQ33" s="100"/>
      <c r="PR33" s="100"/>
      <c r="PS33" s="100"/>
      <c r="PT33" s="100"/>
      <c r="PU33" s="100"/>
      <c r="PV33" s="100"/>
      <c r="PW33" s="100"/>
      <c r="PX33" s="100"/>
      <c r="PY33" s="100"/>
      <c r="PZ33" s="100"/>
      <c r="QA33" s="100"/>
      <c r="QB33" s="100"/>
      <c r="QC33" s="100"/>
      <c r="QD33" s="100"/>
      <c r="QE33" s="100"/>
      <c r="QF33" s="100"/>
      <c r="QG33" s="100"/>
      <c r="QH33" s="100"/>
      <c r="QI33" s="100"/>
      <c r="QJ33" s="100"/>
      <c r="QK33" s="100"/>
      <c r="QL33" s="100"/>
      <c r="QM33" s="100"/>
      <c r="QN33" s="100"/>
      <c r="QO33" s="100"/>
      <c r="QP33" s="100"/>
      <c r="QQ33" s="100"/>
      <c r="QR33" s="100"/>
      <c r="QS33" s="100"/>
      <c r="QT33" s="100"/>
      <c r="QU33" s="100"/>
      <c r="QV33" s="100"/>
      <c r="QW33" s="100"/>
      <c r="QX33" s="100"/>
      <c r="QY33" s="100"/>
      <c r="QZ33" s="23">
        <f t="shared" si="0"/>
        <v>10</v>
      </c>
      <c r="RA33" s="47" t="s">
        <v>36</v>
      </c>
      <c r="RB33" s="97">
        <v>583.20000000000005</v>
      </c>
      <c r="RC33" s="63">
        <f>RF33</f>
        <v>583.20000000000005</v>
      </c>
      <c r="RD33" s="63">
        <v>337.8</v>
      </c>
      <c r="RE33" s="97">
        <f t="shared" si="1"/>
        <v>0</v>
      </c>
      <c r="RF33" s="107">
        <v>583.20000000000005</v>
      </c>
      <c r="RG33" s="107"/>
      <c r="RH33" s="83">
        <f t="shared" si="2"/>
        <v>1.7264653641207817</v>
      </c>
      <c r="RI33" s="116"/>
    </row>
    <row r="34" spans="1:477" s="5" customFormat="1" ht="12.75" customHeight="1" x14ac:dyDescent="0.2">
      <c r="A34" s="48">
        <v>44952</v>
      </c>
      <c r="B34" s="90" t="s">
        <v>397</v>
      </c>
      <c r="C34" s="98"/>
      <c r="D34" s="98"/>
      <c r="E34" s="99"/>
      <c r="F34" s="99"/>
      <c r="G34" s="99"/>
      <c r="H34" s="99"/>
      <c r="I34" s="99"/>
      <c r="J34" s="99"/>
      <c r="K34" s="99"/>
      <c r="L34" s="99"/>
      <c r="M34" s="99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00"/>
      <c r="BQ34" s="100"/>
      <c r="BR34" s="100"/>
      <c r="BS34" s="100"/>
      <c r="BT34" s="100"/>
      <c r="BU34" s="100"/>
      <c r="BV34" s="100"/>
      <c r="BW34" s="100"/>
      <c r="BX34" s="100"/>
      <c r="BY34" s="100"/>
      <c r="BZ34" s="100"/>
      <c r="CA34" s="100"/>
      <c r="CB34" s="100"/>
      <c r="CC34" s="100"/>
      <c r="CD34" s="100"/>
      <c r="CE34" s="100"/>
      <c r="CF34" s="100"/>
      <c r="CG34" s="100"/>
      <c r="CH34" s="100"/>
      <c r="CI34" s="100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00"/>
      <c r="DM34" s="100"/>
      <c r="DN34" s="100"/>
      <c r="DO34" s="100"/>
      <c r="DP34" s="100"/>
      <c r="DQ34" s="100"/>
      <c r="DR34" s="100"/>
      <c r="DS34" s="100"/>
      <c r="DT34" s="100"/>
      <c r="DU34" s="100"/>
      <c r="DV34" s="100"/>
      <c r="DW34" s="100"/>
      <c r="DX34" s="100"/>
      <c r="DY34" s="100"/>
      <c r="DZ34" s="100"/>
      <c r="EA34" s="100"/>
      <c r="EB34" s="100"/>
      <c r="EC34" s="100"/>
      <c r="ED34" s="100"/>
      <c r="EE34" s="100"/>
      <c r="EF34" s="100"/>
      <c r="EG34" s="100"/>
      <c r="EH34" s="100"/>
      <c r="EI34" s="100"/>
      <c r="EJ34" s="100"/>
      <c r="EK34" s="100"/>
      <c r="EL34" s="100"/>
      <c r="EM34" s="100"/>
      <c r="EN34" s="100"/>
      <c r="EO34" s="100"/>
      <c r="EP34" s="100"/>
      <c r="EQ34" s="100"/>
      <c r="ER34" s="100"/>
      <c r="ES34" s="100"/>
      <c r="ET34" s="100"/>
      <c r="EU34" s="100"/>
      <c r="EV34" s="100"/>
      <c r="EW34" s="100"/>
      <c r="EX34" s="100"/>
      <c r="EY34" s="100"/>
      <c r="EZ34" s="100"/>
      <c r="FA34" s="100"/>
      <c r="FB34" s="100"/>
      <c r="FC34" s="100"/>
      <c r="FD34" s="100"/>
      <c r="FE34" s="100"/>
      <c r="FF34" s="100"/>
      <c r="FG34" s="100"/>
      <c r="FH34" s="100"/>
      <c r="FI34" s="100"/>
      <c r="FJ34" s="100"/>
      <c r="FK34" s="100"/>
      <c r="FL34" s="100"/>
      <c r="FM34" s="100"/>
      <c r="FN34" s="100"/>
      <c r="FO34" s="100"/>
      <c r="FP34" s="100"/>
      <c r="FQ34" s="100"/>
      <c r="FR34" s="100"/>
      <c r="FS34" s="100"/>
      <c r="FT34" s="100"/>
      <c r="FU34" s="100"/>
      <c r="FV34" s="100"/>
      <c r="FW34" s="100"/>
      <c r="FX34" s="100"/>
      <c r="FY34" s="100"/>
      <c r="FZ34" s="100"/>
      <c r="GA34" s="100"/>
      <c r="GB34" s="100"/>
      <c r="GC34" s="100"/>
      <c r="GD34" s="100"/>
      <c r="GE34" s="100"/>
      <c r="GF34" s="100"/>
      <c r="GG34" s="100"/>
      <c r="GH34" s="100"/>
      <c r="GI34" s="100"/>
      <c r="GJ34" s="100"/>
      <c r="GK34" s="100"/>
      <c r="GL34" s="100"/>
      <c r="GM34" s="100"/>
      <c r="GN34" s="100"/>
      <c r="GO34" s="100"/>
      <c r="GP34" s="100"/>
      <c r="GQ34" s="100"/>
      <c r="GR34" s="100"/>
      <c r="GS34" s="100"/>
      <c r="GT34" s="100"/>
      <c r="GU34" s="100"/>
      <c r="GV34" s="100"/>
      <c r="GW34" s="100"/>
      <c r="GX34" s="100"/>
      <c r="GY34" s="100"/>
      <c r="GZ34" s="100"/>
      <c r="HA34" s="100"/>
      <c r="HB34" s="100"/>
      <c r="HC34" s="100"/>
      <c r="HD34" s="100"/>
      <c r="HE34" s="100"/>
      <c r="HF34" s="100"/>
      <c r="HG34" s="100"/>
      <c r="HH34" s="100"/>
      <c r="HI34" s="100"/>
      <c r="HJ34" s="100"/>
      <c r="HK34" s="100"/>
      <c r="HL34" s="100"/>
      <c r="HM34" s="100"/>
      <c r="HN34" s="100"/>
      <c r="HO34" s="100"/>
      <c r="HP34" s="100"/>
      <c r="HQ34" s="100"/>
      <c r="HR34" s="100"/>
      <c r="HS34" s="100"/>
      <c r="HT34" s="100"/>
      <c r="HU34" s="100"/>
      <c r="HV34" s="100"/>
      <c r="HW34" s="100"/>
      <c r="HX34" s="100"/>
      <c r="HY34" s="100"/>
      <c r="HZ34" s="100"/>
      <c r="IA34" s="100"/>
      <c r="IB34" s="100"/>
      <c r="IC34" s="100"/>
      <c r="ID34" s="100"/>
      <c r="IE34" s="100"/>
      <c r="IF34" s="100"/>
      <c r="IG34" s="100"/>
      <c r="IH34" s="100"/>
      <c r="II34" s="100"/>
      <c r="IJ34" s="100"/>
      <c r="IK34" s="100"/>
      <c r="IL34" s="100"/>
      <c r="IM34" s="100"/>
      <c r="IN34" s="100"/>
      <c r="IO34" s="100"/>
      <c r="IP34" s="100"/>
      <c r="IQ34" s="100"/>
      <c r="IR34" s="100"/>
      <c r="IS34" s="100"/>
      <c r="IT34" s="100"/>
      <c r="IU34" s="100"/>
      <c r="IV34" s="100"/>
      <c r="IW34" s="100"/>
      <c r="IX34" s="100"/>
      <c r="IY34" s="100"/>
      <c r="IZ34" s="100"/>
      <c r="JA34" s="100"/>
      <c r="JB34" s="100"/>
      <c r="JC34" s="100"/>
      <c r="JD34" s="100"/>
      <c r="JE34" s="100"/>
      <c r="JF34" s="100"/>
      <c r="JG34" s="100"/>
      <c r="JH34" s="100"/>
      <c r="JI34" s="100"/>
      <c r="JJ34" s="100"/>
      <c r="JK34" s="100"/>
      <c r="JL34" s="100"/>
      <c r="JM34" s="100"/>
      <c r="JN34" s="100"/>
      <c r="JO34" s="100"/>
      <c r="JP34" s="100"/>
      <c r="JQ34" s="100"/>
      <c r="JR34" s="100"/>
      <c r="JS34" s="100"/>
      <c r="JT34" s="100"/>
      <c r="JU34" s="100"/>
      <c r="JV34" s="100"/>
      <c r="JW34" s="100"/>
      <c r="JX34" s="100"/>
      <c r="JY34" s="100"/>
      <c r="JZ34" s="100"/>
      <c r="KA34" s="100"/>
      <c r="KB34" s="100"/>
      <c r="KC34" s="100"/>
      <c r="KD34" s="100"/>
      <c r="KE34" s="100"/>
      <c r="KF34" s="100"/>
      <c r="KG34" s="100"/>
      <c r="KH34" s="100"/>
      <c r="KI34" s="100"/>
      <c r="KJ34" s="100"/>
      <c r="KK34" s="100"/>
      <c r="KL34" s="100"/>
      <c r="KM34" s="100"/>
      <c r="KN34" s="100"/>
      <c r="KO34" s="100"/>
      <c r="KP34" s="100"/>
      <c r="KQ34" s="100"/>
      <c r="KR34" s="100"/>
      <c r="KS34" s="100"/>
      <c r="KT34" s="100"/>
      <c r="KU34" s="100"/>
      <c r="KV34" s="100"/>
      <c r="KW34" s="100"/>
      <c r="KX34" s="100"/>
      <c r="KY34" s="100"/>
      <c r="KZ34" s="100"/>
      <c r="LA34" s="100"/>
      <c r="LB34" s="100"/>
      <c r="LC34" s="100"/>
      <c r="LD34" s="100"/>
      <c r="LE34" s="100"/>
      <c r="LF34" s="100"/>
      <c r="LG34" s="100"/>
      <c r="LH34" s="100"/>
      <c r="LI34" s="100"/>
      <c r="LJ34" s="100"/>
      <c r="LK34" s="100"/>
      <c r="LL34" s="100"/>
      <c r="LM34" s="100"/>
      <c r="LN34" s="100"/>
      <c r="LO34" s="100"/>
      <c r="LP34" s="100"/>
      <c r="LQ34" s="100"/>
      <c r="LR34" s="100"/>
      <c r="LS34" s="100"/>
      <c r="LT34" s="100"/>
      <c r="LU34" s="100"/>
      <c r="LV34" s="100"/>
      <c r="LW34" s="100"/>
      <c r="LX34" s="100"/>
      <c r="LY34" s="100"/>
      <c r="LZ34" s="100"/>
      <c r="MA34" s="100"/>
      <c r="MB34" s="100"/>
      <c r="MC34" s="100"/>
      <c r="MD34" s="100"/>
      <c r="ME34" s="100"/>
      <c r="MF34" s="100"/>
      <c r="MG34" s="100"/>
      <c r="MH34" s="100"/>
      <c r="MI34" s="100"/>
      <c r="MJ34" s="100"/>
      <c r="MK34" s="100"/>
      <c r="ML34" s="100"/>
      <c r="MM34" s="100"/>
      <c r="MN34" s="100"/>
      <c r="MO34" s="100"/>
      <c r="MP34" s="100"/>
      <c r="MQ34" s="100"/>
      <c r="MR34" s="100"/>
      <c r="MS34" s="100"/>
      <c r="MT34" s="100"/>
      <c r="MU34" s="100"/>
      <c r="MV34" s="100"/>
      <c r="MW34" s="100"/>
      <c r="MX34" s="100"/>
      <c r="MY34" s="100"/>
      <c r="MZ34" s="100"/>
      <c r="NA34" s="100"/>
      <c r="NB34" s="100"/>
      <c r="NC34" s="100"/>
      <c r="ND34" s="100"/>
      <c r="NE34" s="100"/>
      <c r="NF34" s="100"/>
      <c r="NG34" s="100"/>
      <c r="NH34" s="100"/>
      <c r="NI34" s="100"/>
      <c r="NJ34" s="100"/>
      <c r="NK34" s="100"/>
      <c r="NL34" s="100"/>
      <c r="NM34" s="100"/>
      <c r="NN34" s="100"/>
      <c r="NO34" s="100"/>
      <c r="NP34" s="100"/>
      <c r="NQ34" s="100"/>
      <c r="NR34" s="100"/>
      <c r="NS34" s="100"/>
      <c r="NT34" s="100"/>
      <c r="NU34" s="100"/>
      <c r="NV34" s="100"/>
      <c r="NW34" s="100"/>
      <c r="NX34" s="100"/>
      <c r="NY34" s="100"/>
      <c r="NZ34" s="100"/>
      <c r="OA34" s="100"/>
      <c r="OB34" s="100"/>
      <c r="OC34" s="100"/>
      <c r="OD34" s="100"/>
      <c r="OE34" s="100"/>
      <c r="OF34" s="100"/>
      <c r="OG34" s="100"/>
      <c r="OH34" s="100"/>
      <c r="OI34" s="100"/>
      <c r="OJ34" s="100"/>
      <c r="OK34" s="100"/>
      <c r="OL34" s="100"/>
      <c r="OM34" s="100"/>
      <c r="ON34" s="100"/>
      <c r="OO34" s="100"/>
      <c r="OP34" s="100"/>
      <c r="OQ34" s="100"/>
      <c r="OR34" s="100"/>
      <c r="OS34" s="100"/>
      <c r="OT34" s="100"/>
      <c r="OU34" s="100"/>
      <c r="OV34" s="100"/>
      <c r="OW34" s="100"/>
      <c r="OX34" s="100"/>
      <c r="OY34" s="100"/>
      <c r="OZ34" s="100"/>
      <c r="PA34" s="100"/>
      <c r="PB34" s="100"/>
      <c r="PC34" s="100"/>
      <c r="PD34" s="100"/>
      <c r="PE34" s="100"/>
      <c r="PF34" s="100"/>
      <c r="PG34" s="100"/>
      <c r="PH34" s="100"/>
      <c r="PI34" s="100"/>
      <c r="PJ34" s="100"/>
      <c r="PK34" s="100"/>
      <c r="PL34" s="100"/>
      <c r="PM34" s="100"/>
      <c r="PN34" s="100"/>
      <c r="PO34" s="100"/>
      <c r="PP34" s="100"/>
      <c r="PQ34" s="100"/>
      <c r="PR34" s="100"/>
      <c r="PS34" s="100"/>
      <c r="PT34" s="100"/>
      <c r="PU34" s="100"/>
      <c r="PV34" s="100"/>
      <c r="PW34" s="100"/>
      <c r="PX34" s="100"/>
      <c r="PY34" s="100"/>
      <c r="PZ34" s="100"/>
      <c r="QA34" s="100"/>
      <c r="QB34" s="100"/>
      <c r="QC34" s="100"/>
      <c r="QD34" s="100"/>
      <c r="QE34" s="100"/>
      <c r="QF34" s="100"/>
      <c r="QG34" s="100"/>
      <c r="QH34" s="100"/>
      <c r="QI34" s="100"/>
      <c r="QJ34" s="100"/>
      <c r="QK34" s="100"/>
      <c r="QL34" s="100"/>
      <c r="QM34" s="100"/>
      <c r="QN34" s="100"/>
      <c r="QO34" s="100"/>
      <c r="QP34" s="100"/>
      <c r="QQ34" s="100">
        <v>1</v>
      </c>
      <c r="QR34" s="100"/>
      <c r="QS34" s="100"/>
      <c r="QT34" s="100"/>
      <c r="QU34" s="100"/>
      <c r="QV34" s="100"/>
      <c r="QW34" s="100"/>
      <c r="QX34" s="100"/>
      <c r="QY34" s="100"/>
      <c r="QZ34" s="23">
        <f t="shared" ref="QZ34:QZ51" si="3">SUBTOTAL(9,C34:QY34)</f>
        <v>1</v>
      </c>
      <c r="RA34" s="47" t="s">
        <v>69</v>
      </c>
      <c r="RB34" s="97">
        <v>104.4</v>
      </c>
      <c r="RC34" s="63">
        <f>RF34+RG34</f>
        <v>104.4</v>
      </c>
      <c r="RD34" s="63">
        <v>73.94</v>
      </c>
      <c r="RE34" s="97">
        <f t="shared" ref="RE34:RE51" si="4">RB34-RC34</f>
        <v>0</v>
      </c>
      <c r="RF34" s="107"/>
      <c r="RG34" s="107">
        <v>104.4</v>
      </c>
      <c r="RH34" s="83">
        <f t="shared" ref="RH34:RH51" si="5">RB34/RD34</f>
        <v>1.4119556397078714</v>
      </c>
      <c r="RI34" s="116"/>
    </row>
    <row r="35" spans="1:477" s="5" customFormat="1" ht="12.75" customHeight="1" x14ac:dyDescent="0.2">
      <c r="A35" s="48">
        <v>44953</v>
      </c>
      <c r="B35" s="81" t="s">
        <v>449</v>
      </c>
      <c r="C35" s="98"/>
      <c r="D35" s="98"/>
      <c r="E35" s="99"/>
      <c r="F35" s="99"/>
      <c r="G35" s="99"/>
      <c r="H35" s="99"/>
      <c r="I35" s="99"/>
      <c r="J35" s="99"/>
      <c r="K35" s="99"/>
      <c r="L35" s="99"/>
      <c r="M35" s="99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>
        <v>200</v>
      </c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00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>
        <v>5</v>
      </c>
      <c r="CB35" s="100"/>
      <c r="CC35" s="100"/>
      <c r="CD35" s="100"/>
      <c r="CE35" s="100"/>
      <c r="CF35" s="100"/>
      <c r="CG35" s="100"/>
      <c r="CH35" s="100"/>
      <c r="CI35" s="100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100"/>
      <c r="DM35" s="100"/>
      <c r="DN35" s="100"/>
      <c r="DO35" s="100"/>
      <c r="DP35" s="100"/>
      <c r="DQ35" s="100"/>
      <c r="DR35" s="100"/>
      <c r="DS35" s="100"/>
      <c r="DT35" s="100"/>
      <c r="DU35" s="100"/>
      <c r="DV35" s="100"/>
      <c r="DW35" s="100"/>
      <c r="DX35" s="100"/>
      <c r="DY35" s="100"/>
      <c r="DZ35" s="100"/>
      <c r="EA35" s="100"/>
      <c r="EB35" s="100"/>
      <c r="EC35" s="100"/>
      <c r="ED35" s="100"/>
      <c r="EE35" s="100"/>
      <c r="EF35" s="100"/>
      <c r="EG35" s="100"/>
      <c r="EH35" s="100"/>
      <c r="EI35" s="100"/>
      <c r="EJ35" s="100"/>
      <c r="EK35" s="100"/>
      <c r="EL35" s="100"/>
      <c r="EM35" s="100"/>
      <c r="EN35" s="100"/>
      <c r="EO35" s="100"/>
      <c r="EP35" s="100"/>
      <c r="EQ35" s="100"/>
      <c r="ER35" s="100"/>
      <c r="ES35" s="100"/>
      <c r="ET35" s="100"/>
      <c r="EU35" s="100"/>
      <c r="EV35" s="100"/>
      <c r="EW35" s="100"/>
      <c r="EX35" s="100"/>
      <c r="EY35" s="100"/>
      <c r="EZ35" s="100"/>
      <c r="FA35" s="100"/>
      <c r="FB35" s="100"/>
      <c r="FC35" s="100"/>
      <c r="FD35" s="100"/>
      <c r="FE35" s="100"/>
      <c r="FF35" s="100"/>
      <c r="FG35" s="100"/>
      <c r="FH35" s="100"/>
      <c r="FI35" s="100"/>
      <c r="FJ35" s="100"/>
      <c r="FK35" s="100"/>
      <c r="FL35" s="100"/>
      <c r="FM35" s="100"/>
      <c r="FN35" s="100"/>
      <c r="FO35" s="100"/>
      <c r="FP35" s="100"/>
      <c r="FQ35" s="100"/>
      <c r="FR35" s="100"/>
      <c r="FS35" s="100"/>
      <c r="FT35" s="100"/>
      <c r="FU35" s="100"/>
      <c r="FV35" s="100"/>
      <c r="FW35" s="100"/>
      <c r="FX35" s="100"/>
      <c r="FY35" s="100"/>
      <c r="FZ35" s="100"/>
      <c r="GA35" s="100"/>
      <c r="GB35" s="100"/>
      <c r="GC35" s="100"/>
      <c r="GD35" s="100"/>
      <c r="GE35" s="100"/>
      <c r="GF35" s="100"/>
      <c r="GG35" s="100"/>
      <c r="GH35" s="100"/>
      <c r="GI35" s="100"/>
      <c r="GJ35" s="100"/>
      <c r="GK35" s="100"/>
      <c r="GL35" s="100"/>
      <c r="GM35" s="100"/>
      <c r="GN35" s="100"/>
      <c r="GO35" s="100"/>
      <c r="GP35" s="100"/>
      <c r="GQ35" s="100"/>
      <c r="GR35" s="100"/>
      <c r="GS35" s="100"/>
      <c r="GT35" s="100"/>
      <c r="GU35" s="100"/>
      <c r="GV35" s="100"/>
      <c r="GW35" s="100"/>
      <c r="GX35" s="100"/>
      <c r="GY35" s="100"/>
      <c r="GZ35" s="100"/>
      <c r="HA35" s="100"/>
      <c r="HB35" s="100"/>
      <c r="HC35" s="100"/>
      <c r="HD35" s="100"/>
      <c r="HE35" s="100"/>
      <c r="HF35" s="100"/>
      <c r="HG35" s="100"/>
      <c r="HH35" s="100"/>
      <c r="HI35" s="100"/>
      <c r="HJ35" s="100"/>
      <c r="HK35" s="100"/>
      <c r="HL35" s="100"/>
      <c r="HM35" s="100"/>
      <c r="HN35" s="100"/>
      <c r="HO35" s="100"/>
      <c r="HP35" s="100"/>
      <c r="HQ35" s="100"/>
      <c r="HR35" s="100"/>
      <c r="HS35" s="100"/>
      <c r="HT35" s="100"/>
      <c r="HU35" s="100"/>
      <c r="HV35" s="100"/>
      <c r="HW35" s="100"/>
      <c r="HX35" s="100"/>
      <c r="HY35" s="100"/>
      <c r="HZ35" s="100"/>
      <c r="IA35" s="100"/>
      <c r="IB35" s="100"/>
      <c r="IC35" s="100"/>
      <c r="ID35" s="100"/>
      <c r="IE35" s="100"/>
      <c r="IF35" s="100"/>
      <c r="IG35" s="100"/>
      <c r="IH35" s="100"/>
      <c r="II35" s="100"/>
      <c r="IJ35" s="100"/>
      <c r="IK35" s="100"/>
      <c r="IL35" s="100"/>
      <c r="IM35" s="100"/>
      <c r="IN35" s="100"/>
      <c r="IO35" s="100"/>
      <c r="IP35" s="100"/>
      <c r="IQ35" s="100"/>
      <c r="IR35" s="100"/>
      <c r="IS35" s="100"/>
      <c r="IT35" s="100"/>
      <c r="IU35" s="100"/>
      <c r="IV35" s="100"/>
      <c r="IW35" s="100"/>
      <c r="IX35" s="100"/>
      <c r="IY35" s="100"/>
      <c r="IZ35" s="100"/>
      <c r="JA35" s="100"/>
      <c r="JB35" s="100"/>
      <c r="JC35" s="100"/>
      <c r="JD35" s="100"/>
      <c r="JE35" s="100"/>
      <c r="JF35" s="100"/>
      <c r="JG35" s="100"/>
      <c r="JH35" s="100"/>
      <c r="JI35" s="100"/>
      <c r="JJ35" s="100"/>
      <c r="JK35" s="100"/>
      <c r="JL35" s="100"/>
      <c r="JM35" s="100"/>
      <c r="JN35" s="100"/>
      <c r="JO35" s="100"/>
      <c r="JP35" s="100"/>
      <c r="JQ35" s="100"/>
      <c r="JR35" s="100"/>
      <c r="JS35" s="100"/>
      <c r="JT35" s="100"/>
      <c r="JU35" s="100"/>
      <c r="JV35" s="100"/>
      <c r="JW35" s="100"/>
      <c r="JX35" s="100"/>
      <c r="JY35" s="100"/>
      <c r="JZ35" s="100"/>
      <c r="KA35" s="100"/>
      <c r="KB35" s="100"/>
      <c r="KC35" s="100"/>
      <c r="KD35" s="100"/>
      <c r="KE35" s="100"/>
      <c r="KF35" s="100"/>
      <c r="KG35" s="100"/>
      <c r="KH35" s="100"/>
      <c r="KI35" s="100"/>
      <c r="KJ35" s="100"/>
      <c r="KK35" s="100"/>
      <c r="KL35" s="100"/>
      <c r="KM35" s="100"/>
      <c r="KN35" s="100"/>
      <c r="KO35" s="100"/>
      <c r="KP35" s="100"/>
      <c r="KQ35" s="100"/>
      <c r="KR35" s="100"/>
      <c r="KS35" s="100"/>
      <c r="KT35" s="100"/>
      <c r="KU35" s="100"/>
      <c r="KV35" s="100"/>
      <c r="KW35" s="100"/>
      <c r="KX35" s="100"/>
      <c r="KY35" s="100"/>
      <c r="KZ35" s="100"/>
      <c r="LA35" s="100"/>
      <c r="LB35" s="100"/>
      <c r="LC35" s="100"/>
      <c r="LD35" s="100"/>
      <c r="LE35" s="100"/>
      <c r="LF35" s="100"/>
      <c r="LG35" s="100"/>
      <c r="LH35" s="100"/>
      <c r="LI35" s="100"/>
      <c r="LJ35" s="100"/>
      <c r="LK35" s="100"/>
      <c r="LL35" s="100"/>
      <c r="LM35" s="100"/>
      <c r="LN35" s="100"/>
      <c r="LO35" s="100"/>
      <c r="LP35" s="100"/>
      <c r="LQ35" s="100"/>
      <c r="LR35" s="100"/>
      <c r="LS35" s="100"/>
      <c r="LT35" s="100"/>
      <c r="LU35" s="100"/>
      <c r="LV35" s="100"/>
      <c r="LW35" s="100"/>
      <c r="LX35" s="100"/>
      <c r="LY35" s="100"/>
      <c r="LZ35" s="100"/>
      <c r="MA35" s="100"/>
      <c r="MB35" s="100"/>
      <c r="MC35" s="100"/>
      <c r="MD35" s="100"/>
      <c r="ME35" s="100"/>
      <c r="MF35" s="100"/>
      <c r="MG35" s="100"/>
      <c r="MH35" s="100"/>
      <c r="MI35" s="100"/>
      <c r="MJ35" s="100"/>
      <c r="MK35" s="100"/>
      <c r="ML35" s="100"/>
      <c r="MM35" s="100"/>
      <c r="MN35" s="100"/>
      <c r="MO35" s="100"/>
      <c r="MP35" s="100"/>
      <c r="MQ35" s="100"/>
      <c r="MR35" s="100"/>
      <c r="MS35" s="100"/>
      <c r="MT35" s="100"/>
      <c r="MU35" s="100"/>
      <c r="MV35" s="100"/>
      <c r="MW35" s="100"/>
      <c r="MX35" s="100"/>
      <c r="MY35" s="100"/>
      <c r="MZ35" s="100"/>
      <c r="NA35" s="100"/>
      <c r="NB35" s="100"/>
      <c r="NC35" s="100"/>
      <c r="ND35" s="100"/>
      <c r="NE35" s="100"/>
      <c r="NF35" s="100"/>
      <c r="NG35" s="100"/>
      <c r="NH35" s="100"/>
      <c r="NI35" s="100"/>
      <c r="NJ35" s="100"/>
      <c r="NK35" s="100"/>
      <c r="NL35" s="100"/>
      <c r="NM35" s="100"/>
      <c r="NN35" s="100"/>
      <c r="NO35" s="100"/>
      <c r="NP35" s="100"/>
      <c r="NQ35" s="100"/>
      <c r="NR35" s="100"/>
      <c r="NS35" s="100"/>
      <c r="NT35" s="100"/>
      <c r="NU35" s="100"/>
      <c r="NV35" s="100"/>
      <c r="NW35" s="100"/>
      <c r="NX35" s="100"/>
      <c r="NY35" s="100"/>
      <c r="NZ35" s="100"/>
      <c r="OA35" s="100"/>
      <c r="OB35" s="100"/>
      <c r="OC35" s="100"/>
      <c r="OD35" s="100"/>
      <c r="OE35" s="100"/>
      <c r="OF35" s="100"/>
      <c r="OG35" s="100"/>
      <c r="OH35" s="100"/>
      <c r="OI35" s="100"/>
      <c r="OJ35" s="100"/>
      <c r="OK35" s="100"/>
      <c r="OL35" s="100"/>
      <c r="OM35" s="100"/>
      <c r="ON35" s="100"/>
      <c r="OO35" s="100"/>
      <c r="OP35" s="100"/>
      <c r="OQ35" s="100"/>
      <c r="OR35" s="100"/>
      <c r="OS35" s="100"/>
      <c r="OT35" s="100"/>
      <c r="OU35" s="100"/>
      <c r="OV35" s="100"/>
      <c r="OW35" s="100"/>
      <c r="OX35" s="100"/>
      <c r="OY35" s="100"/>
      <c r="OZ35" s="100"/>
      <c r="PA35" s="100"/>
      <c r="PB35" s="100"/>
      <c r="PC35" s="100"/>
      <c r="PD35" s="100"/>
      <c r="PE35" s="100"/>
      <c r="PF35" s="100"/>
      <c r="PG35" s="100"/>
      <c r="PH35" s="100"/>
      <c r="PI35" s="100"/>
      <c r="PJ35" s="100"/>
      <c r="PK35" s="100"/>
      <c r="PL35" s="100"/>
      <c r="PM35" s="100"/>
      <c r="PN35" s="100"/>
      <c r="PO35" s="100"/>
      <c r="PP35" s="100"/>
      <c r="PQ35" s="100"/>
      <c r="PR35" s="100"/>
      <c r="PS35" s="100"/>
      <c r="PT35" s="100"/>
      <c r="PU35" s="100"/>
      <c r="PV35" s="100"/>
      <c r="PW35" s="100"/>
      <c r="PX35" s="100"/>
      <c r="PY35" s="100"/>
      <c r="PZ35" s="100"/>
      <c r="QA35" s="100"/>
      <c r="QB35" s="100"/>
      <c r="QC35" s="100"/>
      <c r="QD35" s="100"/>
      <c r="QE35" s="100"/>
      <c r="QF35" s="100"/>
      <c r="QG35" s="100"/>
      <c r="QH35" s="100"/>
      <c r="QI35" s="100"/>
      <c r="QJ35" s="100"/>
      <c r="QK35" s="100"/>
      <c r="QL35" s="100"/>
      <c r="QM35" s="100"/>
      <c r="QN35" s="100"/>
      <c r="QO35" s="100"/>
      <c r="QP35" s="100"/>
      <c r="QQ35" s="100"/>
      <c r="QR35" s="100"/>
      <c r="QS35" s="100"/>
      <c r="QT35" s="100"/>
      <c r="QU35" s="100"/>
      <c r="QV35" s="100"/>
      <c r="QW35" s="100"/>
      <c r="QX35" s="100"/>
      <c r="QY35" s="100"/>
      <c r="QZ35" s="23">
        <f t="shared" si="3"/>
        <v>205</v>
      </c>
      <c r="RA35" s="47" t="s">
        <v>36</v>
      </c>
      <c r="RB35" s="97">
        <v>15294</v>
      </c>
      <c r="RC35" s="63">
        <f>RF35+RG35</f>
        <v>15294</v>
      </c>
      <c r="RD35" s="63">
        <v>8619.35</v>
      </c>
      <c r="RE35" s="97">
        <f t="shared" si="4"/>
        <v>0</v>
      </c>
      <c r="RF35" s="107"/>
      <c r="RG35" s="107">
        <f>2491.5+12802.5</f>
        <v>15294</v>
      </c>
      <c r="RH35" s="83">
        <f t="shared" si="5"/>
        <v>1.7743797386113802</v>
      </c>
      <c r="RI35" s="116"/>
    </row>
    <row r="36" spans="1:477" s="5" customFormat="1" ht="12.75" customHeight="1" x14ac:dyDescent="0.2">
      <c r="A36" s="48">
        <v>44953</v>
      </c>
      <c r="B36" s="81" t="s">
        <v>499</v>
      </c>
      <c r="C36" s="98"/>
      <c r="D36" s="98"/>
      <c r="E36" s="99"/>
      <c r="F36" s="99"/>
      <c r="G36" s="99"/>
      <c r="H36" s="99"/>
      <c r="I36" s="99"/>
      <c r="J36" s="99"/>
      <c r="K36" s="99"/>
      <c r="L36" s="99"/>
      <c r="M36" s="99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00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100"/>
      <c r="CD36" s="100"/>
      <c r="CE36" s="100"/>
      <c r="CF36" s="100"/>
      <c r="CG36" s="100"/>
      <c r="CH36" s="100"/>
      <c r="CI36" s="100"/>
      <c r="CJ36" s="100"/>
      <c r="CK36" s="100"/>
      <c r="CL36" s="100"/>
      <c r="CM36" s="100"/>
      <c r="CN36" s="10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0"/>
      <c r="DJ36" s="100"/>
      <c r="DK36" s="100"/>
      <c r="DL36" s="100"/>
      <c r="DM36" s="100"/>
      <c r="DN36" s="100"/>
      <c r="DO36" s="100"/>
      <c r="DP36" s="100"/>
      <c r="DQ36" s="100"/>
      <c r="DR36" s="100"/>
      <c r="DS36" s="100"/>
      <c r="DT36" s="100"/>
      <c r="DU36" s="100"/>
      <c r="DV36" s="100"/>
      <c r="DW36" s="100"/>
      <c r="DX36" s="100"/>
      <c r="DY36" s="100"/>
      <c r="DZ36" s="100"/>
      <c r="EA36" s="100"/>
      <c r="EB36" s="100"/>
      <c r="EC36" s="100"/>
      <c r="ED36" s="100"/>
      <c r="EE36" s="100"/>
      <c r="EF36" s="100"/>
      <c r="EG36" s="100"/>
      <c r="EH36" s="100"/>
      <c r="EI36" s="100"/>
      <c r="EJ36" s="100"/>
      <c r="EK36" s="100"/>
      <c r="EL36" s="100"/>
      <c r="EM36" s="100"/>
      <c r="EN36" s="100"/>
      <c r="EO36" s="100"/>
      <c r="EP36" s="100"/>
      <c r="EQ36" s="100"/>
      <c r="ER36" s="100"/>
      <c r="ES36" s="100"/>
      <c r="ET36" s="100"/>
      <c r="EU36" s="100"/>
      <c r="EV36" s="100"/>
      <c r="EW36" s="100"/>
      <c r="EX36" s="100"/>
      <c r="EY36" s="100"/>
      <c r="EZ36" s="100"/>
      <c r="FA36" s="100"/>
      <c r="FB36" s="100"/>
      <c r="FC36" s="100"/>
      <c r="FD36" s="100"/>
      <c r="FE36" s="100"/>
      <c r="FF36" s="100"/>
      <c r="FG36" s="100"/>
      <c r="FH36" s="100"/>
      <c r="FI36" s="100"/>
      <c r="FJ36" s="100"/>
      <c r="FK36" s="100"/>
      <c r="FL36" s="100"/>
      <c r="FM36" s="100"/>
      <c r="FN36" s="100"/>
      <c r="FO36" s="100"/>
      <c r="FP36" s="100"/>
      <c r="FQ36" s="100"/>
      <c r="FR36" s="100"/>
      <c r="FS36" s="100"/>
      <c r="FT36" s="100"/>
      <c r="FU36" s="100"/>
      <c r="FV36" s="100"/>
      <c r="FW36" s="100"/>
      <c r="FX36" s="100"/>
      <c r="FY36" s="100"/>
      <c r="FZ36" s="100"/>
      <c r="GA36" s="100"/>
      <c r="GB36" s="100"/>
      <c r="GC36" s="100"/>
      <c r="GD36" s="100"/>
      <c r="GE36" s="100"/>
      <c r="GF36" s="100"/>
      <c r="GG36" s="100"/>
      <c r="GH36" s="100"/>
      <c r="GI36" s="100"/>
      <c r="GJ36" s="100"/>
      <c r="GK36" s="100"/>
      <c r="GL36" s="100"/>
      <c r="GM36" s="100"/>
      <c r="GN36" s="100"/>
      <c r="GO36" s="100"/>
      <c r="GP36" s="100"/>
      <c r="GQ36" s="100"/>
      <c r="GR36" s="100"/>
      <c r="GS36" s="100"/>
      <c r="GT36" s="100"/>
      <c r="GU36" s="100"/>
      <c r="GV36" s="100"/>
      <c r="GW36" s="100"/>
      <c r="GX36" s="100"/>
      <c r="GY36" s="100"/>
      <c r="GZ36" s="100"/>
      <c r="HA36" s="100"/>
      <c r="HB36" s="100"/>
      <c r="HC36" s="100"/>
      <c r="HD36" s="100"/>
      <c r="HE36" s="100"/>
      <c r="HF36" s="100"/>
      <c r="HG36" s="100"/>
      <c r="HH36" s="100"/>
      <c r="HI36" s="100"/>
      <c r="HJ36" s="100"/>
      <c r="HK36" s="100"/>
      <c r="HL36" s="100"/>
      <c r="HM36" s="100"/>
      <c r="HN36" s="100"/>
      <c r="HO36" s="100"/>
      <c r="HP36" s="100">
        <v>0.9</v>
      </c>
      <c r="HQ36" s="100"/>
      <c r="HR36" s="100">
        <v>2.7</v>
      </c>
      <c r="HS36" s="100"/>
      <c r="HT36" s="100"/>
      <c r="HU36" s="100"/>
      <c r="HV36" s="100"/>
      <c r="HW36" s="100"/>
      <c r="HX36" s="100"/>
      <c r="HY36" s="100"/>
      <c r="HZ36" s="100"/>
      <c r="IA36" s="100"/>
      <c r="IB36" s="100"/>
      <c r="IC36" s="100"/>
      <c r="ID36" s="100"/>
      <c r="IE36" s="100"/>
      <c r="IF36" s="100"/>
      <c r="IG36" s="100"/>
      <c r="IH36" s="100"/>
      <c r="II36" s="100"/>
      <c r="IJ36" s="100"/>
      <c r="IK36" s="100"/>
      <c r="IL36" s="100"/>
      <c r="IM36" s="100"/>
      <c r="IN36" s="100"/>
      <c r="IO36" s="100"/>
      <c r="IP36" s="100"/>
      <c r="IQ36" s="100"/>
      <c r="IR36" s="100"/>
      <c r="IS36" s="100"/>
      <c r="IT36" s="100"/>
      <c r="IU36" s="100"/>
      <c r="IV36" s="100"/>
      <c r="IW36" s="100"/>
      <c r="IX36" s="100"/>
      <c r="IY36" s="100"/>
      <c r="IZ36" s="100"/>
      <c r="JA36" s="100"/>
      <c r="JB36" s="100"/>
      <c r="JC36" s="100"/>
      <c r="JD36" s="100"/>
      <c r="JE36" s="100"/>
      <c r="JF36" s="100"/>
      <c r="JG36" s="100"/>
      <c r="JH36" s="100"/>
      <c r="JI36" s="100"/>
      <c r="JJ36" s="100"/>
      <c r="JK36" s="100"/>
      <c r="JL36" s="100"/>
      <c r="JM36" s="100"/>
      <c r="JN36" s="100"/>
      <c r="JO36" s="100"/>
      <c r="JP36" s="100"/>
      <c r="JQ36" s="100"/>
      <c r="JR36" s="100"/>
      <c r="JS36" s="100"/>
      <c r="JT36" s="100"/>
      <c r="JU36" s="100"/>
      <c r="JV36" s="100"/>
      <c r="JW36" s="100"/>
      <c r="JX36" s="100"/>
      <c r="JY36" s="100"/>
      <c r="JZ36" s="100"/>
      <c r="KA36" s="100"/>
      <c r="KB36" s="100"/>
      <c r="KC36" s="100"/>
      <c r="KD36" s="100"/>
      <c r="KE36" s="100"/>
      <c r="KF36" s="100"/>
      <c r="KG36" s="100"/>
      <c r="KH36" s="100"/>
      <c r="KI36" s="100"/>
      <c r="KJ36" s="100"/>
      <c r="KK36" s="100"/>
      <c r="KL36" s="100"/>
      <c r="KM36" s="100"/>
      <c r="KN36" s="100"/>
      <c r="KO36" s="100"/>
      <c r="KP36" s="100"/>
      <c r="KQ36" s="100"/>
      <c r="KR36" s="100"/>
      <c r="KS36" s="100"/>
      <c r="KT36" s="100"/>
      <c r="KU36" s="100"/>
      <c r="KV36" s="100"/>
      <c r="KW36" s="100"/>
      <c r="KX36" s="100"/>
      <c r="KY36" s="100"/>
      <c r="KZ36" s="100"/>
      <c r="LA36" s="100"/>
      <c r="LB36" s="100"/>
      <c r="LC36" s="100"/>
      <c r="LD36" s="100"/>
      <c r="LE36" s="100"/>
      <c r="LF36" s="100"/>
      <c r="LG36" s="100"/>
      <c r="LH36" s="100"/>
      <c r="LI36" s="100"/>
      <c r="LJ36" s="100"/>
      <c r="LK36" s="100"/>
      <c r="LL36" s="100"/>
      <c r="LM36" s="100"/>
      <c r="LN36" s="100"/>
      <c r="LO36" s="100"/>
      <c r="LP36" s="100"/>
      <c r="LQ36" s="100"/>
      <c r="LR36" s="100"/>
      <c r="LS36" s="100"/>
      <c r="LT36" s="100"/>
      <c r="LU36" s="100"/>
      <c r="LV36" s="100"/>
      <c r="LW36" s="100"/>
      <c r="LX36" s="100"/>
      <c r="LY36" s="100"/>
      <c r="LZ36" s="100"/>
      <c r="MA36" s="100"/>
      <c r="MB36" s="100"/>
      <c r="MC36" s="100"/>
      <c r="MD36" s="100"/>
      <c r="ME36" s="100"/>
      <c r="MF36" s="100"/>
      <c r="MG36" s="100"/>
      <c r="MH36" s="100"/>
      <c r="MI36" s="100"/>
      <c r="MJ36" s="100"/>
      <c r="MK36" s="100"/>
      <c r="ML36" s="100"/>
      <c r="MM36" s="100"/>
      <c r="MN36" s="100"/>
      <c r="MO36" s="100"/>
      <c r="MP36" s="100"/>
      <c r="MQ36" s="100"/>
      <c r="MR36" s="100"/>
      <c r="MS36" s="100"/>
      <c r="MT36" s="100"/>
      <c r="MU36" s="100"/>
      <c r="MV36" s="100"/>
      <c r="MW36" s="100"/>
      <c r="MX36" s="100"/>
      <c r="MY36" s="100"/>
      <c r="MZ36" s="100"/>
      <c r="NA36" s="100"/>
      <c r="NB36" s="100"/>
      <c r="NC36" s="100"/>
      <c r="ND36" s="100"/>
      <c r="NE36" s="100"/>
      <c r="NF36" s="100"/>
      <c r="NG36" s="100"/>
      <c r="NH36" s="100"/>
      <c r="NI36" s="100"/>
      <c r="NJ36" s="100"/>
      <c r="NK36" s="100"/>
      <c r="NL36" s="100"/>
      <c r="NM36" s="100"/>
      <c r="NN36" s="100"/>
      <c r="NO36" s="100"/>
      <c r="NP36" s="100"/>
      <c r="NQ36" s="100"/>
      <c r="NR36" s="100"/>
      <c r="NS36" s="100"/>
      <c r="NT36" s="100"/>
      <c r="NU36" s="100"/>
      <c r="NV36" s="100"/>
      <c r="NW36" s="100"/>
      <c r="NX36" s="100"/>
      <c r="NY36" s="100"/>
      <c r="NZ36" s="100"/>
      <c r="OA36" s="100"/>
      <c r="OB36" s="100"/>
      <c r="OC36" s="100"/>
      <c r="OD36" s="100"/>
      <c r="OE36" s="100"/>
      <c r="OF36" s="100"/>
      <c r="OG36" s="100"/>
      <c r="OH36" s="100"/>
      <c r="OI36" s="100"/>
      <c r="OJ36" s="100"/>
      <c r="OK36" s="100"/>
      <c r="OL36" s="100"/>
      <c r="OM36" s="100"/>
      <c r="ON36" s="100"/>
      <c r="OO36" s="100"/>
      <c r="OP36" s="100"/>
      <c r="OQ36" s="100"/>
      <c r="OR36" s="100"/>
      <c r="OS36" s="100"/>
      <c r="OT36" s="100"/>
      <c r="OU36" s="100"/>
      <c r="OV36" s="100"/>
      <c r="OW36" s="100"/>
      <c r="OX36" s="100"/>
      <c r="OY36" s="100"/>
      <c r="OZ36" s="100"/>
      <c r="PA36" s="100"/>
      <c r="PB36" s="100"/>
      <c r="PC36" s="100"/>
      <c r="PD36" s="100"/>
      <c r="PE36" s="100"/>
      <c r="PF36" s="100"/>
      <c r="PG36" s="100"/>
      <c r="PH36" s="100"/>
      <c r="PI36" s="100"/>
      <c r="PJ36" s="100"/>
      <c r="PK36" s="100"/>
      <c r="PL36" s="100"/>
      <c r="PM36" s="100"/>
      <c r="PN36" s="100"/>
      <c r="PO36" s="100"/>
      <c r="PP36" s="100"/>
      <c r="PQ36" s="100"/>
      <c r="PR36" s="100"/>
      <c r="PS36" s="100"/>
      <c r="PT36" s="100"/>
      <c r="PU36" s="100"/>
      <c r="PV36" s="100"/>
      <c r="PW36" s="100"/>
      <c r="PX36" s="100"/>
      <c r="PY36" s="100"/>
      <c r="PZ36" s="100"/>
      <c r="QA36" s="100"/>
      <c r="QB36" s="100"/>
      <c r="QC36" s="100"/>
      <c r="QD36" s="100"/>
      <c r="QE36" s="100"/>
      <c r="QF36" s="100"/>
      <c r="QG36" s="100"/>
      <c r="QH36" s="100"/>
      <c r="QI36" s="100"/>
      <c r="QJ36" s="100"/>
      <c r="QK36" s="100"/>
      <c r="QL36" s="100"/>
      <c r="QM36" s="100"/>
      <c r="QN36" s="100"/>
      <c r="QO36" s="100"/>
      <c r="QP36" s="100"/>
      <c r="QQ36" s="100"/>
      <c r="QR36" s="100"/>
      <c r="QS36" s="100"/>
      <c r="QT36" s="100"/>
      <c r="QU36" s="100"/>
      <c r="QV36" s="100"/>
      <c r="QW36" s="100"/>
      <c r="QX36" s="100"/>
      <c r="QY36" s="100"/>
      <c r="QZ36" s="23">
        <f t="shared" si="3"/>
        <v>3.6</v>
      </c>
      <c r="RA36" s="47" t="s">
        <v>36</v>
      </c>
      <c r="RB36" s="97">
        <v>414.45</v>
      </c>
      <c r="RC36" s="63">
        <f>RF36</f>
        <v>414.45</v>
      </c>
      <c r="RD36" s="63">
        <v>254.691</v>
      </c>
      <c r="RE36" s="97">
        <f t="shared" si="4"/>
        <v>0</v>
      </c>
      <c r="RF36" s="107">
        <v>414.45</v>
      </c>
      <c r="RG36" s="107"/>
      <c r="RH36" s="83">
        <f t="shared" si="5"/>
        <v>1.6272659811300751</v>
      </c>
      <c r="RI36" s="116"/>
    </row>
    <row r="37" spans="1:477" s="5" customFormat="1" ht="12.75" customHeight="1" x14ac:dyDescent="0.2">
      <c r="A37" s="48">
        <v>44956</v>
      </c>
      <c r="B37" s="81" t="s">
        <v>444</v>
      </c>
      <c r="C37" s="98"/>
      <c r="D37" s="98"/>
      <c r="E37" s="99"/>
      <c r="F37" s="99"/>
      <c r="G37" s="99"/>
      <c r="H37" s="99"/>
      <c r="I37" s="99"/>
      <c r="J37" s="99"/>
      <c r="K37" s="99"/>
      <c r="L37" s="99"/>
      <c r="M37" s="99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00"/>
      <c r="BQ37" s="100"/>
      <c r="BR37" s="100"/>
      <c r="BS37" s="100"/>
      <c r="BT37" s="100"/>
      <c r="BU37" s="100"/>
      <c r="BV37" s="100"/>
      <c r="BW37" s="100"/>
      <c r="BX37" s="100"/>
      <c r="BY37" s="100"/>
      <c r="BZ37" s="100"/>
      <c r="CA37" s="100"/>
      <c r="CB37" s="100"/>
      <c r="CC37" s="100"/>
      <c r="CD37" s="100"/>
      <c r="CE37" s="100"/>
      <c r="CF37" s="100"/>
      <c r="CG37" s="100"/>
      <c r="CH37" s="100"/>
      <c r="CI37" s="100"/>
      <c r="CJ37" s="100"/>
      <c r="CK37" s="100"/>
      <c r="CL37" s="100"/>
      <c r="CM37" s="100"/>
      <c r="CN37" s="100"/>
      <c r="CO37" s="100"/>
      <c r="CP37" s="100"/>
      <c r="CQ37" s="100"/>
      <c r="CR37" s="100"/>
      <c r="CS37" s="100"/>
      <c r="CT37" s="100"/>
      <c r="CU37" s="100"/>
      <c r="CV37" s="100"/>
      <c r="CW37" s="100"/>
      <c r="CX37" s="100"/>
      <c r="CY37" s="100"/>
      <c r="CZ37" s="100"/>
      <c r="DA37" s="100"/>
      <c r="DB37" s="100"/>
      <c r="DC37" s="100"/>
      <c r="DD37" s="100"/>
      <c r="DE37" s="100"/>
      <c r="DF37" s="100"/>
      <c r="DG37" s="100"/>
      <c r="DH37" s="100"/>
      <c r="DI37" s="100"/>
      <c r="DJ37" s="100"/>
      <c r="DK37" s="100"/>
      <c r="DL37" s="100"/>
      <c r="DM37" s="100"/>
      <c r="DN37" s="100"/>
      <c r="DO37" s="100"/>
      <c r="DP37" s="100"/>
      <c r="DQ37" s="100"/>
      <c r="DR37" s="100"/>
      <c r="DS37" s="100"/>
      <c r="DT37" s="100"/>
      <c r="DU37" s="100"/>
      <c r="DV37" s="100"/>
      <c r="DW37" s="100"/>
      <c r="DX37" s="100"/>
      <c r="DY37" s="100"/>
      <c r="DZ37" s="100"/>
      <c r="EA37" s="100"/>
      <c r="EB37" s="100"/>
      <c r="EC37" s="100"/>
      <c r="ED37" s="100"/>
      <c r="EE37" s="100"/>
      <c r="EF37" s="100"/>
      <c r="EG37" s="100"/>
      <c r="EH37" s="100"/>
      <c r="EI37" s="100"/>
      <c r="EJ37" s="100"/>
      <c r="EK37" s="100"/>
      <c r="EL37" s="100"/>
      <c r="EM37" s="100"/>
      <c r="EN37" s="100"/>
      <c r="EO37" s="100"/>
      <c r="EP37" s="100"/>
      <c r="EQ37" s="100"/>
      <c r="ER37" s="100"/>
      <c r="ES37" s="100"/>
      <c r="ET37" s="100"/>
      <c r="EU37" s="100"/>
      <c r="EV37" s="100"/>
      <c r="EW37" s="100"/>
      <c r="EX37" s="100"/>
      <c r="EY37" s="100"/>
      <c r="EZ37" s="100"/>
      <c r="FA37" s="100"/>
      <c r="FB37" s="100"/>
      <c r="FC37" s="100"/>
      <c r="FD37" s="100"/>
      <c r="FE37" s="100"/>
      <c r="FF37" s="100"/>
      <c r="FG37" s="100"/>
      <c r="FH37" s="100"/>
      <c r="FI37" s="100"/>
      <c r="FJ37" s="100"/>
      <c r="FK37" s="100"/>
      <c r="FL37" s="100"/>
      <c r="FM37" s="100"/>
      <c r="FN37" s="100"/>
      <c r="FO37" s="100"/>
      <c r="FP37" s="100"/>
      <c r="FQ37" s="100"/>
      <c r="FR37" s="100"/>
      <c r="FS37" s="100"/>
      <c r="FT37" s="100"/>
      <c r="FU37" s="100"/>
      <c r="FV37" s="100"/>
      <c r="FW37" s="100"/>
      <c r="FX37" s="100"/>
      <c r="FY37" s="100"/>
      <c r="FZ37" s="100"/>
      <c r="GA37" s="100"/>
      <c r="GB37" s="100"/>
      <c r="GC37" s="100"/>
      <c r="GD37" s="100"/>
      <c r="GE37" s="100"/>
      <c r="GF37" s="100"/>
      <c r="GG37" s="100"/>
      <c r="GH37" s="100"/>
      <c r="GI37" s="100"/>
      <c r="GJ37" s="100"/>
      <c r="GK37" s="100"/>
      <c r="GL37" s="100"/>
      <c r="GM37" s="100"/>
      <c r="GN37" s="100"/>
      <c r="GO37" s="100"/>
      <c r="GP37" s="100"/>
      <c r="GQ37" s="100"/>
      <c r="GR37" s="100"/>
      <c r="GS37" s="100"/>
      <c r="GT37" s="100"/>
      <c r="GU37" s="100"/>
      <c r="GV37" s="100"/>
      <c r="GW37" s="100"/>
      <c r="GX37" s="100"/>
      <c r="GY37" s="100"/>
      <c r="GZ37" s="100"/>
      <c r="HA37" s="100"/>
      <c r="HB37" s="100"/>
      <c r="HC37" s="100"/>
      <c r="HD37" s="100"/>
      <c r="HE37" s="100"/>
      <c r="HF37" s="100"/>
      <c r="HG37" s="100"/>
      <c r="HH37" s="100"/>
      <c r="HI37" s="100"/>
      <c r="HJ37" s="100"/>
      <c r="HK37" s="100"/>
      <c r="HL37" s="100"/>
      <c r="HM37" s="100"/>
      <c r="HN37" s="100"/>
      <c r="HO37" s="100"/>
      <c r="HP37" s="100"/>
      <c r="HQ37" s="100"/>
      <c r="HR37" s="100"/>
      <c r="HS37" s="100"/>
      <c r="HT37" s="100"/>
      <c r="HU37" s="100"/>
      <c r="HV37" s="100"/>
      <c r="HW37" s="100"/>
      <c r="HX37" s="100"/>
      <c r="HY37" s="100"/>
      <c r="HZ37" s="100"/>
      <c r="IA37" s="100"/>
      <c r="IB37" s="100"/>
      <c r="IC37" s="100"/>
      <c r="ID37" s="100"/>
      <c r="IE37" s="100"/>
      <c r="IF37" s="100"/>
      <c r="IG37" s="100"/>
      <c r="IH37" s="100"/>
      <c r="II37" s="100"/>
      <c r="IJ37" s="100"/>
      <c r="IK37" s="100"/>
      <c r="IL37" s="100"/>
      <c r="IM37" s="100"/>
      <c r="IN37" s="100"/>
      <c r="IO37" s="100"/>
      <c r="IP37" s="100"/>
      <c r="IQ37" s="100"/>
      <c r="IR37" s="100"/>
      <c r="IS37" s="100"/>
      <c r="IT37" s="100"/>
      <c r="IU37" s="100"/>
      <c r="IV37" s="100"/>
      <c r="IW37" s="100"/>
      <c r="IX37" s="100"/>
      <c r="IY37" s="100"/>
      <c r="IZ37" s="100"/>
      <c r="JA37" s="100"/>
      <c r="JB37" s="100"/>
      <c r="JC37" s="100"/>
      <c r="JD37" s="100"/>
      <c r="JE37" s="100"/>
      <c r="JF37" s="100"/>
      <c r="JG37" s="100"/>
      <c r="JH37" s="100"/>
      <c r="JI37" s="100"/>
      <c r="JJ37" s="100"/>
      <c r="JK37" s="100"/>
      <c r="JL37" s="100"/>
      <c r="JM37" s="100"/>
      <c r="JN37" s="100"/>
      <c r="JO37" s="100"/>
      <c r="JP37" s="100"/>
      <c r="JQ37" s="100"/>
      <c r="JR37" s="100"/>
      <c r="JS37" s="100"/>
      <c r="JT37" s="100"/>
      <c r="JU37" s="100"/>
      <c r="JV37" s="100">
        <v>10</v>
      </c>
      <c r="JW37" s="100"/>
      <c r="JX37" s="100"/>
      <c r="JY37" s="100"/>
      <c r="JZ37" s="100"/>
      <c r="KA37" s="100"/>
      <c r="KB37" s="100"/>
      <c r="KC37" s="100"/>
      <c r="KD37" s="100"/>
      <c r="KE37" s="100"/>
      <c r="KF37" s="100"/>
      <c r="KG37" s="100"/>
      <c r="KH37" s="100"/>
      <c r="KI37" s="100"/>
      <c r="KJ37" s="100"/>
      <c r="KK37" s="100"/>
      <c r="KL37" s="100"/>
      <c r="KM37" s="100"/>
      <c r="KN37" s="100"/>
      <c r="KO37" s="100"/>
      <c r="KP37" s="100"/>
      <c r="KQ37" s="100"/>
      <c r="KR37" s="100"/>
      <c r="KS37" s="100"/>
      <c r="KT37" s="100"/>
      <c r="KU37" s="100"/>
      <c r="KV37" s="100"/>
      <c r="KW37" s="100"/>
      <c r="KX37" s="100"/>
      <c r="KY37" s="100"/>
      <c r="KZ37" s="100"/>
      <c r="LA37" s="100"/>
      <c r="LB37" s="100"/>
      <c r="LC37" s="100"/>
      <c r="LD37" s="100"/>
      <c r="LE37" s="100"/>
      <c r="LF37" s="100"/>
      <c r="LG37" s="100"/>
      <c r="LH37" s="100"/>
      <c r="LI37" s="100"/>
      <c r="LJ37" s="100"/>
      <c r="LK37" s="100"/>
      <c r="LL37" s="100"/>
      <c r="LM37" s="100"/>
      <c r="LN37" s="100"/>
      <c r="LO37" s="100"/>
      <c r="LP37" s="100"/>
      <c r="LQ37" s="100"/>
      <c r="LR37" s="100"/>
      <c r="LS37" s="100"/>
      <c r="LT37" s="100"/>
      <c r="LU37" s="100"/>
      <c r="LV37" s="100"/>
      <c r="LW37" s="100"/>
      <c r="LX37" s="100"/>
      <c r="LY37" s="100"/>
      <c r="LZ37" s="100"/>
      <c r="MA37" s="100"/>
      <c r="MB37" s="100"/>
      <c r="MC37" s="100"/>
      <c r="MD37" s="100"/>
      <c r="ME37" s="100"/>
      <c r="MF37" s="100"/>
      <c r="MG37" s="100"/>
      <c r="MH37" s="100"/>
      <c r="MI37" s="100"/>
      <c r="MJ37" s="100"/>
      <c r="MK37" s="100"/>
      <c r="ML37" s="100"/>
      <c r="MM37" s="100"/>
      <c r="MN37" s="100"/>
      <c r="MO37" s="100"/>
      <c r="MP37" s="100"/>
      <c r="MQ37" s="100"/>
      <c r="MR37" s="100"/>
      <c r="MS37" s="100"/>
      <c r="MT37" s="100"/>
      <c r="MU37" s="100"/>
      <c r="MV37" s="100"/>
      <c r="MW37" s="100"/>
      <c r="MX37" s="100"/>
      <c r="MY37" s="100"/>
      <c r="MZ37" s="100"/>
      <c r="NA37" s="100"/>
      <c r="NB37" s="100"/>
      <c r="NC37" s="100"/>
      <c r="ND37" s="100"/>
      <c r="NE37" s="100"/>
      <c r="NF37" s="100"/>
      <c r="NG37" s="100"/>
      <c r="NH37" s="100"/>
      <c r="NI37" s="100"/>
      <c r="NJ37" s="100"/>
      <c r="NK37" s="100"/>
      <c r="NL37" s="100"/>
      <c r="NM37" s="100"/>
      <c r="NN37" s="100"/>
      <c r="NO37" s="100"/>
      <c r="NP37" s="100"/>
      <c r="NQ37" s="100"/>
      <c r="NR37" s="100"/>
      <c r="NS37" s="100"/>
      <c r="NT37" s="100"/>
      <c r="NU37" s="100"/>
      <c r="NV37" s="100"/>
      <c r="NW37" s="100"/>
      <c r="NX37" s="100"/>
      <c r="NY37" s="100"/>
      <c r="NZ37" s="100"/>
      <c r="OA37" s="100"/>
      <c r="OB37" s="100"/>
      <c r="OC37" s="100"/>
      <c r="OD37" s="100"/>
      <c r="OE37" s="100"/>
      <c r="OF37" s="100"/>
      <c r="OG37" s="100"/>
      <c r="OH37" s="100"/>
      <c r="OI37" s="100"/>
      <c r="OJ37" s="100"/>
      <c r="OK37" s="100"/>
      <c r="OL37" s="100"/>
      <c r="OM37" s="100"/>
      <c r="ON37" s="100"/>
      <c r="OO37" s="100"/>
      <c r="OP37" s="100"/>
      <c r="OQ37" s="100"/>
      <c r="OR37" s="100"/>
      <c r="OS37" s="100"/>
      <c r="OT37" s="100"/>
      <c r="OU37" s="100"/>
      <c r="OV37" s="100"/>
      <c r="OW37" s="100"/>
      <c r="OX37" s="100"/>
      <c r="OY37" s="100"/>
      <c r="OZ37" s="100"/>
      <c r="PA37" s="100"/>
      <c r="PB37" s="100"/>
      <c r="PC37" s="100"/>
      <c r="PD37" s="100"/>
      <c r="PE37" s="100"/>
      <c r="PF37" s="100"/>
      <c r="PG37" s="100"/>
      <c r="PH37" s="100"/>
      <c r="PI37" s="100"/>
      <c r="PJ37" s="100"/>
      <c r="PK37" s="100"/>
      <c r="PL37" s="100"/>
      <c r="PM37" s="100"/>
      <c r="PN37" s="100"/>
      <c r="PO37" s="100"/>
      <c r="PP37" s="100"/>
      <c r="PQ37" s="100"/>
      <c r="PR37" s="100"/>
      <c r="PS37" s="100"/>
      <c r="PT37" s="100"/>
      <c r="PU37" s="100"/>
      <c r="PV37" s="100"/>
      <c r="PW37" s="100">
        <v>72</v>
      </c>
      <c r="PX37" s="100"/>
      <c r="PY37" s="100"/>
      <c r="PZ37" s="100"/>
      <c r="QA37" s="100"/>
      <c r="QB37" s="100"/>
      <c r="QC37" s="100"/>
      <c r="QD37" s="100"/>
      <c r="QE37" s="100"/>
      <c r="QF37" s="100"/>
      <c r="QG37" s="100"/>
      <c r="QH37" s="100"/>
      <c r="QI37" s="100"/>
      <c r="QJ37" s="100"/>
      <c r="QK37" s="100"/>
      <c r="QL37" s="100"/>
      <c r="QM37" s="100"/>
      <c r="QN37" s="100"/>
      <c r="QO37" s="100"/>
      <c r="QP37" s="100"/>
      <c r="QQ37" s="100"/>
      <c r="QR37" s="100"/>
      <c r="QS37" s="100"/>
      <c r="QT37" s="100"/>
      <c r="QU37" s="100"/>
      <c r="QV37" s="100"/>
      <c r="QW37" s="100"/>
      <c r="QX37" s="100"/>
      <c r="QY37" s="100"/>
      <c r="QZ37" s="23">
        <f t="shared" si="3"/>
        <v>82</v>
      </c>
      <c r="RA37" s="47" t="s">
        <v>69</v>
      </c>
      <c r="RB37" s="97">
        <v>14915.02</v>
      </c>
      <c r="RC37" s="63">
        <f>RF37+RG37</f>
        <v>0</v>
      </c>
      <c r="RD37" s="63">
        <v>11011.925000000001</v>
      </c>
      <c r="RE37" s="97">
        <f t="shared" si="4"/>
        <v>14915.02</v>
      </c>
      <c r="RF37" s="107"/>
      <c r="RG37" s="107"/>
      <c r="RH37" s="83">
        <f t="shared" si="5"/>
        <v>1.3544425702136547</v>
      </c>
      <c r="RI37" s="116"/>
    </row>
    <row r="38" spans="1:477" s="5" customFormat="1" ht="12.75" customHeight="1" x14ac:dyDescent="0.2">
      <c r="A38" s="48">
        <v>44956</v>
      </c>
      <c r="B38" s="90" t="s">
        <v>508</v>
      </c>
      <c r="C38" s="98"/>
      <c r="D38" s="98"/>
      <c r="E38" s="99"/>
      <c r="F38" s="99"/>
      <c r="G38" s="99"/>
      <c r="H38" s="99"/>
      <c r="I38" s="99"/>
      <c r="J38" s="99"/>
      <c r="K38" s="99"/>
      <c r="L38" s="99"/>
      <c r="M38" s="99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00"/>
      <c r="BQ38" s="100"/>
      <c r="BR38" s="100"/>
      <c r="BS38" s="100"/>
      <c r="BT38" s="100"/>
      <c r="BU38" s="100"/>
      <c r="BV38" s="100"/>
      <c r="BW38" s="100"/>
      <c r="BX38" s="100"/>
      <c r="BY38" s="100"/>
      <c r="BZ38" s="100"/>
      <c r="CA38" s="100"/>
      <c r="CB38" s="100"/>
      <c r="CC38" s="100"/>
      <c r="CD38" s="100"/>
      <c r="CE38" s="100"/>
      <c r="CF38" s="100"/>
      <c r="CG38" s="100"/>
      <c r="CH38" s="100"/>
      <c r="CI38" s="100"/>
      <c r="CJ38" s="100"/>
      <c r="CK38" s="100">
        <v>10</v>
      </c>
      <c r="CL38" s="100"/>
      <c r="CM38" s="100"/>
      <c r="CN38" s="100"/>
      <c r="CO38" s="100"/>
      <c r="CP38" s="100"/>
      <c r="CQ38" s="100"/>
      <c r="CR38" s="100"/>
      <c r="CS38" s="100"/>
      <c r="CT38" s="100"/>
      <c r="CU38" s="100"/>
      <c r="CV38" s="100"/>
      <c r="CW38" s="100"/>
      <c r="CX38" s="100"/>
      <c r="CY38" s="100"/>
      <c r="CZ38" s="100"/>
      <c r="DA38" s="100"/>
      <c r="DB38" s="100"/>
      <c r="DC38" s="100"/>
      <c r="DD38" s="100"/>
      <c r="DE38" s="100"/>
      <c r="DF38" s="100"/>
      <c r="DG38" s="100">
        <v>10</v>
      </c>
      <c r="DH38" s="100"/>
      <c r="DI38" s="100"/>
      <c r="DJ38" s="100"/>
      <c r="DK38" s="100"/>
      <c r="DL38" s="100"/>
      <c r="DM38" s="100"/>
      <c r="DN38" s="100"/>
      <c r="DO38" s="100"/>
      <c r="DP38" s="100"/>
      <c r="DQ38" s="100"/>
      <c r="DR38" s="100"/>
      <c r="DS38" s="100"/>
      <c r="DT38" s="100"/>
      <c r="DU38" s="100"/>
      <c r="DV38" s="100"/>
      <c r="DW38" s="100"/>
      <c r="DX38" s="100"/>
      <c r="DY38" s="100"/>
      <c r="DZ38" s="100"/>
      <c r="EA38" s="100"/>
      <c r="EB38" s="100"/>
      <c r="EC38" s="100"/>
      <c r="ED38" s="100"/>
      <c r="EE38" s="100"/>
      <c r="EF38" s="100"/>
      <c r="EG38" s="100"/>
      <c r="EH38" s="100"/>
      <c r="EI38" s="100"/>
      <c r="EJ38" s="100"/>
      <c r="EK38" s="100"/>
      <c r="EL38" s="100"/>
      <c r="EM38" s="100"/>
      <c r="EN38" s="100"/>
      <c r="EO38" s="100"/>
      <c r="EP38" s="100"/>
      <c r="EQ38" s="100"/>
      <c r="ER38" s="100"/>
      <c r="ES38" s="100"/>
      <c r="ET38" s="100"/>
      <c r="EU38" s="100"/>
      <c r="EV38" s="100"/>
      <c r="EW38" s="100"/>
      <c r="EX38" s="100"/>
      <c r="EY38" s="100"/>
      <c r="EZ38" s="100"/>
      <c r="FA38" s="100"/>
      <c r="FB38" s="100"/>
      <c r="FC38" s="100"/>
      <c r="FD38" s="100"/>
      <c r="FE38" s="100"/>
      <c r="FF38" s="100"/>
      <c r="FG38" s="100"/>
      <c r="FH38" s="100"/>
      <c r="FI38" s="100"/>
      <c r="FJ38" s="100"/>
      <c r="FK38" s="100"/>
      <c r="FL38" s="100"/>
      <c r="FM38" s="100"/>
      <c r="FN38" s="100"/>
      <c r="FO38" s="100"/>
      <c r="FP38" s="100"/>
      <c r="FQ38" s="100"/>
      <c r="FR38" s="100"/>
      <c r="FS38" s="100"/>
      <c r="FT38" s="100"/>
      <c r="FU38" s="100"/>
      <c r="FV38" s="100"/>
      <c r="FW38" s="100"/>
      <c r="FX38" s="100"/>
      <c r="FY38" s="100"/>
      <c r="FZ38" s="100"/>
      <c r="GA38" s="100"/>
      <c r="GB38" s="100"/>
      <c r="GC38" s="100"/>
      <c r="GD38" s="100"/>
      <c r="GE38" s="100"/>
      <c r="GF38" s="100"/>
      <c r="GG38" s="100"/>
      <c r="GH38" s="100"/>
      <c r="GI38" s="100"/>
      <c r="GJ38" s="100"/>
      <c r="GK38" s="100"/>
      <c r="GL38" s="100"/>
      <c r="GM38" s="100"/>
      <c r="GN38" s="100"/>
      <c r="GO38" s="100"/>
      <c r="GP38" s="100"/>
      <c r="GQ38" s="100"/>
      <c r="GR38" s="100"/>
      <c r="GS38" s="100"/>
      <c r="GT38" s="100"/>
      <c r="GU38" s="100"/>
      <c r="GV38" s="100"/>
      <c r="GW38" s="100"/>
      <c r="GX38" s="100"/>
      <c r="GY38" s="100"/>
      <c r="GZ38" s="100"/>
      <c r="HA38" s="100"/>
      <c r="HB38" s="100"/>
      <c r="HC38" s="100"/>
      <c r="HD38" s="100"/>
      <c r="HE38" s="100"/>
      <c r="HF38" s="100"/>
      <c r="HG38" s="100"/>
      <c r="HH38" s="100"/>
      <c r="HI38" s="100"/>
      <c r="HJ38" s="100"/>
      <c r="HK38" s="100"/>
      <c r="HL38" s="100"/>
      <c r="HM38" s="100"/>
      <c r="HN38" s="100"/>
      <c r="HO38" s="100"/>
      <c r="HP38" s="100"/>
      <c r="HQ38" s="100"/>
      <c r="HR38" s="100"/>
      <c r="HS38" s="100"/>
      <c r="HT38" s="100"/>
      <c r="HU38" s="100"/>
      <c r="HV38" s="100"/>
      <c r="HW38" s="100"/>
      <c r="HX38" s="100"/>
      <c r="HY38" s="100"/>
      <c r="HZ38" s="100"/>
      <c r="IA38" s="100"/>
      <c r="IB38" s="100"/>
      <c r="IC38" s="100"/>
      <c r="ID38" s="100"/>
      <c r="IE38" s="100"/>
      <c r="IF38" s="100"/>
      <c r="IG38" s="100"/>
      <c r="IH38" s="100"/>
      <c r="II38" s="100"/>
      <c r="IJ38" s="100"/>
      <c r="IK38" s="100"/>
      <c r="IL38" s="100"/>
      <c r="IM38" s="100"/>
      <c r="IN38" s="100"/>
      <c r="IO38" s="100"/>
      <c r="IP38" s="100"/>
      <c r="IQ38" s="100"/>
      <c r="IR38" s="100"/>
      <c r="IS38" s="100"/>
      <c r="IT38" s="100"/>
      <c r="IU38" s="100"/>
      <c r="IV38" s="100"/>
      <c r="IW38" s="100"/>
      <c r="IX38" s="100"/>
      <c r="IY38" s="100"/>
      <c r="IZ38" s="100"/>
      <c r="JA38" s="100"/>
      <c r="JB38" s="100"/>
      <c r="JC38" s="100"/>
      <c r="JD38" s="100"/>
      <c r="JE38" s="100"/>
      <c r="JF38" s="100"/>
      <c r="JG38" s="100"/>
      <c r="JH38" s="100"/>
      <c r="JI38" s="100"/>
      <c r="JJ38" s="100"/>
      <c r="JK38" s="100"/>
      <c r="JL38" s="100"/>
      <c r="JM38" s="100"/>
      <c r="JN38" s="100"/>
      <c r="JO38" s="100"/>
      <c r="JP38" s="100"/>
      <c r="JQ38" s="100"/>
      <c r="JR38" s="100"/>
      <c r="JS38" s="100"/>
      <c r="JT38" s="100"/>
      <c r="JU38" s="100"/>
      <c r="JV38" s="100"/>
      <c r="JW38" s="100"/>
      <c r="JX38" s="100"/>
      <c r="JY38" s="100"/>
      <c r="JZ38" s="100"/>
      <c r="KA38" s="100"/>
      <c r="KB38" s="100"/>
      <c r="KC38" s="100"/>
      <c r="KD38" s="100"/>
      <c r="KE38" s="100"/>
      <c r="KF38" s="100"/>
      <c r="KG38" s="100"/>
      <c r="KH38" s="100"/>
      <c r="KI38" s="100"/>
      <c r="KJ38" s="100"/>
      <c r="KK38" s="100"/>
      <c r="KL38" s="100"/>
      <c r="KM38" s="100"/>
      <c r="KN38" s="100"/>
      <c r="KO38" s="100"/>
      <c r="KP38" s="100"/>
      <c r="KQ38" s="100"/>
      <c r="KR38" s="100"/>
      <c r="KS38" s="100"/>
      <c r="KT38" s="100"/>
      <c r="KU38" s="100"/>
      <c r="KV38" s="100"/>
      <c r="KW38" s="100"/>
      <c r="KX38" s="100"/>
      <c r="KY38" s="100"/>
      <c r="KZ38" s="100"/>
      <c r="LA38" s="100"/>
      <c r="LB38" s="100"/>
      <c r="LC38" s="100"/>
      <c r="LD38" s="100"/>
      <c r="LE38" s="100"/>
      <c r="LF38" s="100"/>
      <c r="LG38" s="100"/>
      <c r="LH38" s="100"/>
      <c r="LI38" s="100"/>
      <c r="LJ38" s="100"/>
      <c r="LK38" s="100"/>
      <c r="LL38" s="100"/>
      <c r="LM38" s="100"/>
      <c r="LN38" s="100"/>
      <c r="LO38" s="100"/>
      <c r="LP38" s="100"/>
      <c r="LQ38" s="100"/>
      <c r="LR38" s="100"/>
      <c r="LS38" s="100"/>
      <c r="LT38" s="100"/>
      <c r="LU38" s="100"/>
      <c r="LV38" s="100"/>
      <c r="LW38" s="100"/>
      <c r="LX38" s="100"/>
      <c r="LY38" s="100"/>
      <c r="LZ38" s="100"/>
      <c r="MA38" s="100"/>
      <c r="MB38" s="100"/>
      <c r="MC38" s="100"/>
      <c r="MD38" s="100"/>
      <c r="ME38" s="100"/>
      <c r="MF38" s="100"/>
      <c r="MG38" s="100"/>
      <c r="MH38" s="100"/>
      <c r="MI38" s="100"/>
      <c r="MJ38" s="100"/>
      <c r="MK38" s="100"/>
      <c r="ML38" s="100"/>
      <c r="MM38" s="100"/>
      <c r="MN38" s="100"/>
      <c r="MO38" s="100"/>
      <c r="MP38" s="100"/>
      <c r="MQ38" s="100"/>
      <c r="MR38" s="100"/>
      <c r="MS38" s="100"/>
      <c r="MT38" s="100"/>
      <c r="MU38" s="100"/>
      <c r="MV38" s="100"/>
      <c r="MW38" s="100"/>
      <c r="MX38" s="100"/>
      <c r="MY38" s="100"/>
      <c r="MZ38" s="100"/>
      <c r="NA38" s="100"/>
      <c r="NB38" s="100"/>
      <c r="NC38" s="100"/>
      <c r="ND38" s="100"/>
      <c r="NE38" s="100"/>
      <c r="NF38" s="100"/>
      <c r="NG38" s="100"/>
      <c r="NH38" s="100"/>
      <c r="NI38" s="100"/>
      <c r="NJ38" s="100"/>
      <c r="NK38" s="100"/>
      <c r="NL38" s="100"/>
      <c r="NM38" s="100"/>
      <c r="NN38" s="100"/>
      <c r="NO38" s="100"/>
      <c r="NP38" s="100"/>
      <c r="NQ38" s="100"/>
      <c r="NR38" s="100"/>
      <c r="NS38" s="100"/>
      <c r="NT38" s="100"/>
      <c r="NU38" s="100"/>
      <c r="NV38" s="100"/>
      <c r="NW38" s="100"/>
      <c r="NX38" s="100"/>
      <c r="NY38" s="100"/>
      <c r="NZ38" s="100"/>
      <c r="OA38" s="100"/>
      <c r="OB38" s="100"/>
      <c r="OC38" s="100"/>
      <c r="OD38" s="100"/>
      <c r="OE38" s="100"/>
      <c r="OF38" s="100"/>
      <c r="OG38" s="100"/>
      <c r="OH38" s="100"/>
      <c r="OI38" s="100"/>
      <c r="OJ38" s="100"/>
      <c r="OK38" s="100"/>
      <c r="OL38" s="100"/>
      <c r="OM38" s="100"/>
      <c r="ON38" s="100"/>
      <c r="OO38" s="100"/>
      <c r="OP38" s="100"/>
      <c r="OQ38" s="100"/>
      <c r="OR38" s="100"/>
      <c r="OS38" s="100"/>
      <c r="OT38" s="100"/>
      <c r="OU38" s="100"/>
      <c r="OV38" s="100"/>
      <c r="OW38" s="100"/>
      <c r="OX38" s="100"/>
      <c r="OY38" s="100"/>
      <c r="OZ38" s="100"/>
      <c r="PA38" s="100"/>
      <c r="PB38" s="100"/>
      <c r="PC38" s="100"/>
      <c r="PD38" s="100"/>
      <c r="PE38" s="100"/>
      <c r="PF38" s="100"/>
      <c r="PG38" s="100"/>
      <c r="PH38" s="100"/>
      <c r="PI38" s="100"/>
      <c r="PJ38" s="100"/>
      <c r="PK38" s="100"/>
      <c r="PL38" s="100"/>
      <c r="PM38" s="100"/>
      <c r="PN38" s="100"/>
      <c r="PO38" s="100"/>
      <c r="PP38" s="100"/>
      <c r="PQ38" s="100"/>
      <c r="PR38" s="100"/>
      <c r="PS38" s="100"/>
      <c r="PT38" s="100"/>
      <c r="PU38" s="100"/>
      <c r="PV38" s="100"/>
      <c r="PW38" s="100"/>
      <c r="PX38" s="100"/>
      <c r="PY38" s="100"/>
      <c r="PZ38" s="100"/>
      <c r="QA38" s="100"/>
      <c r="QB38" s="100"/>
      <c r="QC38" s="100"/>
      <c r="QD38" s="100"/>
      <c r="QE38" s="100"/>
      <c r="QF38" s="100"/>
      <c r="QG38" s="100"/>
      <c r="QH38" s="100"/>
      <c r="QI38" s="100"/>
      <c r="QJ38" s="100"/>
      <c r="QK38" s="100"/>
      <c r="QL38" s="100"/>
      <c r="QM38" s="100"/>
      <c r="QN38" s="100"/>
      <c r="QO38" s="100"/>
      <c r="QP38" s="100"/>
      <c r="QQ38" s="100"/>
      <c r="QR38" s="100"/>
      <c r="QS38" s="100"/>
      <c r="QT38" s="100"/>
      <c r="QU38" s="100"/>
      <c r="QV38" s="100"/>
      <c r="QW38" s="100"/>
      <c r="QX38" s="100"/>
      <c r="QY38" s="100"/>
      <c r="QZ38" s="23">
        <f t="shared" si="3"/>
        <v>20</v>
      </c>
      <c r="RA38" s="47" t="s">
        <v>36</v>
      </c>
      <c r="RB38" s="97">
        <v>1299.96</v>
      </c>
      <c r="RC38" s="63">
        <f>RF38</f>
        <v>1299.96</v>
      </c>
      <c r="RD38" s="63">
        <v>866</v>
      </c>
      <c r="RE38" s="97">
        <f t="shared" si="4"/>
        <v>0</v>
      </c>
      <c r="RF38" s="107">
        <f>0.31+1299.65</f>
        <v>1299.96</v>
      </c>
      <c r="RG38" s="107"/>
      <c r="RH38" s="83">
        <f t="shared" si="5"/>
        <v>1.501108545034642</v>
      </c>
      <c r="RI38" s="116" t="s">
        <v>527</v>
      </c>
    </row>
    <row r="39" spans="1:477" s="5" customFormat="1" ht="12.75" customHeight="1" x14ac:dyDescent="0.2">
      <c r="A39" s="48">
        <v>44957</v>
      </c>
      <c r="B39" s="90" t="s">
        <v>335</v>
      </c>
      <c r="C39" s="98"/>
      <c r="D39" s="98"/>
      <c r="E39" s="99"/>
      <c r="F39" s="99"/>
      <c r="G39" s="99"/>
      <c r="H39" s="99"/>
      <c r="I39" s="99"/>
      <c r="J39" s="99"/>
      <c r="K39" s="99"/>
      <c r="L39" s="99"/>
      <c r="M39" s="99"/>
      <c r="N39" s="100"/>
      <c r="O39" s="100"/>
      <c r="P39" s="100"/>
      <c r="Q39" s="100">
        <v>1</v>
      </c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00"/>
      <c r="BQ39" s="100"/>
      <c r="BR39" s="100"/>
      <c r="BS39" s="100"/>
      <c r="BT39" s="100"/>
      <c r="BU39" s="100"/>
      <c r="BV39" s="100"/>
      <c r="BW39" s="100"/>
      <c r="BX39" s="100"/>
      <c r="BY39" s="100"/>
      <c r="BZ39" s="100"/>
      <c r="CA39" s="100"/>
      <c r="CB39" s="100"/>
      <c r="CC39" s="100"/>
      <c r="CD39" s="100"/>
      <c r="CE39" s="100"/>
      <c r="CF39" s="100"/>
      <c r="CG39" s="100"/>
      <c r="CH39" s="100"/>
      <c r="CI39" s="100"/>
      <c r="CJ39" s="100"/>
      <c r="CK39" s="100"/>
      <c r="CL39" s="100"/>
      <c r="CM39" s="100"/>
      <c r="CN39" s="100"/>
      <c r="CO39" s="100"/>
      <c r="CP39" s="100"/>
      <c r="CQ39" s="100"/>
      <c r="CR39" s="100"/>
      <c r="CS39" s="100"/>
      <c r="CT39" s="100"/>
      <c r="CU39" s="100"/>
      <c r="CV39" s="100"/>
      <c r="CW39" s="100"/>
      <c r="CX39" s="100"/>
      <c r="CY39" s="100"/>
      <c r="CZ39" s="100"/>
      <c r="DA39" s="100"/>
      <c r="DB39" s="100"/>
      <c r="DC39" s="100"/>
      <c r="DD39" s="100"/>
      <c r="DE39" s="100"/>
      <c r="DF39" s="100"/>
      <c r="DG39" s="100"/>
      <c r="DH39" s="100"/>
      <c r="DI39" s="100"/>
      <c r="DJ39" s="100"/>
      <c r="DK39" s="100"/>
      <c r="DL39" s="100"/>
      <c r="DM39" s="100"/>
      <c r="DN39" s="100"/>
      <c r="DO39" s="100"/>
      <c r="DP39" s="100"/>
      <c r="DQ39" s="100"/>
      <c r="DR39" s="100"/>
      <c r="DS39" s="100"/>
      <c r="DT39" s="100"/>
      <c r="DU39" s="100"/>
      <c r="DV39" s="100"/>
      <c r="DW39" s="100"/>
      <c r="DX39" s="100"/>
      <c r="DY39" s="100"/>
      <c r="DZ39" s="100"/>
      <c r="EA39" s="100"/>
      <c r="EB39" s="100"/>
      <c r="EC39" s="100"/>
      <c r="ED39" s="100"/>
      <c r="EE39" s="100"/>
      <c r="EF39" s="100"/>
      <c r="EG39" s="100"/>
      <c r="EH39" s="100"/>
      <c r="EI39" s="100"/>
      <c r="EJ39" s="100"/>
      <c r="EK39" s="100"/>
      <c r="EL39" s="100"/>
      <c r="EM39" s="100"/>
      <c r="EN39" s="100"/>
      <c r="EO39" s="100"/>
      <c r="EP39" s="100"/>
      <c r="EQ39" s="100"/>
      <c r="ER39" s="100"/>
      <c r="ES39" s="100"/>
      <c r="ET39" s="100"/>
      <c r="EU39" s="100"/>
      <c r="EV39" s="100"/>
      <c r="EW39" s="100"/>
      <c r="EX39" s="100"/>
      <c r="EY39" s="100"/>
      <c r="EZ39" s="100"/>
      <c r="FA39" s="100"/>
      <c r="FB39" s="100"/>
      <c r="FC39" s="100"/>
      <c r="FD39" s="100"/>
      <c r="FE39" s="100"/>
      <c r="FF39" s="100"/>
      <c r="FG39" s="100"/>
      <c r="FH39" s="100"/>
      <c r="FI39" s="100"/>
      <c r="FJ39" s="100"/>
      <c r="FK39" s="100"/>
      <c r="FL39" s="100"/>
      <c r="FM39" s="100"/>
      <c r="FN39" s="100"/>
      <c r="FO39" s="100"/>
      <c r="FP39" s="100"/>
      <c r="FQ39" s="100"/>
      <c r="FR39" s="100"/>
      <c r="FS39" s="100"/>
      <c r="FT39" s="100"/>
      <c r="FU39" s="100"/>
      <c r="FV39" s="100"/>
      <c r="FW39" s="100"/>
      <c r="FX39" s="100"/>
      <c r="FY39" s="100"/>
      <c r="FZ39" s="100"/>
      <c r="GA39" s="100"/>
      <c r="GB39" s="100"/>
      <c r="GC39" s="100"/>
      <c r="GD39" s="100"/>
      <c r="GE39" s="100"/>
      <c r="GF39" s="100"/>
      <c r="GG39" s="100"/>
      <c r="GH39" s="100"/>
      <c r="GI39" s="100"/>
      <c r="GJ39" s="100"/>
      <c r="GK39" s="100"/>
      <c r="GL39" s="100"/>
      <c r="GM39" s="100"/>
      <c r="GN39" s="100"/>
      <c r="GO39" s="100"/>
      <c r="GP39" s="100"/>
      <c r="GQ39" s="100"/>
      <c r="GR39" s="100"/>
      <c r="GS39" s="100"/>
      <c r="GT39" s="100"/>
      <c r="GU39" s="100"/>
      <c r="GV39" s="100"/>
      <c r="GW39" s="100"/>
      <c r="GX39" s="100"/>
      <c r="GY39" s="100"/>
      <c r="GZ39" s="100"/>
      <c r="HA39" s="100"/>
      <c r="HB39" s="100"/>
      <c r="HC39" s="100"/>
      <c r="HD39" s="100"/>
      <c r="HE39" s="100"/>
      <c r="HF39" s="100"/>
      <c r="HG39" s="100"/>
      <c r="HH39" s="100"/>
      <c r="HI39" s="100"/>
      <c r="HJ39" s="100"/>
      <c r="HK39" s="100"/>
      <c r="HL39" s="100"/>
      <c r="HM39" s="100"/>
      <c r="HN39" s="100"/>
      <c r="HO39" s="100"/>
      <c r="HP39" s="100"/>
      <c r="HQ39" s="100"/>
      <c r="HR39" s="100"/>
      <c r="HS39" s="100"/>
      <c r="HT39" s="100"/>
      <c r="HU39" s="100"/>
      <c r="HV39" s="100"/>
      <c r="HW39" s="100"/>
      <c r="HX39" s="100"/>
      <c r="HY39" s="100"/>
      <c r="HZ39" s="100"/>
      <c r="IA39" s="100"/>
      <c r="IB39" s="100"/>
      <c r="IC39" s="100"/>
      <c r="ID39" s="100"/>
      <c r="IE39" s="100"/>
      <c r="IF39" s="100"/>
      <c r="IG39" s="100"/>
      <c r="IH39" s="100"/>
      <c r="II39" s="100"/>
      <c r="IJ39" s="100"/>
      <c r="IK39" s="100"/>
      <c r="IL39" s="100"/>
      <c r="IM39" s="100"/>
      <c r="IN39" s="100"/>
      <c r="IO39" s="100"/>
      <c r="IP39" s="100"/>
      <c r="IQ39" s="100"/>
      <c r="IR39" s="100"/>
      <c r="IS39" s="100"/>
      <c r="IT39" s="100"/>
      <c r="IU39" s="100"/>
      <c r="IV39" s="100"/>
      <c r="IW39" s="100"/>
      <c r="IX39" s="100"/>
      <c r="IY39" s="100"/>
      <c r="IZ39" s="100"/>
      <c r="JA39" s="100"/>
      <c r="JB39" s="100"/>
      <c r="JC39" s="100"/>
      <c r="JD39" s="100"/>
      <c r="JE39" s="100"/>
      <c r="JF39" s="100"/>
      <c r="JG39" s="100"/>
      <c r="JH39" s="100"/>
      <c r="JI39" s="100"/>
      <c r="JJ39" s="100"/>
      <c r="JK39" s="100"/>
      <c r="JL39" s="100"/>
      <c r="JM39" s="100"/>
      <c r="JN39" s="100"/>
      <c r="JO39" s="100"/>
      <c r="JP39" s="100"/>
      <c r="JQ39" s="100"/>
      <c r="JR39" s="100"/>
      <c r="JS39" s="100"/>
      <c r="JT39" s="100"/>
      <c r="JU39" s="100"/>
      <c r="JV39" s="100"/>
      <c r="JW39" s="100"/>
      <c r="JX39" s="100"/>
      <c r="JY39" s="100"/>
      <c r="JZ39" s="100"/>
      <c r="KA39" s="100"/>
      <c r="KB39" s="100"/>
      <c r="KC39" s="100"/>
      <c r="KD39" s="100"/>
      <c r="KE39" s="100"/>
      <c r="KF39" s="100"/>
      <c r="KG39" s="100"/>
      <c r="KH39" s="100"/>
      <c r="KI39" s="100"/>
      <c r="KJ39" s="100"/>
      <c r="KK39" s="100"/>
      <c r="KL39" s="100"/>
      <c r="KM39" s="100"/>
      <c r="KN39" s="100"/>
      <c r="KO39" s="100"/>
      <c r="KP39" s="100"/>
      <c r="KQ39" s="100"/>
      <c r="KR39" s="100"/>
      <c r="KS39" s="100"/>
      <c r="KT39" s="100"/>
      <c r="KU39" s="100"/>
      <c r="KV39" s="100"/>
      <c r="KW39" s="100"/>
      <c r="KX39" s="100"/>
      <c r="KY39" s="100"/>
      <c r="KZ39" s="100"/>
      <c r="LA39" s="100"/>
      <c r="LB39" s="100"/>
      <c r="LC39" s="100"/>
      <c r="LD39" s="100"/>
      <c r="LE39" s="100"/>
      <c r="LF39" s="100"/>
      <c r="LG39" s="100"/>
      <c r="LH39" s="100"/>
      <c r="LI39" s="100"/>
      <c r="LJ39" s="100"/>
      <c r="LK39" s="100"/>
      <c r="LL39" s="100"/>
      <c r="LM39" s="100"/>
      <c r="LN39" s="100"/>
      <c r="LO39" s="100"/>
      <c r="LP39" s="100"/>
      <c r="LQ39" s="100"/>
      <c r="LR39" s="100"/>
      <c r="LS39" s="100"/>
      <c r="LT39" s="100"/>
      <c r="LU39" s="100"/>
      <c r="LV39" s="100"/>
      <c r="LW39" s="100"/>
      <c r="LX39" s="100"/>
      <c r="LY39" s="100"/>
      <c r="LZ39" s="100"/>
      <c r="MA39" s="100"/>
      <c r="MB39" s="100"/>
      <c r="MC39" s="100"/>
      <c r="MD39" s="100"/>
      <c r="ME39" s="100"/>
      <c r="MF39" s="100"/>
      <c r="MG39" s="100"/>
      <c r="MH39" s="100"/>
      <c r="MI39" s="100"/>
      <c r="MJ39" s="100"/>
      <c r="MK39" s="100"/>
      <c r="ML39" s="100"/>
      <c r="MM39" s="100"/>
      <c r="MN39" s="100"/>
      <c r="MO39" s="100"/>
      <c r="MP39" s="100"/>
      <c r="MQ39" s="100"/>
      <c r="MR39" s="100"/>
      <c r="MS39" s="100"/>
      <c r="MT39" s="100"/>
      <c r="MU39" s="100"/>
      <c r="MV39" s="100"/>
      <c r="MW39" s="100"/>
      <c r="MX39" s="100"/>
      <c r="MY39" s="100"/>
      <c r="MZ39" s="100"/>
      <c r="NA39" s="100"/>
      <c r="NB39" s="100"/>
      <c r="NC39" s="100"/>
      <c r="ND39" s="100"/>
      <c r="NE39" s="100"/>
      <c r="NF39" s="100"/>
      <c r="NG39" s="100"/>
      <c r="NH39" s="100"/>
      <c r="NI39" s="100"/>
      <c r="NJ39" s="100"/>
      <c r="NK39" s="100"/>
      <c r="NL39" s="100"/>
      <c r="NM39" s="100"/>
      <c r="NN39" s="100"/>
      <c r="NO39" s="100"/>
      <c r="NP39" s="100"/>
      <c r="NQ39" s="100"/>
      <c r="NR39" s="100"/>
      <c r="NS39" s="100"/>
      <c r="NT39" s="100"/>
      <c r="NU39" s="100"/>
      <c r="NV39" s="100"/>
      <c r="NW39" s="100"/>
      <c r="NX39" s="100"/>
      <c r="NY39" s="100"/>
      <c r="NZ39" s="100"/>
      <c r="OA39" s="100"/>
      <c r="OB39" s="100"/>
      <c r="OC39" s="100"/>
      <c r="OD39" s="100"/>
      <c r="OE39" s="100"/>
      <c r="OF39" s="100"/>
      <c r="OG39" s="100"/>
      <c r="OH39" s="100"/>
      <c r="OI39" s="100"/>
      <c r="OJ39" s="100"/>
      <c r="OK39" s="100"/>
      <c r="OL39" s="100"/>
      <c r="OM39" s="100"/>
      <c r="ON39" s="100"/>
      <c r="OO39" s="100"/>
      <c r="OP39" s="100"/>
      <c r="OQ39" s="100"/>
      <c r="OR39" s="100"/>
      <c r="OS39" s="100"/>
      <c r="OT39" s="100"/>
      <c r="OU39" s="100"/>
      <c r="OV39" s="100"/>
      <c r="OW39" s="100"/>
      <c r="OX39" s="100"/>
      <c r="OY39" s="100"/>
      <c r="OZ39" s="100"/>
      <c r="PA39" s="100"/>
      <c r="PB39" s="100"/>
      <c r="PC39" s="100"/>
      <c r="PD39" s="100"/>
      <c r="PE39" s="100"/>
      <c r="PF39" s="100"/>
      <c r="PG39" s="100"/>
      <c r="PH39" s="100"/>
      <c r="PI39" s="100"/>
      <c r="PJ39" s="100"/>
      <c r="PK39" s="100"/>
      <c r="PL39" s="100"/>
      <c r="PM39" s="100"/>
      <c r="PN39" s="100"/>
      <c r="PO39" s="100"/>
      <c r="PP39" s="100"/>
      <c r="PQ39" s="100"/>
      <c r="PR39" s="100"/>
      <c r="PS39" s="100"/>
      <c r="PT39" s="100"/>
      <c r="PU39" s="100"/>
      <c r="PV39" s="100"/>
      <c r="PW39" s="100"/>
      <c r="PX39" s="100"/>
      <c r="PY39" s="100"/>
      <c r="PZ39" s="100"/>
      <c r="QA39" s="100"/>
      <c r="QB39" s="100"/>
      <c r="QC39" s="100"/>
      <c r="QD39" s="100"/>
      <c r="QE39" s="100"/>
      <c r="QF39" s="100"/>
      <c r="QG39" s="100"/>
      <c r="QH39" s="100"/>
      <c r="QI39" s="100"/>
      <c r="QJ39" s="100"/>
      <c r="QK39" s="100"/>
      <c r="QL39" s="100"/>
      <c r="QM39" s="100"/>
      <c r="QN39" s="100"/>
      <c r="QO39" s="100"/>
      <c r="QP39" s="100"/>
      <c r="QQ39" s="100"/>
      <c r="QR39" s="100"/>
      <c r="QS39" s="100"/>
      <c r="QT39" s="100"/>
      <c r="QU39" s="100"/>
      <c r="QV39" s="100"/>
      <c r="QW39" s="100"/>
      <c r="QX39" s="100"/>
      <c r="QY39" s="100"/>
      <c r="QZ39" s="23">
        <f t="shared" si="3"/>
        <v>1</v>
      </c>
      <c r="RA39" s="47" t="s">
        <v>36</v>
      </c>
      <c r="RB39" s="97">
        <v>64.959999999999994</v>
      </c>
      <c r="RC39" s="63">
        <f t="shared" ref="RC39:RC48" si="6">RF39+RG39</f>
        <v>64.959999999999994</v>
      </c>
      <c r="RD39" s="63">
        <v>37.83</v>
      </c>
      <c r="RE39" s="97">
        <f t="shared" si="4"/>
        <v>0</v>
      </c>
      <c r="RF39" s="107"/>
      <c r="RG39" s="107">
        <v>64.959999999999994</v>
      </c>
      <c r="RH39" s="83">
        <f t="shared" si="5"/>
        <v>1.7171556965371397</v>
      </c>
      <c r="RI39" s="116" t="s">
        <v>559</v>
      </c>
    </row>
    <row r="40" spans="1:477" s="5" customFormat="1" ht="12.75" customHeight="1" x14ac:dyDescent="0.2">
      <c r="A40" s="48">
        <v>44957</v>
      </c>
      <c r="B40" s="90" t="s">
        <v>388</v>
      </c>
      <c r="C40" s="98"/>
      <c r="D40" s="98"/>
      <c r="E40" s="99"/>
      <c r="F40" s="99"/>
      <c r="G40" s="99"/>
      <c r="H40" s="99"/>
      <c r="I40" s="99"/>
      <c r="J40" s="99"/>
      <c r="K40" s="99"/>
      <c r="L40" s="99"/>
      <c r="M40" s="99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>
        <v>10</v>
      </c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>
        <v>10</v>
      </c>
      <c r="BH40" s="100"/>
      <c r="BI40" s="100"/>
      <c r="BJ40" s="100"/>
      <c r="BK40" s="100"/>
      <c r="BL40" s="100">
        <v>10</v>
      </c>
      <c r="BM40" s="100"/>
      <c r="BN40" s="100"/>
      <c r="BO40" s="100"/>
      <c r="BP40" s="100"/>
      <c r="BQ40" s="100"/>
      <c r="BR40" s="100"/>
      <c r="BS40" s="100"/>
      <c r="BT40" s="100"/>
      <c r="BU40" s="100"/>
      <c r="BV40" s="100"/>
      <c r="BW40" s="100"/>
      <c r="BX40" s="100"/>
      <c r="BY40" s="100"/>
      <c r="BZ40" s="100"/>
      <c r="CA40" s="100"/>
      <c r="CB40" s="100"/>
      <c r="CC40" s="100"/>
      <c r="CD40" s="100"/>
      <c r="CE40" s="100"/>
      <c r="CF40" s="100"/>
      <c r="CG40" s="100"/>
      <c r="CH40" s="100"/>
      <c r="CI40" s="100"/>
      <c r="CJ40" s="100"/>
      <c r="CK40" s="100"/>
      <c r="CL40" s="100"/>
      <c r="CM40" s="100"/>
      <c r="CN40" s="100"/>
      <c r="CO40" s="100"/>
      <c r="CP40" s="100"/>
      <c r="CQ40" s="100"/>
      <c r="CR40" s="100"/>
      <c r="CS40" s="100"/>
      <c r="CT40" s="100"/>
      <c r="CU40" s="100"/>
      <c r="CV40" s="100"/>
      <c r="CW40" s="100"/>
      <c r="CX40" s="100"/>
      <c r="CY40" s="100"/>
      <c r="CZ40" s="100"/>
      <c r="DA40" s="100"/>
      <c r="DB40" s="100"/>
      <c r="DC40" s="100"/>
      <c r="DD40" s="100"/>
      <c r="DE40" s="100"/>
      <c r="DF40" s="100"/>
      <c r="DG40" s="100"/>
      <c r="DH40" s="100"/>
      <c r="DI40" s="100"/>
      <c r="DJ40" s="100"/>
      <c r="DK40" s="100"/>
      <c r="DL40" s="100"/>
      <c r="DM40" s="100"/>
      <c r="DN40" s="100"/>
      <c r="DO40" s="100"/>
      <c r="DP40" s="100"/>
      <c r="DQ40" s="100"/>
      <c r="DR40" s="100"/>
      <c r="DS40" s="100"/>
      <c r="DT40" s="100"/>
      <c r="DU40" s="100"/>
      <c r="DV40" s="100"/>
      <c r="DW40" s="100"/>
      <c r="DX40" s="100"/>
      <c r="DY40" s="100"/>
      <c r="DZ40" s="100"/>
      <c r="EA40" s="100"/>
      <c r="EB40" s="100"/>
      <c r="EC40" s="100"/>
      <c r="ED40" s="100"/>
      <c r="EE40" s="100"/>
      <c r="EF40" s="100"/>
      <c r="EG40" s="100"/>
      <c r="EH40" s="100"/>
      <c r="EI40" s="100"/>
      <c r="EJ40" s="100"/>
      <c r="EK40" s="100"/>
      <c r="EL40" s="100"/>
      <c r="EM40" s="100"/>
      <c r="EN40" s="100"/>
      <c r="EO40" s="100"/>
      <c r="EP40" s="100"/>
      <c r="EQ40" s="100"/>
      <c r="ER40" s="100"/>
      <c r="ES40" s="100"/>
      <c r="ET40" s="100"/>
      <c r="EU40" s="100"/>
      <c r="EV40" s="100"/>
      <c r="EW40" s="100"/>
      <c r="EX40" s="100"/>
      <c r="EY40" s="100"/>
      <c r="EZ40" s="100"/>
      <c r="FA40" s="100"/>
      <c r="FB40" s="100"/>
      <c r="FC40" s="100"/>
      <c r="FD40" s="100"/>
      <c r="FE40" s="100"/>
      <c r="FF40" s="100"/>
      <c r="FG40" s="100"/>
      <c r="FH40" s="100"/>
      <c r="FI40" s="100"/>
      <c r="FJ40" s="100"/>
      <c r="FK40" s="100"/>
      <c r="FL40" s="100"/>
      <c r="FM40" s="100"/>
      <c r="FN40" s="100"/>
      <c r="FO40" s="100"/>
      <c r="FP40" s="100"/>
      <c r="FQ40" s="100"/>
      <c r="FR40" s="100"/>
      <c r="FS40" s="100"/>
      <c r="FT40" s="100"/>
      <c r="FU40" s="100"/>
      <c r="FV40" s="100"/>
      <c r="FW40" s="100"/>
      <c r="FX40" s="100"/>
      <c r="FY40" s="100"/>
      <c r="FZ40" s="100"/>
      <c r="GA40" s="100"/>
      <c r="GB40" s="100"/>
      <c r="GC40" s="100"/>
      <c r="GD40" s="100"/>
      <c r="GE40" s="100"/>
      <c r="GF40" s="100"/>
      <c r="GG40" s="100"/>
      <c r="GH40" s="100"/>
      <c r="GI40" s="100"/>
      <c r="GJ40" s="100"/>
      <c r="GK40" s="100"/>
      <c r="GL40" s="100"/>
      <c r="GM40" s="100"/>
      <c r="GN40" s="100"/>
      <c r="GO40" s="100"/>
      <c r="GP40" s="100"/>
      <c r="GQ40" s="100"/>
      <c r="GR40" s="100"/>
      <c r="GS40" s="100"/>
      <c r="GT40" s="100"/>
      <c r="GU40" s="100"/>
      <c r="GV40" s="100"/>
      <c r="GW40" s="100"/>
      <c r="GX40" s="100"/>
      <c r="GY40" s="100"/>
      <c r="GZ40" s="100"/>
      <c r="HA40" s="100"/>
      <c r="HB40" s="100"/>
      <c r="HC40" s="100"/>
      <c r="HD40" s="100"/>
      <c r="HE40" s="100"/>
      <c r="HF40" s="100"/>
      <c r="HG40" s="100"/>
      <c r="HH40" s="100"/>
      <c r="HI40" s="100"/>
      <c r="HJ40" s="100"/>
      <c r="HK40" s="100"/>
      <c r="HL40" s="100"/>
      <c r="HM40" s="100"/>
      <c r="HN40" s="100"/>
      <c r="HO40" s="100"/>
      <c r="HP40" s="100"/>
      <c r="HQ40" s="100"/>
      <c r="HR40" s="100"/>
      <c r="HS40" s="100"/>
      <c r="HT40" s="100"/>
      <c r="HU40" s="100"/>
      <c r="HV40" s="100"/>
      <c r="HW40" s="100"/>
      <c r="HX40" s="100"/>
      <c r="HY40" s="100"/>
      <c r="HZ40" s="100"/>
      <c r="IA40" s="100"/>
      <c r="IB40" s="100"/>
      <c r="IC40" s="100"/>
      <c r="ID40" s="100"/>
      <c r="IE40" s="100"/>
      <c r="IF40" s="100"/>
      <c r="IG40" s="100"/>
      <c r="IH40" s="100"/>
      <c r="II40" s="100"/>
      <c r="IJ40" s="100"/>
      <c r="IK40" s="100"/>
      <c r="IL40" s="100"/>
      <c r="IM40" s="100"/>
      <c r="IN40" s="100"/>
      <c r="IO40" s="100"/>
      <c r="IP40" s="100"/>
      <c r="IQ40" s="100"/>
      <c r="IR40" s="100"/>
      <c r="IS40" s="100"/>
      <c r="IT40" s="100"/>
      <c r="IU40" s="100"/>
      <c r="IV40" s="100"/>
      <c r="IW40" s="100"/>
      <c r="IX40" s="100"/>
      <c r="IY40" s="100"/>
      <c r="IZ40" s="100"/>
      <c r="JA40" s="100"/>
      <c r="JB40" s="100"/>
      <c r="JC40" s="100"/>
      <c r="JD40" s="100"/>
      <c r="JE40" s="100"/>
      <c r="JF40" s="100"/>
      <c r="JG40" s="100"/>
      <c r="JH40" s="100"/>
      <c r="JI40" s="100"/>
      <c r="JJ40" s="100"/>
      <c r="JK40" s="100"/>
      <c r="JL40" s="100"/>
      <c r="JM40" s="100"/>
      <c r="JN40" s="100"/>
      <c r="JO40" s="100"/>
      <c r="JP40" s="100"/>
      <c r="JQ40" s="100"/>
      <c r="JR40" s="100"/>
      <c r="JS40" s="100"/>
      <c r="JT40" s="100"/>
      <c r="JU40" s="100"/>
      <c r="JV40" s="100"/>
      <c r="JW40" s="100"/>
      <c r="JX40" s="100"/>
      <c r="JY40" s="100"/>
      <c r="JZ40" s="100"/>
      <c r="KA40" s="100"/>
      <c r="KB40" s="100"/>
      <c r="KC40" s="100"/>
      <c r="KD40" s="100"/>
      <c r="KE40" s="100"/>
      <c r="KF40" s="100"/>
      <c r="KG40" s="100"/>
      <c r="KH40" s="100"/>
      <c r="KI40" s="100"/>
      <c r="KJ40" s="100"/>
      <c r="KK40" s="100"/>
      <c r="KL40" s="100"/>
      <c r="KM40" s="100"/>
      <c r="KN40" s="100"/>
      <c r="KO40" s="100"/>
      <c r="KP40" s="100"/>
      <c r="KQ40" s="100"/>
      <c r="KR40" s="100"/>
      <c r="KS40" s="100"/>
      <c r="KT40" s="100"/>
      <c r="KU40" s="100"/>
      <c r="KV40" s="100"/>
      <c r="KW40" s="100"/>
      <c r="KX40" s="100"/>
      <c r="KY40" s="100"/>
      <c r="KZ40" s="100"/>
      <c r="LA40" s="100"/>
      <c r="LB40" s="100"/>
      <c r="LC40" s="100"/>
      <c r="LD40" s="100"/>
      <c r="LE40" s="100"/>
      <c r="LF40" s="100"/>
      <c r="LG40" s="100"/>
      <c r="LH40" s="100"/>
      <c r="LI40" s="100"/>
      <c r="LJ40" s="100"/>
      <c r="LK40" s="100"/>
      <c r="LL40" s="100"/>
      <c r="LM40" s="100"/>
      <c r="LN40" s="100"/>
      <c r="LO40" s="100"/>
      <c r="LP40" s="100"/>
      <c r="LQ40" s="100"/>
      <c r="LR40" s="100"/>
      <c r="LS40" s="100"/>
      <c r="LT40" s="100"/>
      <c r="LU40" s="100"/>
      <c r="LV40" s="100"/>
      <c r="LW40" s="100"/>
      <c r="LX40" s="100"/>
      <c r="LY40" s="100"/>
      <c r="LZ40" s="100"/>
      <c r="MA40" s="100"/>
      <c r="MB40" s="100"/>
      <c r="MC40" s="100"/>
      <c r="MD40" s="100"/>
      <c r="ME40" s="100"/>
      <c r="MF40" s="100"/>
      <c r="MG40" s="100"/>
      <c r="MH40" s="100"/>
      <c r="MI40" s="100"/>
      <c r="MJ40" s="100"/>
      <c r="MK40" s="100"/>
      <c r="ML40" s="100"/>
      <c r="MM40" s="100"/>
      <c r="MN40" s="100"/>
      <c r="MO40" s="100"/>
      <c r="MP40" s="100"/>
      <c r="MQ40" s="100"/>
      <c r="MR40" s="100"/>
      <c r="MS40" s="100"/>
      <c r="MT40" s="100"/>
      <c r="MU40" s="100"/>
      <c r="MV40" s="100"/>
      <c r="MW40" s="100"/>
      <c r="MX40" s="100"/>
      <c r="MY40" s="100"/>
      <c r="MZ40" s="100"/>
      <c r="NA40" s="100"/>
      <c r="NB40" s="100"/>
      <c r="NC40" s="100"/>
      <c r="ND40" s="100"/>
      <c r="NE40" s="100"/>
      <c r="NF40" s="100"/>
      <c r="NG40" s="100"/>
      <c r="NH40" s="100"/>
      <c r="NI40" s="100"/>
      <c r="NJ40" s="100"/>
      <c r="NK40" s="100"/>
      <c r="NL40" s="100"/>
      <c r="NM40" s="100"/>
      <c r="NN40" s="100"/>
      <c r="NO40" s="100"/>
      <c r="NP40" s="100"/>
      <c r="NQ40" s="100"/>
      <c r="NR40" s="100"/>
      <c r="NS40" s="100"/>
      <c r="NT40" s="100"/>
      <c r="NU40" s="100"/>
      <c r="NV40" s="100"/>
      <c r="NW40" s="100"/>
      <c r="NX40" s="100"/>
      <c r="NY40" s="100"/>
      <c r="NZ40" s="100"/>
      <c r="OA40" s="100"/>
      <c r="OB40" s="100"/>
      <c r="OC40" s="100"/>
      <c r="OD40" s="100"/>
      <c r="OE40" s="100"/>
      <c r="OF40" s="100"/>
      <c r="OG40" s="100"/>
      <c r="OH40" s="100"/>
      <c r="OI40" s="100"/>
      <c r="OJ40" s="100"/>
      <c r="OK40" s="100"/>
      <c r="OL40" s="100"/>
      <c r="OM40" s="100"/>
      <c r="ON40" s="100"/>
      <c r="OO40" s="100"/>
      <c r="OP40" s="100"/>
      <c r="OQ40" s="100"/>
      <c r="OR40" s="100"/>
      <c r="OS40" s="100"/>
      <c r="OT40" s="100"/>
      <c r="OU40" s="100"/>
      <c r="OV40" s="100"/>
      <c r="OW40" s="100"/>
      <c r="OX40" s="100"/>
      <c r="OY40" s="100"/>
      <c r="OZ40" s="100"/>
      <c r="PA40" s="100"/>
      <c r="PB40" s="100"/>
      <c r="PC40" s="100"/>
      <c r="PD40" s="100"/>
      <c r="PE40" s="100"/>
      <c r="PF40" s="100"/>
      <c r="PG40" s="100"/>
      <c r="PH40" s="100"/>
      <c r="PI40" s="100"/>
      <c r="PJ40" s="100"/>
      <c r="PK40" s="100"/>
      <c r="PL40" s="100"/>
      <c r="PM40" s="100"/>
      <c r="PN40" s="100"/>
      <c r="PO40" s="100"/>
      <c r="PP40" s="100"/>
      <c r="PQ40" s="100"/>
      <c r="PR40" s="100"/>
      <c r="PS40" s="100"/>
      <c r="PT40" s="100"/>
      <c r="PU40" s="100"/>
      <c r="PV40" s="100"/>
      <c r="PW40" s="100"/>
      <c r="PX40" s="100"/>
      <c r="PY40" s="100"/>
      <c r="PZ40" s="100"/>
      <c r="QA40" s="100"/>
      <c r="QB40" s="100"/>
      <c r="QC40" s="100"/>
      <c r="QD40" s="100"/>
      <c r="QE40" s="100"/>
      <c r="QF40" s="100"/>
      <c r="QG40" s="100"/>
      <c r="QH40" s="100"/>
      <c r="QI40" s="100"/>
      <c r="QJ40" s="100"/>
      <c r="QK40" s="100"/>
      <c r="QL40" s="100"/>
      <c r="QM40" s="100"/>
      <c r="QN40" s="100"/>
      <c r="QO40" s="100"/>
      <c r="QP40" s="100"/>
      <c r="QQ40" s="100"/>
      <c r="QR40" s="100"/>
      <c r="QS40" s="100"/>
      <c r="QT40" s="100"/>
      <c r="QU40" s="100"/>
      <c r="QV40" s="100"/>
      <c r="QW40" s="100"/>
      <c r="QX40" s="100"/>
      <c r="QY40" s="100"/>
      <c r="QZ40" s="23">
        <f t="shared" si="3"/>
        <v>30</v>
      </c>
      <c r="RA40" s="47" t="s">
        <v>36</v>
      </c>
      <c r="RB40" s="97">
        <v>1327.56</v>
      </c>
      <c r="RC40" s="63">
        <f t="shared" si="6"/>
        <v>0</v>
      </c>
      <c r="RD40" s="63">
        <v>834.3</v>
      </c>
      <c r="RE40" s="97">
        <f t="shared" si="4"/>
        <v>1327.56</v>
      </c>
      <c r="RF40" s="107"/>
      <c r="RG40" s="107"/>
      <c r="RH40" s="83">
        <f t="shared" si="5"/>
        <v>1.5912261776339447</v>
      </c>
      <c r="RI40" s="116" t="s">
        <v>559</v>
      </c>
    </row>
    <row r="41" spans="1:477" s="5" customFormat="1" ht="12.75" customHeight="1" x14ac:dyDescent="0.2">
      <c r="A41" s="48">
        <v>44957</v>
      </c>
      <c r="B41" s="81" t="s">
        <v>556</v>
      </c>
      <c r="C41" s="98"/>
      <c r="D41" s="98"/>
      <c r="E41" s="99"/>
      <c r="F41" s="99"/>
      <c r="G41" s="99"/>
      <c r="H41" s="99"/>
      <c r="I41" s="99"/>
      <c r="J41" s="99"/>
      <c r="K41" s="99"/>
      <c r="L41" s="99"/>
      <c r="M41" s="99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00"/>
      <c r="BQ41" s="100"/>
      <c r="BR41" s="100"/>
      <c r="BS41" s="100"/>
      <c r="BT41" s="100"/>
      <c r="BU41" s="100"/>
      <c r="BV41" s="100"/>
      <c r="BW41" s="100"/>
      <c r="BX41" s="100"/>
      <c r="BY41" s="100"/>
      <c r="BZ41" s="100"/>
      <c r="CA41" s="100"/>
      <c r="CB41" s="100"/>
      <c r="CC41" s="100"/>
      <c r="CD41" s="100"/>
      <c r="CE41" s="100"/>
      <c r="CF41" s="100"/>
      <c r="CG41" s="100"/>
      <c r="CH41" s="100"/>
      <c r="CI41" s="100"/>
      <c r="CJ41" s="100"/>
      <c r="CK41" s="100"/>
      <c r="CL41" s="100"/>
      <c r="CM41" s="100"/>
      <c r="CN41" s="10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Y41" s="100"/>
      <c r="CZ41" s="100"/>
      <c r="DA41" s="100"/>
      <c r="DB41" s="100"/>
      <c r="DC41" s="100"/>
      <c r="DD41" s="100"/>
      <c r="DE41" s="100"/>
      <c r="DF41" s="100"/>
      <c r="DG41" s="100"/>
      <c r="DH41" s="100"/>
      <c r="DI41" s="100"/>
      <c r="DJ41" s="100"/>
      <c r="DK41" s="100"/>
      <c r="DL41" s="100"/>
      <c r="DM41" s="100"/>
      <c r="DN41" s="100"/>
      <c r="DO41" s="100"/>
      <c r="DP41" s="100"/>
      <c r="DQ41" s="100"/>
      <c r="DR41" s="100"/>
      <c r="DS41" s="100"/>
      <c r="DT41" s="100"/>
      <c r="DU41" s="100"/>
      <c r="DV41" s="100"/>
      <c r="DW41" s="100"/>
      <c r="DX41" s="100"/>
      <c r="DY41" s="100"/>
      <c r="DZ41" s="100"/>
      <c r="EA41" s="100"/>
      <c r="EB41" s="100"/>
      <c r="EC41" s="100"/>
      <c r="ED41" s="100"/>
      <c r="EE41" s="100"/>
      <c r="EF41" s="100"/>
      <c r="EG41" s="100"/>
      <c r="EH41" s="100"/>
      <c r="EI41" s="100"/>
      <c r="EJ41" s="100"/>
      <c r="EK41" s="100"/>
      <c r="EL41" s="100"/>
      <c r="EM41" s="100"/>
      <c r="EN41" s="100"/>
      <c r="EO41" s="100"/>
      <c r="EP41" s="100"/>
      <c r="EQ41" s="100"/>
      <c r="ER41" s="100"/>
      <c r="ES41" s="100"/>
      <c r="ET41" s="100"/>
      <c r="EU41" s="100"/>
      <c r="EV41" s="100"/>
      <c r="EW41" s="100"/>
      <c r="EX41" s="100"/>
      <c r="EY41" s="100"/>
      <c r="EZ41" s="100"/>
      <c r="FA41" s="100"/>
      <c r="FB41" s="100"/>
      <c r="FC41" s="100"/>
      <c r="FD41" s="100"/>
      <c r="FE41" s="100"/>
      <c r="FF41" s="100"/>
      <c r="FG41" s="100"/>
      <c r="FH41" s="100"/>
      <c r="FI41" s="100"/>
      <c r="FJ41" s="100"/>
      <c r="FK41" s="100"/>
      <c r="FL41" s="100"/>
      <c r="FM41" s="100"/>
      <c r="FN41" s="100"/>
      <c r="FO41" s="100"/>
      <c r="FP41" s="100"/>
      <c r="FQ41" s="100"/>
      <c r="FR41" s="100"/>
      <c r="FS41" s="100"/>
      <c r="FT41" s="100"/>
      <c r="FU41" s="100"/>
      <c r="FV41" s="100"/>
      <c r="FW41" s="100"/>
      <c r="FX41" s="100"/>
      <c r="FY41" s="100"/>
      <c r="FZ41" s="100"/>
      <c r="GA41" s="100"/>
      <c r="GB41" s="100"/>
      <c r="GC41" s="100"/>
      <c r="GD41" s="100"/>
      <c r="GE41" s="100"/>
      <c r="GF41" s="100"/>
      <c r="GG41" s="100"/>
      <c r="GH41" s="100"/>
      <c r="GI41" s="100"/>
      <c r="GJ41" s="100"/>
      <c r="GK41" s="100"/>
      <c r="GL41" s="100"/>
      <c r="GM41" s="100"/>
      <c r="GN41" s="100"/>
      <c r="GO41" s="100"/>
      <c r="GP41" s="100"/>
      <c r="GQ41" s="100"/>
      <c r="GR41" s="100"/>
      <c r="GS41" s="100"/>
      <c r="GT41" s="100"/>
      <c r="GU41" s="100"/>
      <c r="GV41" s="100"/>
      <c r="GW41" s="100"/>
      <c r="GX41" s="100"/>
      <c r="GY41" s="100"/>
      <c r="GZ41" s="100"/>
      <c r="HA41" s="100"/>
      <c r="HB41" s="100"/>
      <c r="HC41" s="100"/>
      <c r="HD41" s="100"/>
      <c r="HE41" s="100"/>
      <c r="HF41" s="100"/>
      <c r="HG41" s="100"/>
      <c r="HH41" s="100"/>
      <c r="HI41" s="100"/>
      <c r="HJ41" s="100"/>
      <c r="HK41" s="100"/>
      <c r="HL41" s="100"/>
      <c r="HM41" s="100"/>
      <c r="HN41" s="100"/>
      <c r="HO41" s="100"/>
      <c r="HP41" s="100"/>
      <c r="HQ41" s="100"/>
      <c r="HR41" s="100"/>
      <c r="HS41" s="100"/>
      <c r="HT41" s="100"/>
      <c r="HU41" s="100"/>
      <c r="HV41" s="100"/>
      <c r="HW41" s="100"/>
      <c r="HX41" s="100"/>
      <c r="HY41" s="100"/>
      <c r="HZ41" s="100"/>
      <c r="IA41" s="100"/>
      <c r="IB41" s="100"/>
      <c r="IC41" s="100"/>
      <c r="ID41" s="100"/>
      <c r="IE41" s="100"/>
      <c r="IF41" s="100"/>
      <c r="IG41" s="100"/>
      <c r="IH41" s="100"/>
      <c r="II41" s="100"/>
      <c r="IJ41" s="100"/>
      <c r="IK41" s="100"/>
      <c r="IL41" s="100"/>
      <c r="IM41" s="100"/>
      <c r="IN41" s="100"/>
      <c r="IO41" s="100"/>
      <c r="IP41" s="100"/>
      <c r="IQ41" s="100"/>
      <c r="IR41" s="100"/>
      <c r="IS41" s="100">
        <v>11</v>
      </c>
      <c r="IT41" s="100"/>
      <c r="IU41" s="100"/>
      <c r="IV41" s="100"/>
      <c r="IW41" s="100"/>
      <c r="IX41" s="100"/>
      <c r="IY41" s="100"/>
      <c r="IZ41" s="100"/>
      <c r="JA41" s="100"/>
      <c r="JB41" s="100"/>
      <c r="JC41" s="100"/>
      <c r="JD41" s="100"/>
      <c r="JE41" s="100"/>
      <c r="JF41" s="100"/>
      <c r="JG41" s="100"/>
      <c r="JH41" s="100"/>
      <c r="JI41" s="100"/>
      <c r="JJ41" s="100"/>
      <c r="JK41" s="100"/>
      <c r="JL41" s="100"/>
      <c r="JM41" s="100"/>
      <c r="JN41" s="100"/>
      <c r="JO41" s="100"/>
      <c r="JP41" s="100"/>
      <c r="JQ41" s="100"/>
      <c r="JR41" s="100"/>
      <c r="JS41" s="100"/>
      <c r="JT41" s="100"/>
      <c r="JU41" s="100"/>
      <c r="JV41" s="100"/>
      <c r="JW41" s="100"/>
      <c r="JX41" s="100"/>
      <c r="JY41" s="100"/>
      <c r="JZ41" s="100"/>
      <c r="KA41" s="100"/>
      <c r="KB41" s="100"/>
      <c r="KC41" s="100"/>
      <c r="KD41" s="100"/>
      <c r="KE41" s="100"/>
      <c r="KF41" s="100"/>
      <c r="KG41" s="100"/>
      <c r="KH41" s="100"/>
      <c r="KI41" s="100"/>
      <c r="KJ41" s="100"/>
      <c r="KK41" s="100"/>
      <c r="KL41" s="100"/>
      <c r="KM41" s="100"/>
      <c r="KN41" s="100"/>
      <c r="KO41" s="100"/>
      <c r="KP41" s="100"/>
      <c r="KQ41" s="100"/>
      <c r="KR41" s="100"/>
      <c r="KS41" s="100"/>
      <c r="KT41" s="100"/>
      <c r="KU41" s="100"/>
      <c r="KV41" s="100"/>
      <c r="KW41" s="100"/>
      <c r="KX41" s="100"/>
      <c r="KY41" s="100"/>
      <c r="KZ41" s="100"/>
      <c r="LA41" s="100"/>
      <c r="LB41" s="100"/>
      <c r="LC41" s="100"/>
      <c r="LD41" s="100"/>
      <c r="LE41" s="100"/>
      <c r="LF41" s="100"/>
      <c r="LG41" s="100"/>
      <c r="LH41" s="100"/>
      <c r="LI41" s="100"/>
      <c r="LJ41" s="100"/>
      <c r="LK41" s="100"/>
      <c r="LL41" s="100"/>
      <c r="LM41" s="100"/>
      <c r="LN41" s="100"/>
      <c r="LO41" s="100"/>
      <c r="LP41" s="100"/>
      <c r="LQ41" s="100"/>
      <c r="LR41" s="100"/>
      <c r="LS41" s="100"/>
      <c r="LT41" s="100"/>
      <c r="LU41" s="100"/>
      <c r="LV41" s="100"/>
      <c r="LW41" s="100"/>
      <c r="LX41" s="100"/>
      <c r="LY41" s="100"/>
      <c r="LZ41" s="100"/>
      <c r="MA41" s="100"/>
      <c r="MB41" s="100"/>
      <c r="MC41" s="100"/>
      <c r="MD41" s="100"/>
      <c r="ME41" s="100"/>
      <c r="MF41" s="100"/>
      <c r="MG41" s="100"/>
      <c r="MH41" s="100"/>
      <c r="MI41" s="100"/>
      <c r="MJ41" s="100"/>
      <c r="MK41" s="100"/>
      <c r="ML41" s="100"/>
      <c r="MM41" s="100"/>
      <c r="MN41" s="100"/>
      <c r="MO41" s="100"/>
      <c r="MP41" s="100"/>
      <c r="MQ41" s="100"/>
      <c r="MR41" s="100"/>
      <c r="MS41" s="100"/>
      <c r="MT41" s="100"/>
      <c r="MU41" s="100"/>
      <c r="MV41" s="100"/>
      <c r="MW41" s="100"/>
      <c r="MX41" s="100"/>
      <c r="MY41" s="100"/>
      <c r="MZ41" s="100"/>
      <c r="NA41" s="100"/>
      <c r="NB41" s="100"/>
      <c r="NC41" s="100"/>
      <c r="ND41" s="100"/>
      <c r="NE41" s="100"/>
      <c r="NF41" s="100"/>
      <c r="NG41" s="100"/>
      <c r="NH41" s="100"/>
      <c r="NI41" s="100"/>
      <c r="NJ41" s="100"/>
      <c r="NK41" s="100"/>
      <c r="NL41" s="100"/>
      <c r="NM41" s="100"/>
      <c r="NN41" s="100"/>
      <c r="NO41" s="100"/>
      <c r="NP41" s="100"/>
      <c r="NQ41" s="100"/>
      <c r="NR41" s="100"/>
      <c r="NS41" s="100"/>
      <c r="NT41" s="100"/>
      <c r="NU41" s="100"/>
      <c r="NV41" s="100"/>
      <c r="NW41" s="100"/>
      <c r="NX41" s="100"/>
      <c r="NY41" s="100"/>
      <c r="NZ41" s="100"/>
      <c r="OA41" s="100"/>
      <c r="OB41" s="100"/>
      <c r="OC41" s="100"/>
      <c r="OD41" s="100"/>
      <c r="OE41" s="100"/>
      <c r="OF41" s="100"/>
      <c r="OG41" s="100"/>
      <c r="OH41" s="100"/>
      <c r="OI41" s="100"/>
      <c r="OJ41" s="100"/>
      <c r="OK41" s="100"/>
      <c r="OL41" s="100"/>
      <c r="OM41" s="100"/>
      <c r="ON41" s="100"/>
      <c r="OO41" s="100"/>
      <c r="OP41" s="100"/>
      <c r="OQ41" s="100"/>
      <c r="OR41" s="100"/>
      <c r="OS41" s="100"/>
      <c r="OT41" s="100"/>
      <c r="OU41" s="100"/>
      <c r="OV41" s="100"/>
      <c r="OW41" s="100"/>
      <c r="OX41" s="100"/>
      <c r="OY41" s="100"/>
      <c r="OZ41" s="100"/>
      <c r="PA41" s="100"/>
      <c r="PB41" s="100"/>
      <c r="PC41" s="100"/>
      <c r="PD41" s="100"/>
      <c r="PE41" s="100"/>
      <c r="PF41" s="100"/>
      <c r="PG41" s="100"/>
      <c r="PH41" s="100"/>
      <c r="PI41" s="100"/>
      <c r="PJ41" s="100"/>
      <c r="PK41" s="100"/>
      <c r="PL41" s="100"/>
      <c r="PM41" s="100"/>
      <c r="PN41" s="100"/>
      <c r="PO41" s="100"/>
      <c r="PP41" s="100"/>
      <c r="PQ41" s="100"/>
      <c r="PR41" s="100"/>
      <c r="PS41" s="100"/>
      <c r="PT41" s="100"/>
      <c r="PU41" s="100"/>
      <c r="PV41" s="100"/>
      <c r="PW41" s="100"/>
      <c r="PX41" s="100"/>
      <c r="PY41" s="100"/>
      <c r="PZ41" s="100"/>
      <c r="QA41" s="100"/>
      <c r="QB41" s="100"/>
      <c r="QC41" s="100"/>
      <c r="QD41" s="100"/>
      <c r="QE41" s="100"/>
      <c r="QF41" s="100"/>
      <c r="QG41" s="100"/>
      <c r="QH41" s="100"/>
      <c r="QI41" s="100"/>
      <c r="QJ41" s="100"/>
      <c r="QK41" s="100"/>
      <c r="QL41" s="100"/>
      <c r="QM41" s="100"/>
      <c r="QN41" s="100"/>
      <c r="QO41" s="100"/>
      <c r="QP41" s="100"/>
      <c r="QQ41" s="100"/>
      <c r="QR41" s="100"/>
      <c r="QS41" s="100"/>
      <c r="QT41" s="100"/>
      <c r="QU41" s="100"/>
      <c r="QV41" s="100"/>
      <c r="QW41" s="100"/>
      <c r="QX41" s="100"/>
      <c r="QY41" s="100"/>
      <c r="QZ41" s="23">
        <f t="shared" si="3"/>
        <v>11</v>
      </c>
      <c r="RA41" s="47" t="s">
        <v>36</v>
      </c>
      <c r="RB41" s="97">
        <v>495</v>
      </c>
      <c r="RC41" s="63">
        <f t="shared" si="6"/>
        <v>495</v>
      </c>
      <c r="RD41" s="63">
        <v>316.90999999999997</v>
      </c>
      <c r="RE41" s="97">
        <f t="shared" si="4"/>
        <v>0</v>
      </c>
      <c r="RF41" s="107"/>
      <c r="RG41" s="107">
        <v>495</v>
      </c>
      <c r="RH41" s="83">
        <f t="shared" si="5"/>
        <v>1.5619576535925028</v>
      </c>
      <c r="RI41" s="116" t="s">
        <v>559</v>
      </c>
    </row>
    <row r="42" spans="1:477" s="5" customFormat="1" ht="12.75" customHeight="1" x14ac:dyDescent="0.2">
      <c r="A42" s="48">
        <v>44957</v>
      </c>
      <c r="B42" s="90" t="s">
        <v>55</v>
      </c>
      <c r="C42" s="98"/>
      <c r="D42" s="98"/>
      <c r="E42" s="99"/>
      <c r="F42" s="99"/>
      <c r="G42" s="99"/>
      <c r="H42" s="99"/>
      <c r="I42" s="99"/>
      <c r="J42" s="99"/>
      <c r="K42" s="99"/>
      <c r="L42" s="99"/>
      <c r="M42" s="99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00"/>
      <c r="BQ42" s="100"/>
      <c r="BR42" s="100"/>
      <c r="BS42" s="100"/>
      <c r="BT42" s="100"/>
      <c r="BU42" s="100"/>
      <c r="BV42" s="100"/>
      <c r="BW42" s="100"/>
      <c r="BX42" s="100"/>
      <c r="BY42" s="100"/>
      <c r="BZ42" s="100"/>
      <c r="CA42" s="100"/>
      <c r="CB42" s="100"/>
      <c r="CC42" s="100"/>
      <c r="CD42" s="100"/>
      <c r="CE42" s="100"/>
      <c r="CF42" s="100"/>
      <c r="CG42" s="100"/>
      <c r="CH42" s="100"/>
      <c r="CI42" s="100"/>
      <c r="CJ42" s="100"/>
      <c r="CK42" s="100"/>
      <c r="CL42" s="100"/>
      <c r="CM42" s="100"/>
      <c r="CN42" s="100"/>
      <c r="CO42" s="100"/>
      <c r="CP42" s="100"/>
      <c r="CQ42" s="100"/>
      <c r="CR42" s="100"/>
      <c r="CS42" s="100"/>
      <c r="CT42" s="100"/>
      <c r="CU42" s="100"/>
      <c r="CV42" s="100"/>
      <c r="CW42" s="100"/>
      <c r="CX42" s="100"/>
      <c r="CY42" s="100"/>
      <c r="CZ42" s="100"/>
      <c r="DA42" s="100"/>
      <c r="DB42" s="100"/>
      <c r="DC42" s="100"/>
      <c r="DD42" s="100"/>
      <c r="DE42" s="100"/>
      <c r="DF42" s="100"/>
      <c r="DG42" s="100"/>
      <c r="DH42" s="100"/>
      <c r="DI42" s="100"/>
      <c r="DJ42" s="100"/>
      <c r="DK42" s="100"/>
      <c r="DL42" s="100"/>
      <c r="DM42" s="100"/>
      <c r="DN42" s="100"/>
      <c r="DO42" s="100"/>
      <c r="DP42" s="100"/>
      <c r="DQ42" s="100"/>
      <c r="DR42" s="100"/>
      <c r="DS42" s="100"/>
      <c r="DT42" s="100"/>
      <c r="DU42" s="100"/>
      <c r="DV42" s="100"/>
      <c r="DW42" s="100"/>
      <c r="DX42" s="100"/>
      <c r="DY42" s="100"/>
      <c r="DZ42" s="100"/>
      <c r="EA42" s="100"/>
      <c r="EB42" s="100"/>
      <c r="EC42" s="100"/>
      <c r="ED42" s="100"/>
      <c r="EE42" s="100"/>
      <c r="EF42" s="100"/>
      <c r="EG42" s="100"/>
      <c r="EH42" s="100"/>
      <c r="EI42" s="100"/>
      <c r="EJ42" s="100"/>
      <c r="EK42" s="100"/>
      <c r="EL42" s="100"/>
      <c r="EM42" s="100"/>
      <c r="EN42" s="100"/>
      <c r="EO42" s="100"/>
      <c r="EP42" s="100"/>
      <c r="EQ42" s="100"/>
      <c r="ER42" s="100"/>
      <c r="ES42" s="100"/>
      <c r="ET42" s="100"/>
      <c r="EU42" s="100"/>
      <c r="EV42" s="100"/>
      <c r="EW42" s="100"/>
      <c r="EX42" s="100"/>
      <c r="EY42" s="100"/>
      <c r="EZ42" s="100"/>
      <c r="FA42" s="100"/>
      <c r="FB42" s="100"/>
      <c r="FC42" s="100"/>
      <c r="FD42" s="100"/>
      <c r="FE42" s="100"/>
      <c r="FF42" s="100"/>
      <c r="FG42" s="100"/>
      <c r="FH42" s="100"/>
      <c r="FI42" s="100"/>
      <c r="FJ42" s="100"/>
      <c r="FK42" s="100"/>
      <c r="FL42" s="100"/>
      <c r="FM42" s="100"/>
      <c r="FN42" s="100"/>
      <c r="FO42" s="100"/>
      <c r="FP42" s="100"/>
      <c r="FQ42" s="100"/>
      <c r="FR42" s="100"/>
      <c r="FS42" s="100"/>
      <c r="FT42" s="100"/>
      <c r="FU42" s="100"/>
      <c r="FV42" s="100"/>
      <c r="FW42" s="100">
        <v>10</v>
      </c>
      <c r="FX42" s="100"/>
      <c r="FY42" s="100"/>
      <c r="FZ42" s="100"/>
      <c r="GA42" s="100"/>
      <c r="GB42" s="100"/>
      <c r="GC42" s="100"/>
      <c r="GD42" s="100"/>
      <c r="GE42" s="100"/>
      <c r="GF42" s="100"/>
      <c r="GG42" s="100"/>
      <c r="GH42" s="100"/>
      <c r="GI42" s="100"/>
      <c r="GJ42" s="100"/>
      <c r="GK42" s="100"/>
      <c r="GL42" s="100"/>
      <c r="GM42" s="100"/>
      <c r="GN42" s="100"/>
      <c r="GO42" s="100"/>
      <c r="GP42" s="100"/>
      <c r="GQ42" s="100"/>
      <c r="GR42" s="100"/>
      <c r="GS42" s="100"/>
      <c r="GT42" s="100"/>
      <c r="GU42" s="100"/>
      <c r="GV42" s="100"/>
      <c r="GW42" s="100"/>
      <c r="GX42" s="100"/>
      <c r="GY42" s="100"/>
      <c r="GZ42" s="100"/>
      <c r="HA42" s="100"/>
      <c r="HB42" s="100"/>
      <c r="HC42" s="100"/>
      <c r="HD42" s="100"/>
      <c r="HE42" s="100"/>
      <c r="HF42" s="100"/>
      <c r="HG42" s="100"/>
      <c r="HH42" s="100"/>
      <c r="HI42" s="100"/>
      <c r="HJ42" s="100"/>
      <c r="HK42" s="100"/>
      <c r="HL42" s="100"/>
      <c r="HM42" s="100"/>
      <c r="HN42" s="100"/>
      <c r="HO42" s="100"/>
      <c r="HP42" s="100"/>
      <c r="HQ42" s="100"/>
      <c r="HR42" s="100"/>
      <c r="HS42" s="100"/>
      <c r="HT42" s="100"/>
      <c r="HU42" s="100"/>
      <c r="HV42" s="100"/>
      <c r="HW42" s="100"/>
      <c r="HX42" s="100"/>
      <c r="HY42" s="100"/>
      <c r="HZ42" s="100"/>
      <c r="IA42" s="100"/>
      <c r="IB42" s="100"/>
      <c r="IC42" s="100"/>
      <c r="ID42" s="100"/>
      <c r="IE42" s="100"/>
      <c r="IF42" s="100"/>
      <c r="IG42" s="100"/>
      <c r="IH42" s="100"/>
      <c r="II42" s="100"/>
      <c r="IJ42" s="100"/>
      <c r="IK42" s="100"/>
      <c r="IL42" s="100"/>
      <c r="IM42" s="100"/>
      <c r="IN42" s="100"/>
      <c r="IO42" s="100"/>
      <c r="IP42" s="100"/>
      <c r="IQ42" s="100"/>
      <c r="IR42" s="100"/>
      <c r="IS42" s="100"/>
      <c r="IT42" s="100"/>
      <c r="IU42" s="100"/>
      <c r="IV42" s="100"/>
      <c r="IW42" s="100"/>
      <c r="IX42" s="100"/>
      <c r="IY42" s="100"/>
      <c r="IZ42" s="100"/>
      <c r="JA42" s="100"/>
      <c r="JB42" s="100"/>
      <c r="JC42" s="100"/>
      <c r="JD42" s="100"/>
      <c r="JE42" s="100"/>
      <c r="JF42" s="100"/>
      <c r="JG42" s="100"/>
      <c r="JH42" s="100"/>
      <c r="JI42" s="100"/>
      <c r="JJ42" s="100"/>
      <c r="JK42" s="100"/>
      <c r="JL42" s="100"/>
      <c r="JM42" s="100"/>
      <c r="JN42" s="100"/>
      <c r="JO42" s="100"/>
      <c r="JP42" s="100"/>
      <c r="JQ42" s="100"/>
      <c r="JR42" s="100"/>
      <c r="JS42" s="100"/>
      <c r="JT42" s="100"/>
      <c r="JU42" s="100"/>
      <c r="JV42" s="100"/>
      <c r="JW42" s="100"/>
      <c r="JX42" s="100"/>
      <c r="JY42" s="100"/>
      <c r="JZ42" s="100"/>
      <c r="KA42" s="100"/>
      <c r="KB42" s="100"/>
      <c r="KC42" s="100"/>
      <c r="KD42" s="100"/>
      <c r="KE42" s="100"/>
      <c r="KF42" s="100"/>
      <c r="KG42" s="100"/>
      <c r="KH42" s="100"/>
      <c r="KI42" s="100"/>
      <c r="KJ42" s="100"/>
      <c r="KK42" s="100"/>
      <c r="KL42" s="100"/>
      <c r="KM42" s="100"/>
      <c r="KN42" s="100"/>
      <c r="KO42" s="100"/>
      <c r="KP42" s="100"/>
      <c r="KQ42" s="100"/>
      <c r="KR42" s="100"/>
      <c r="KS42" s="100"/>
      <c r="KT42" s="100"/>
      <c r="KU42" s="100"/>
      <c r="KV42" s="100"/>
      <c r="KW42" s="100"/>
      <c r="KX42" s="100"/>
      <c r="KY42" s="100"/>
      <c r="KZ42" s="100"/>
      <c r="LA42" s="100"/>
      <c r="LB42" s="100"/>
      <c r="LC42" s="100"/>
      <c r="LD42" s="100"/>
      <c r="LE42" s="100"/>
      <c r="LF42" s="100"/>
      <c r="LG42" s="100"/>
      <c r="LH42" s="100"/>
      <c r="LI42" s="100"/>
      <c r="LJ42" s="100"/>
      <c r="LK42" s="100"/>
      <c r="LL42" s="100"/>
      <c r="LM42" s="100"/>
      <c r="LN42" s="100"/>
      <c r="LO42" s="100"/>
      <c r="LP42" s="100"/>
      <c r="LQ42" s="100"/>
      <c r="LR42" s="100"/>
      <c r="LS42" s="100"/>
      <c r="LT42" s="100"/>
      <c r="LU42" s="100"/>
      <c r="LV42" s="100"/>
      <c r="LW42" s="100"/>
      <c r="LX42" s="100"/>
      <c r="LY42" s="100"/>
      <c r="LZ42" s="100"/>
      <c r="MA42" s="100"/>
      <c r="MB42" s="100"/>
      <c r="MC42" s="100"/>
      <c r="MD42" s="100"/>
      <c r="ME42" s="100"/>
      <c r="MF42" s="100"/>
      <c r="MG42" s="100"/>
      <c r="MH42" s="100"/>
      <c r="MI42" s="100"/>
      <c r="MJ42" s="100"/>
      <c r="MK42" s="100"/>
      <c r="ML42" s="100"/>
      <c r="MM42" s="100"/>
      <c r="MN42" s="100"/>
      <c r="MO42" s="100"/>
      <c r="MP42" s="100"/>
      <c r="MQ42" s="100"/>
      <c r="MR42" s="100"/>
      <c r="MS42" s="100"/>
      <c r="MT42" s="100"/>
      <c r="MU42" s="100"/>
      <c r="MV42" s="100"/>
      <c r="MW42" s="100"/>
      <c r="MX42" s="100"/>
      <c r="MY42" s="100"/>
      <c r="MZ42" s="100"/>
      <c r="NA42" s="100"/>
      <c r="NB42" s="100"/>
      <c r="NC42" s="100"/>
      <c r="ND42" s="100"/>
      <c r="NE42" s="100"/>
      <c r="NF42" s="100"/>
      <c r="NG42" s="100"/>
      <c r="NH42" s="100"/>
      <c r="NI42" s="100"/>
      <c r="NJ42" s="100"/>
      <c r="NK42" s="100"/>
      <c r="NL42" s="100"/>
      <c r="NM42" s="100"/>
      <c r="NN42" s="100"/>
      <c r="NO42" s="100"/>
      <c r="NP42" s="100"/>
      <c r="NQ42" s="100"/>
      <c r="NR42" s="100"/>
      <c r="NS42" s="100"/>
      <c r="NT42" s="100"/>
      <c r="NU42" s="100"/>
      <c r="NV42" s="100"/>
      <c r="NW42" s="100"/>
      <c r="NX42" s="100"/>
      <c r="NY42" s="100"/>
      <c r="NZ42" s="100"/>
      <c r="OA42" s="100"/>
      <c r="OB42" s="100"/>
      <c r="OC42" s="100"/>
      <c r="OD42" s="100"/>
      <c r="OE42" s="100"/>
      <c r="OF42" s="100"/>
      <c r="OG42" s="100"/>
      <c r="OH42" s="100"/>
      <c r="OI42" s="100"/>
      <c r="OJ42" s="100"/>
      <c r="OK42" s="100"/>
      <c r="OL42" s="100"/>
      <c r="OM42" s="100"/>
      <c r="ON42" s="100"/>
      <c r="OO42" s="100"/>
      <c r="OP42" s="100"/>
      <c r="OQ42" s="100"/>
      <c r="OR42" s="100"/>
      <c r="OS42" s="100"/>
      <c r="OT42" s="100"/>
      <c r="OU42" s="100"/>
      <c r="OV42" s="100"/>
      <c r="OW42" s="100"/>
      <c r="OX42" s="100"/>
      <c r="OY42" s="100"/>
      <c r="OZ42" s="100"/>
      <c r="PA42" s="100"/>
      <c r="PB42" s="100"/>
      <c r="PC42" s="100"/>
      <c r="PD42" s="100"/>
      <c r="PE42" s="100"/>
      <c r="PF42" s="100"/>
      <c r="PG42" s="100"/>
      <c r="PH42" s="100"/>
      <c r="PI42" s="100"/>
      <c r="PJ42" s="100"/>
      <c r="PK42" s="100"/>
      <c r="PL42" s="100"/>
      <c r="PM42" s="100"/>
      <c r="PN42" s="100"/>
      <c r="PO42" s="100"/>
      <c r="PP42" s="100"/>
      <c r="PQ42" s="100"/>
      <c r="PR42" s="100"/>
      <c r="PS42" s="100"/>
      <c r="PT42" s="100"/>
      <c r="PU42" s="100"/>
      <c r="PV42" s="100"/>
      <c r="PW42" s="100"/>
      <c r="PX42" s="100"/>
      <c r="PY42" s="100"/>
      <c r="PZ42" s="100"/>
      <c r="QA42" s="100"/>
      <c r="QB42" s="100"/>
      <c r="QC42" s="100"/>
      <c r="QD42" s="100"/>
      <c r="QE42" s="100"/>
      <c r="QF42" s="100"/>
      <c r="QG42" s="100"/>
      <c r="QH42" s="100"/>
      <c r="QI42" s="100"/>
      <c r="QJ42" s="100"/>
      <c r="QK42" s="100"/>
      <c r="QL42" s="100"/>
      <c r="QM42" s="100"/>
      <c r="QN42" s="100"/>
      <c r="QO42" s="100"/>
      <c r="QP42" s="100"/>
      <c r="QQ42" s="100"/>
      <c r="QR42" s="100"/>
      <c r="QS42" s="100"/>
      <c r="QT42" s="100"/>
      <c r="QU42" s="100"/>
      <c r="QV42" s="100"/>
      <c r="QW42" s="100"/>
      <c r="QX42" s="100"/>
      <c r="QY42" s="100"/>
      <c r="QZ42" s="23">
        <f t="shared" si="3"/>
        <v>10</v>
      </c>
      <c r="RA42" s="47" t="s">
        <v>36</v>
      </c>
      <c r="RB42" s="97">
        <v>371.28</v>
      </c>
      <c r="RC42" s="63">
        <f t="shared" si="6"/>
        <v>0</v>
      </c>
      <c r="RD42" s="63">
        <v>211.29999999999998</v>
      </c>
      <c r="RE42" s="97">
        <f t="shared" si="4"/>
        <v>371.28</v>
      </c>
      <c r="RF42" s="107"/>
      <c r="RG42" s="107"/>
      <c r="RH42" s="83">
        <f t="shared" si="5"/>
        <v>1.7571225745385708</v>
      </c>
      <c r="RI42" s="116" t="s">
        <v>528</v>
      </c>
    </row>
    <row r="43" spans="1:477" s="5" customFormat="1" ht="12.75" customHeight="1" x14ac:dyDescent="0.2">
      <c r="A43" s="48">
        <v>44957</v>
      </c>
      <c r="B43" s="90" t="s">
        <v>55</v>
      </c>
      <c r="C43" s="98"/>
      <c r="D43" s="98"/>
      <c r="E43" s="99"/>
      <c r="F43" s="99"/>
      <c r="G43" s="99"/>
      <c r="H43" s="99"/>
      <c r="I43" s="99"/>
      <c r="J43" s="99"/>
      <c r="K43" s="99"/>
      <c r="L43" s="99"/>
      <c r="M43" s="99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/>
      <c r="BX43" s="100"/>
      <c r="BY43" s="100"/>
      <c r="BZ43" s="100"/>
      <c r="CA43" s="100"/>
      <c r="CB43" s="100"/>
      <c r="CC43" s="100"/>
      <c r="CD43" s="100"/>
      <c r="CE43" s="100"/>
      <c r="CF43" s="100"/>
      <c r="CG43" s="100"/>
      <c r="CH43" s="100"/>
      <c r="CI43" s="100"/>
      <c r="CJ43" s="100"/>
      <c r="CK43" s="100"/>
      <c r="CL43" s="100"/>
      <c r="CM43" s="100"/>
      <c r="CN43" s="10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0"/>
      <c r="DJ43" s="100"/>
      <c r="DK43" s="100"/>
      <c r="DL43" s="100"/>
      <c r="DM43" s="100"/>
      <c r="DN43" s="100"/>
      <c r="DO43" s="100"/>
      <c r="DP43" s="100"/>
      <c r="DQ43" s="100"/>
      <c r="DR43" s="100"/>
      <c r="DS43" s="100"/>
      <c r="DT43" s="100"/>
      <c r="DU43" s="100"/>
      <c r="DV43" s="100"/>
      <c r="DW43" s="100"/>
      <c r="DX43" s="100"/>
      <c r="DY43" s="100"/>
      <c r="DZ43" s="100"/>
      <c r="EA43" s="100"/>
      <c r="EB43" s="100"/>
      <c r="EC43" s="100"/>
      <c r="ED43" s="100"/>
      <c r="EE43" s="100"/>
      <c r="EF43" s="100"/>
      <c r="EG43" s="100"/>
      <c r="EH43" s="100"/>
      <c r="EI43" s="100"/>
      <c r="EJ43" s="100"/>
      <c r="EK43" s="100"/>
      <c r="EL43" s="100"/>
      <c r="EM43" s="100"/>
      <c r="EN43" s="100"/>
      <c r="EO43" s="100"/>
      <c r="EP43" s="100"/>
      <c r="EQ43" s="100"/>
      <c r="ER43" s="100"/>
      <c r="ES43" s="100"/>
      <c r="ET43" s="100"/>
      <c r="EU43" s="100"/>
      <c r="EV43" s="100"/>
      <c r="EW43" s="100"/>
      <c r="EX43" s="100"/>
      <c r="EY43" s="100"/>
      <c r="EZ43" s="100"/>
      <c r="FA43" s="100"/>
      <c r="FB43" s="100"/>
      <c r="FC43" s="100"/>
      <c r="FD43" s="100"/>
      <c r="FE43" s="100"/>
      <c r="FF43" s="100"/>
      <c r="FG43" s="100"/>
      <c r="FH43" s="100"/>
      <c r="FI43" s="100"/>
      <c r="FJ43" s="100"/>
      <c r="FK43" s="100"/>
      <c r="FL43" s="100"/>
      <c r="FM43" s="100"/>
      <c r="FN43" s="100"/>
      <c r="FO43" s="100"/>
      <c r="FP43" s="100"/>
      <c r="FQ43" s="100"/>
      <c r="FR43" s="100"/>
      <c r="FS43" s="100"/>
      <c r="FT43" s="100"/>
      <c r="FU43" s="100"/>
      <c r="FV43" s="100"/>
      <c r="FW43" s="100"/>
      <c r="FX43" s="100"/>
      <c r="FY43" s="100"/>
      <c r="FZ43" s="100"/>
      <c r="GA43" s="100"/>
      <c r="GB43" s="100"/>
      <c r="GC43" s="100"/>
      <c r="GD43" s="100"/>
      <c r="GE43" s="100"/>
      <c r="GF43" s="100"/>
      <c r="GG43" s="100"/>
      <c r="GH43" s="100"/>
      <c r="GI43" s="100"/>
      <c r="GJ43" s="100"/>
      <c r="GK43" s="100"/>
      <c r="GL43" s="100"/>
      <c r="GM43" s="100"/>
      <c r="GN43" s="100"/>
      <c r="GO43" s="100"/>
      <c r="GP43" s="100"/>
      <c r="GQ43" s="100"/>
      <c r="GR43" s="100"/>
      <c r="GS43" s="100"/>
      <c r="GT43" s="100"/>
      <c r="GU43" s="100"/>
      <c r="GV43" s="100"/>
      <c r="GW43" s="100"/>
      <c r="GX43" s="100"/>
      <c r="GY43" s="100"/>
      <c r="GZ43" s="100"/>
      <c r="HA43" s="100"/>
      <c r="HB43" s="100"/>
      <c r="HC43" s="100"/>
      <c r="HD43" s="100"/>
      <c r="HE43" s="100"/>
      <c r="HF43" s="100"/>
      <c r="HG43" s="100"/>
      <c r="HH43" s="100"/>
      <c r="HI43" s="100"/>
      <c r="HJ43" s="100"/>
      <c r="HK43" s="100"/>
      <c r="HL43" s="100"/>
      <c r="HM43" s="100"/>
      <c r="HN43" s="100"/>
      <c r="HO43" s="100"/>
      <c r="HP43" s="100"/>
      <c r="HQ43" s="100"/>
      <c r="HR43" s="100"/>
      <c r="HS43" s="100"/>
      <c r="HT43" s="100"/>
      <c r="HU43" s="100"/>
      <c r="HV43" s="100"/>
      <c r="HW43" s="100"/>
      <c r="HX43" s="100"/>
      <c r="HY43" s="100"/>
      <c r="HZ43" s="100"/>
      <c r="IA43" s="100"/>
      <c r="IB43" s="100"/>
      <c r="IC43" s="100"/>
      <c r="ID43" s="100"/>
      <c r="IE43" s="100"/>
      <c r="IF43" s="100"/>
      <c r="IG43" s="100"/>
      <c r="IH43" s="100"/>
      <c r="II43" s="100"/>
      <c r="IJ43" s="100"/>
      <c r="IK43" s="100"/>
      <c r="IL43" s="100"/>
      <c r="IM43" s="100"/>
      <c r="IN43" s="100"/>
      <c r="IO43" s="100"/>
      <c r="IP43" s="100"/>
      <c r="IQ43" s="100"/>
      <c r="IR43" s="100"/>
      <c r="IS43" s="100"/>
      <c r="IT43" s="100"/>
      <c r="IU43" s="100"/>
      <c r="IV43" s="100"/>
      <c r="IW43" s="100"/>
      <c r="IX43" s="100"/>
      <c r="IY43" s="100"/>
      <c r="IZ43" s="100"/>
      <c r="JA43" s="100"/>
      <c r="JB43" s="100"/>
      <c r="JC43" s="100"/>
      <c r="JD43" s="100"/>
      <c r="JE43" s="100"/>
      <c r="JF43" s="100"/>
      <c r="JG43" s="100"/>
      <c r="JH43" s="100"/>
      <c r="JI43" s="100"/>
      <c r="JJ43" s="100"/>
      <c r="JK43" s="100"/>
      <c r="JL43" s="100"/>
      <c r="JM43" s="100"/>
      <c r="JN43" s="100"/>
      <c r="JO43" s="100"/>
      <c r="JP43" s="100"/>
      <c r="JQ43" s="100"/>
      <c r="JR43" s="100"/>
      <c r="JS43" s="100"/>
      <c r="JT43" s="100"/>
      <c r="JU43" s="100"/>
      <c r="JV43" s="100"/>
      <c r="JW43" s="100"/>
      <c r="JX43" s="100"/>
      <c r="JY43" s="100"/>
      <c r="JZ43" s="100"/>
      <c r="KA43" s="100"/>
      <c r="KB43" s="100"/>
      <c r="KC43" s="100"/>
      <c r="KD43" s="100"/>
      <c r="KE43" s="100"/>
      <c r="KF43" s="100"/>
      <c r="KG43" s="100"/>
      <c r="KH43" s="100"/>
      <c r="KI43" s="100"/>
      <c r="KJ43" s="100"/>
      <c r="KK43" s="100"/>
      <c r="KL43" s="100"/>
      <c r="KM43" s="100"/>
      <c r="KN43" s="100"/>
      <c r="KO43" s="100"/>
      <c r="KP43" s="100"/>
      <c r="KQ43" s="100"/>
      <c r="KR43" s="100"/>
      <c r="KS43" s="100"/>
      <c r="KT43" s="100"/>
      <c r="KU43" s="100"/>
      <c r="KV43" s="100">
        <v>3</v>
      </c>
      <c r="KW43" s="100"/>
      <c r="KX43" s="100"/>
      <c r="KY43" s="100"/>
      <c r="KZ43" s="100"/>
      <c r="LA43" s="100"/>
      <c r="LB43" s="100"/>
      <c r="LC43" s="100"/>
      <c r="LD43" s="100"/>
      <c r="LE43" s="100"/>
      <c r="LF43" s="100"/>
      <c r="LG43" s="100"/>
      <c r="LH43" s="100"/>
      <c r="LI43" s="100"/>
      <c r="LJ43" s="100"/>
      <c r="LK43" s="100"/>
      <c r="LL43" s="100"/>
      <c r="LM43" s="100"/>
      <c r="LN43" s="100"/>
      <c r="LO43" s="100"/>
      <c r="LP43" s="100"/>
      <c r="LQ43" s="100"/>
      <c r="LR43" s="100"/>
      <c r="LS43" s="100"/>
      <c r="LT43" s="100"/>
      <c r="LU43" s="100"/>
      <c r="LV43" s="100"/>
      <c r="LW43" s="100"/>
      <c r="LX43" s="100"/>
      <c r="LY43" s="100"/>
      <c r="LZ43" s="100"/>
      <c r="MA43" s="100"/>
      <c r="MB43" s="100"/>
      <c r="MC43" s="100"/>
      <c r="MD43" s="100"/>
      <c r="ME43" s="100"/>
      <c r="MF43" s="100"/>
      <c r="MG43" s="100"/>
      <c r="MH43" s="100"/>
      <c r="MI43" s="100"/>
      <c r="MJ43" s="100"/>
      <c r="MK43" s="100"/>
      <c r="ML43" s="100"/>
      <c r="MM43" s="100"/>
      <c r="MN43" s="100"/>
      <c r="MO43" s="100"/>
      <c r="MP43" s="100"/>
      <c r="MQ43" s="100"/>
      <c r="MR43" s="100"/>
      <c r="MS43" s="100"/>
      <c r="MT43" s="100"/>
      <c r="MU43" s="100"/>
      <c r="MV43" s="100"/>
      <c r="MW43" s="100"/>
      <c r="MX43" s="100"/>
      <c r="MY43" s="100"/>
      <c r="MZ43" s="100"/>
      <c r="NA43" s="100"/>
      <c r="NB43" s="100"/>
      <c r="NC43" s="100"/>
      <c r="ND43" s="100"/>
      <c r="NE43" s="100"/>
      <c r="NF43" s="100"/>
      <c r="NG43" s="100"/>
      <c r="NH43" s="100"/>
      <c r="NI43" s="100"/>
      <c r="NJ43" s="100"/>
      <c r="NK43" s="100"/>
      <c r="NL43" s="100"/>
      <c r="NM43" s="100"/>
      <c r="NN43" s="100"/>
      <c r="NO43" s="100"/>
      <c r="NP43" s="100"/>
      <c r="NQ43" s="100"/>
      <c r="NR43" s="100"/>
      <c r="NS43" s="100"/>
      <c r="NT43" s="100"/>
      <c r="NU43" s="100"/>
      <c r="NV43" s="100"/>
      <c r="NW43" s="100"/>
      <c r="NX43" s="100"/>
      <c r="NY43" s="100"/>
      <c r="NZ43" s="100"/>
      <c r="OA43" s="100"/>
      <c r="OB43" s="100"/>
      <c r="OC43" s="100"/>
      <c r="OD43" s="100"/>
      <c r="OE43" s="100"/>
      <c r="OF43" s="100"/>
      <c r="OG43" s="100"/>
      <c r="OH43" s="100"/>
      <c r="OI43" s="100"/>
      <c r="OJ43" s="100"/>
      <c r="OK43" s="100"/>
      <c r="OL43" s="100"/>
      <c r="OM43" s="100"/>
      <c r="ON43" s="100"/>
      <c r="OO43" s="100"/>
      <c r="OP43" s="100"/>
      <c r="OQ43" s="100"/>
      <c r="OR43" s="100"/>
      <c r="OS43" s="100"/>
      <c r="OT43" s="100"/>
      <c r="OU43" s="100"/>
      <c r="OV43" s="100"/>
      <c r="OW43" s="100"/>
      <c r="OX43" s="100"/>
      <c r="OY43" s="100"/>
      <c r="OZ43" s="100"/>
      <c r="PA43" s="100"/>
      <c r="PB43" s="100"/>
      <c r="PC43" s="100"/>
      <c r="PD43" s="100"/>
      <c r="PE43" s="100"/>
      <c r="PF43" s="100"/>
      <c r="PG43" s="100"/>
      <c r="PH43" s="100"/>
      <c r="PI43" s="100"/>
      <c r="PJ43" s="100"/>
      <c r="PK43" s="100"/>
      <c r="PL43" s="100"/>
      <c r="PM43" s="100"/>
      <c r="PN43" s="100"/>
      <c r="PO43" s="100"/>
      <c r="PP43" s="100"/>
      <c r="PQ43" s="100"/>
      <c r="PR43" s="100"/>
      <c r="PS43" s="100"/>
      <c r="PT43" s="100"/>
      <c r="PU43" s="100"/>
      <c r="PV43" s="100"/>
      <c r="PW43" s="100"/>
      <c r="PX43" s="100"/>
      <c r="PY43" s="100"/>
      <c r="PZ43" s="100"/>
      <c r="QA43" s="100"/>
      <c r="QB43" s="100"/>
      <c r="QC43" s="100"/>
      <c r="QD43" s="100"/>
      <c r="QE43" s="100"/>
      <c r="QF43" s="100"/>
      <c r="QG43" s="100"/>
      <c r="QH43" s="100"/>
      <c r="QI43" s="100"/>
      <c r="QJ43" s="100"/>
      <c r="QK43" s="100"/>
      <c r="QL43" s="100"/>
      <c r="QM43" s="100"/>
      <c r="QN43" s="100"/>
      <c r="QO43" s="100"/>
      <c r="QP43" s="100"/>
      <c r="QQ43" s="100"/>
      <c r="QR43" s="100"/>
      <c r="QS43" s="100"/>
      <c r="QT43" s="100"/>
      <c r="QU43" s="100"/>
      <c r="QV43" s="100"/>
      <c r="QW43" s="100"/>
      <c r="QX43" s="100"/>
      <c r="QY43" s="100"/>
      <c r="QZ43" s="23">
        <f t="shared" si="3"/>
        <v>3</v>
      </c>
      <c r="RA43" s="47" t="s">
        <v>36</v>
      </c>
      <c r="RB43" s="97">
        <v>165.31</v>
      </c>
      <c r="RC43" s="63">
        <f t="shared" si="6"/>
        <v>0</v>
      </c>
      <c r="RD43" s="63">
        <v>113.49</v>
      </c>
      <c r="RE43" s="97">
        <f t="shared" si="4"/>
        <v>165.31</v>
      </c>
      <c r="RF43" s="107"/>
      <c r="RG43" s="107"/>
      <c r="RH43" s="83">
        <f t="shared" si="5"/>
        <v>1.4566041060886423</v>
      </c>
      <c r="RI43" s="116" t="s">
        <v>528</v>
      </c>
    </row>
    <row r="44" spans="1:477" s="5" customFormat="1" ht="12.75" customHeight="1" x14ac:dyDescent="0.2">
      <c r="A44" s="48">
        <v>44957</v>
      </c>
      <c r="B44" s="90" t="s">
        <v>55</v>
      </c>
      <c r="C44" s="98"/>
      <c r="D44" s="98"/>
      <c r="E44" s="99"/>
      <c r="F44" s="99"/>
      <c r="G44" s="99"/>
      <c r="H44" s="99"/>
      <c r="I44" s="99"/>
      <c r="J44" s="99"/>
      <c r="K44" s="99"/>
      <c r="L44" s="99"/>
      <c r="M44" s="99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100"/>
      <c r="CJ44" s="100"/>
      <c r="CK44" s="100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>
        <v>1</v>
      </c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100"/>
      <c r="DM44" s="100"/>
      <c r="DN44" s="100"/>
      <c r="DO44" s="100"/>
      <c r="DP44" s="100"/>
      <c r="DQ44" s="100"/>
      <c r="DR44" s="100"/>
      <c r="DS44" s="100"/>
      <c r="DT44" s="100"/>
      <c r="DU44" s="100"/>
      <c r="DV44" s="100"/>
      <c r="DW44" s="100"/>
      <c r="DX44" s="100"/>
      <c r="DY44" s="100"/>
      <c r="DZ44" s="100"/>
      <c r="EA44" s="100"/>
      <c r="EB44" s="100"/>
      <c r="EC44" s="100"/>
      <c r="ED44" s="100"/>
      <c r="EE44" s="100"/>
      <c r="EF44" s="100"/>
      <c r="EG44" s="100"/>
      <c r="EH44" s="100"/>
      <c r="EI44" s="100"/>
      <c r="EJ44" s="100"/>
      <c r="EK44" s="100"/>
      <c r="EL44" s="100"/>
      <c r="EM44" s="100"/>
      <c r="EN44" s="100"/>
      <c r="EO44" s="100"/>
      <c r="EP44" s="100"/>
      <c r="EQ44" s="100"/>
      <c r="ER44" s="100"/>
      <c r="ES44" s="100"/>
      <c r="ET44" s="100"/>
      <c r="EU44" s="100"/>
      <c r="EV44" s="100"/>
      <c r="EW44" s="100"/>
      <c r="EX44" s="100"/>
      <c r="EY44" s="100"/>
      <c r="EZ44" s="100"/>
      <c r="FA44" s="100"/>
      <c r="FB44" s="100"/>
      <c r="FC44" s="100"/>
      <c r="FD44" s="100"/>
      <c r="FE44" s="100"/>
      <c r="FF44" s="100"/>
      <c r="FG44" s="100"/>
      <c r="FH44" s="100"/>
      <c r="FI44" s="100"/>
      <c r="FJ44" s="100"/>
      <c r="FK44" s="100"/>
      <c r="FL44" s="100"/>
      <c r="FM44" s="100"/>
      <c r="FN44" s="100"/>
      <c r="FO44" s="100"/>
      <c r="FP44" s="100"/>
      <c r="FQ44" s="100"/>
      <c r="FR44" s="100"/>
      <c r="FS44" s="100"/>
      <c r="FT44" s="100"/>
      <c r="FU44" s="100"/>
      <c r="FV44" s="100"/>
      <c r="FW44" s="100"/>
      <c r="FX44" s="100"/>
      <c r="FY44" s="100"/>
      <c r="FZ44" s="100"/>
      <c r="GA44" s="100"/>
      <c r="GB44" s="100"/>
      <c r="GC44" s="100"/>
      <c r="GD44" s="100"/>
      <c r="GE44" s="100"/>
      <c r="GF44" s="100"/>
      <c r="GG44" s="100"/>
      <c r="GH44" s="100"/>
      <c r="GI44" s="100"/>
      <c r="GJ44" s="100"/>
      <c r="GK44" s="100"/>
      <c r="GL44" s="100"/>
      <c r="GM44" s="100"/>
      <c r="GN44" s="100"/>
      <c r="GO44" s="100"/>
      <c r="GP44" s="100"/>
      <c r="GQ44" s="100"/>
      <c r="GR44" s="100"/>
      <c r="GS44" s="100"/>
      <c r="GT44" s="100"/>
      <c r="GU44" s="100"/>
      <c r="GV44" s="100"/>
      <c r="GW44" s="100"/>
      <c r="GX44" s="100"/>
      <c r="GY44" s="100"/>
      <c r="GZ44" s="100"/>
      <c r="HA44" s="100"/>
      <c r="HB44" s="100"/>
      <c r="HC44" s="100"/>
      <c r="HD44" s="100"/>
      <c r="HE44" s="100"/>
      <c r="HF44" s="100"/>
      <c r="HG44" s="100"/>
      <c r="HH44" s="100"/>
      <c r="HI44" s="100"/>
      <c r="HJ44" s="100"/>
      <c r="HK44" s="100"/>
      <c r="HL44" s="100"/>
      <c r="HM44" s="100"/>
      <c r="HN44" s="100"/>
      <c r="HO44" s="100"/>
      <c r="HP44" s="100"/>
      <c r="HQ44" s="100"/>
      <c r="HR44" s="100"/>
      <c r="HS44" s="100"/>
      <c r="HT44" s="100"/>
      <c r="HU44" s="100"/>
      <c r="HV44" s="100"/>
      <c r="HW44" s="100"/>
      <c r="HX44" s="100"/>
      <c r="HY44" s="100"/>
      <c r="HZ44" s="100"/>
      <c r="IA44" s="100"/>
      <c r="IB44" s="100"/>
      <c r="IC44" s="100"/>
      <c r="ID44" s="100"/>
      <c r="IE44" s="100"/>
      <c r="IF44" s="100"/>
      <c r="IG44" s="100"/>
      <c r="IH44" s="100"/>
      <c r="II44" s="100"/>
      <c r="IJ44" s="100"/>
      <c r="IK44" s="100"/>
      <c r="IL44" s="100"/>
      <c r="IM44" s="100"/>
      <c r="IN44" s="100"/>
      <c r="IO44" s="100"/>
      <c r="IP44" s="100"/>
      <c r="IQ44" s="100"/>
      <c r="IR44" s="100"/>
      <c r="IS44" s="100"/>
      <c r="IT44" s="100"/>
      <c r="IU44" s="100"/>
      <c r="IV44" s="100"/>
      <c r="IW44" s="100"/>
      <c r="IX44" s="100"/>
      <c r="IY44" s="100"/>
      <c r="IZ44" s="100"/>
      <c r="JA44" s="100"/>
      <c r="JB44" s="100"/>
      <c r="JC44" s="100"/>
      <c r="JD44" s="100"/>
      <c r="JE44" s="100"/>
      <c r="JF44" s="100"/>
      <c r="JG44" s="100"/>
      <c r="JH44" s="100"/>
      <c r="JI44" s="100"/>
      <c r="JJ44" s="100"/>
      <c r="JK44" s="100"/>
      <c r="JL44" s="100"/>
      <c r="JM44" s="100"/>
      <c r="JN44" s="100"/>
      <c r="JO44" s="100"/>
      <c r="JP44" s="100"/>
      <c r="JQ44" s="100"/>
      <c r="JR44" s="100"/>
      <c r="JS44" s="100"/>
      <c r="JT44" s="100"/>
      <c r="JU44" s="100"/>
      <c r="JV44" s="100"/>
      <c r="JW44" s="100"/>
      <c r="JX44" s="100"/>
      <c r="JY44" s="100"/>
      <c r="JZ44" s="100"/>
      <c r="KA44" s="100"/>
      <c r="KB44" s="100"/>
      <c r="KC44" s="100"/>
      <c r="KD44" s="100"/>
      <c r="KE44" s="100"/>
      <c r="KF44" s="100"/>
      <c r="KG44" s="100"/>
      <c r="KH44" s="100"/>
      <c r="KI44" s="100"/>
      <c r="KJ44" s="100"/>
      <c r="KK44" s="100"/>
      <c r="KL44" s="100"/>
      <c r="KM44" s="100"/>
      <c r="KN44" s="100"/>
      <c r="KO44" s="100"/>
      <c r="KP44" s="100"/>
      <c r="KQ44" s="100"/>
      <c r="KR44" s="100"/>
      <c r="KS44" s="100"/>
      <c r="KT44" s="100"/>
      <c r="KU44" s="100"/>
      <c r="KV44" s="100"/>
      <c r="KW44" s="100"/>
      <c r="KX44" s="100"/>
      <c r="KY44" s="100"/>
      <c r="KZ44" s="100"/>
      <c r="LA44" s="100"/>
      <c r="LB44" s="100"/>
      <c r="LC44" s="100"/>
      <c r="LD44" s="100"/>
      <c r="LE44" s="100"/>
      <c r="LF44" s="100"/>
      <c r="LG44" s="100"/>
      <c r="LH44" s="100"/>
      <c r="LI44" s="100"/>
      <c r="LJ44" s="100"/>
      <c r="LK44" s="100"/>
      <c r="LL44" s="100"/>
      <c r="LM44" s="100"/>
      <c r="LN44" s="100"/>
      <c r="LO44" s="100"/>
      <c r="LP44" s="100"/>
      <c r="LQ44" s="100"/>
      <c r="LR44" s="100"/>
      <c r="LS44" s="100"/>
      <c r="LT44" s="100"/>
      <c r="LU44" s="100"/>
      <c r="LV44" s="100"/>
      <c r="LW44" s="100"/>
      <c r="LX44" s="100"/>
      <c r="LY44" s="100"/>
      <c r="LZ44" s="100"/>
      <c r="MA44" s="100"/>
      <c r="MB44" s="100"/>
      <c r="MC44" s="100"/>
      <c r="MD44" s="100"/>
      <c r="ME44" s="100"/>
      <c r="MF44" s="100"/>
      <c r="MG44" s="100"/>
      <c r="MH44" s="100"/>
      <c r="MI44" s="100"/>
      <c r="MJ44" s="100"/>
      <c r="MK44" s="100"/>
      <c r="ML44" s="100"/>
      <c r="MM44" s="100"/>
      <c r="MN44" s="100"/>
      <c r="MO44" s="100"/>
      <c r="MP44" s="100"/>
      <c r="MQ44" s="100"/>
      <c r="MR44" s="100"/>
      <c r="MS44" s="100"/>
      <c r="MT44" s="100"/>
      <c r="MU44" s="100"/>
      <c r="MV44" s="100"/>
      <c r="MW44" s="100"/>
      <c r="MX44" s="100"/>
      <c r="MY44" s="100"/>
      <c r="MZ44" s="100"/>
      <c r="NA44" s="100"/>
      <c r="NB44" s="100"/>
      <c r="NC44" s="100"/>
      <c r="ND44" s="100"/>
      <c r="NE44" s="100"/>
      <c r="NF44" s="100"/>
      <c r="NG44" s="100"/>
      <c r="NH44" s="100"/>
      <c r="NI44" s="100"/>
      <c r="NJ44" s="100"/>
      <c r="NK44" s="100"/>
      <c r="NL44" s="100"/>
      <c r="NM44" s="100"/>
      <c r="NN44" s="100"/>
      <c r="NO44" s="100"/>
      <c r="NP44" s="100"/>
      <c r="NQ44" s="100"/>
      <c r="NR44" s="100"/>
      <c r="NS44" s="100"/>
      <c r="NT44" s="100"/>
      <c r="NU44" s="100"/>
      <c r="NV44" s="100"/>
      <c r="NW44" s="100"/>
      <c r="NX44" s="100"/>
      <c r="NY44" s="100"/>
      <c r="NZ44" s="100"/>
      <c r="OA44" s="100"/>
      <c r="OB44" s="100"/>
      <c r="OC44" s="100"/>
      <c r="OD44" s="100"/>
      <c r="OE44" s="100"/>
      <c r="OF44" s="100"/>
      <c r="OG44" s="100"/>
      <c r="OH44" s="100"/>
      <c r="OI44" s="100"/>
      <c r="OJ44" s="100"/>
      <c r="OK44" s="100"/>
      <c r="OL44" s="100"/>
      <c r="OM44" s="100"/>
      <c r="ON44" s="100"/>
      <c r="OO44" s="100"/>
      <c r="OP44" s="100"/>
      <c r="OQ44" s="100"/>
      <c r="OR44" s="100"/>
      <c r="OS44" s="100"/>
      <c r="OT44" s="100"/>
      <c r="OU44" s="100"/>
      <c r="OV44" s="100"/>
      <c r="OW44" s="100"/>
      <c r="OX44" s="100"/>
      <c r="OY44" s="100"/>
      <c r="OZ44" s="100"/>
      <c r="PA44" s="100"/>
      <c r="PB44" s="100"/>
      <c r="PC44" s="100"/>
      <c r="PD44" s="100"/>
      <c r="PE44" s="100"/>
      <c r="PF44" s="100"/>
      <c r="PG44" s="100"/>
      <c r="PH44" s="100"/>
      <c r="PI44" s="100"/>
      <c r="PJ44" s="100"/>
      <c r="PK44" s="100"/>
      <c r="PL44" s="100"/>
      <c r="PM44" s="100"/>
      <c r="PN44" s="100"/>
      <c r="PO44" s="100"/>
      <c r="PP44" s="100"/>
      <c r="PQ44" s="100"/>
      <c r="PR44" s="100"/>
      <c r="PS44" s="100"/>
      <c r="PT44" s="100"/>
      <c r="PU44" s="100"/>
      <c r="PV44" s="100"/>
      <c r="PW44" s="100"/>
      <c r="PX44" s="100"/>
      <c r="PY44" s="100"/>
      <c r="PZ44" s="100"/>
      <c r="QA44" s="100"/>
      <c r="QB44" s="100"/>
      <c r="QC44" s="100"/>
      <c r="QD44" s="100"/>
      <c r="QE44" s="100"/>
      <c r="QF44" s="100"/>
      <c r="QG44" s="100"/>
      <c r="QH44" s="100"/>
      <c r="QI44" s="100"/>
      <c r="QJ44" s="100"/>
      <c r="QK44" s="100"/>
      <c r="QL44" s="100"/>
      <c r="QM44" s="100"/>
      <c r="QN44" s="100"/>
      <c r="QO44" s="100"/>
      <c r="QP44" s="100"/>
      <c r="QQ44" s="100"/>
      <c r="QR44" s="100"/>
      <c r="QS44" s="100"/>
      <c r="QT44" s="100"/>
      <c r="QU44" s="100"/>
      <c r="QV44" s="100"/>
      <c r="QW44" s="100"/>
      <c r="QX44" s="100"/>
      <c r="QY44" s="100"/>
      <c r="QZ44" s="23">
        <f t="shared" si="3"/>
        <v>1</v>
      </c>
      <c r="RA44" s="47" t="s">
        <v>36</v>
      </c>
      <c r="RB44" s="97">
        <v>66.7</v>
      </c>
      <c r="RC44" s="63">
        <f t="shared" si="6"/>
        <v>0</v>
      </c>
      <c r="RD44" s="63">
        <v>39.92</v>
      </c>
      <c r="RE44" s="97">
        <f t="shared" si="4"/>
        <v>66.7</v>
      </c>
      <c r="RF44" s="107"/>
      <c r="RG44" s="107"/>
      <c r="RH44" s="83">
        <f t="shared" si="5"/>
        <v>1.6708416833667334</v>
      </c>
      <c r="RI44" s="116" t="s">
        <v>528</v>
      </c>
    </row>
    <row r="45" spans="1:477" s="5" customFormat="1" ht="12.75" customHeight="1" x14ac:dyDescent="0.2">
      <c r="A45" s="48">
        <v>44957</v>
      </c>
      <c r="B45" s="115" t="s">
        <v>558</v>
      </c>
      <c r="C45" s="98"/>
      <c r="D45" s="98"/>
      <c r="E45" s="99"/>
      <c r="F45" s="99"/>
      <c r="G45" s="99"/>
      <c r="H45" s="99"/>
      <c r="I45" s="99"/>
      <c r="J45" s="99"/>
      <c r="K45" s="99"/>
      <c r="L45" s="99"/>
      <c r="M45" s="99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>
        <v>30</v>
      </c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>
        <v>4</v>
      </c>
      <c r="BI45" s="100"/>
      <c r="BJ45" s="100"/>
      <c r="BK45" s="100"/>
      <c r="BL45" s="100"/>
      <c r="BM45" s="100"/>
      <c r="BN45" s="100"/>
      <c r="BO45" s="100"/>
      <c r="BP45" s="100"/>
      <c r="BQ45" s="100"/>
      <c r="BR45" s="100"/>
      <c r="BS45" s="100"/>
      <c r="BT45" s="100"/>
      <c r="BU45" s="100"/>
      <c r="BV45" s="100"/>
      <c r="BW45" s="100"/>
      <c r="BX45" s="100"/>
      <c r="BY45" s="100"/>
      <c r="BZ45" s="100"/>
      <c r="CA45" s="100"/>
      <c r="CB45" s="100"/>
      <c r="CC45" s="100"/>
      <c r="CD45" s="100"/>
      <c r="CE45" s="100"/>
      <c r="CF45" s="100"/>
      <c r="CG45" s="100"/>
      <c r="CH45" s="100"/>
      <c r="CI45" s="100"/>
      <c r="CJ45" s="100"/>
      <c r="CK45" s="100"/>
      <c r="CL45" s="100"/>
      <c r="CM45" s="100"/>
      <c r="CN45" s="10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0"/>
      <c r="DJ45" s="100"/>
      <c r="DK45" s="100"/>
      <c r="DL45" s="100"/>
      <c r="DM45" s="100"/>
      <c r="DN45" s="100"/>
      <c r="DO45" s="100"/>
      <c r="DP45" s="100"/>
      <c r="DQ45" s="100"/>
      <c r="DR45" s="100"/>
      <c r="DS45" s="100"/>
      <c r="DT45" s="100"/>
      <c r="DU45" s="100"/>
      <c r="DV45" s="100"/>
      <c r="DW45" s="100"/>
      <c r="DX45" s="100"/>
      <c r="DY45" s="100">
        <v>30</v>
      </c>
      <c r="DZ45" s="100"/>
      <c r="EA45" s="100"/>
      <c r="EB45" s="100"/>
      <c r="EC45" s="100"/>
      <c r="ED45" s="100"/>
      <c r="EE45" s="100"/>
      <c r="EF45" s="100"/>
      <c r="EG45" s="100"/>
      <c r="EH45" s="100"/>
      <c r="EI45" s="100"/>
      <c r="EJ45" s="100"/>
      <c r="EK45" s="100"/>
      <c r="EL45" s="100"/>
      <c r="EM45" s="100"/>
      <c r="EN45" s="100"/>
      <c r="EO45" s="100"/>
      <c r="EP45" s="100"/>
      <c r="EQ45" s="100"/>
      <c r="ER45" s="100"/>
      <c r="ES45" s="100"/>
      <c r="ET45" s="100"/>
      <c r="EU45" s="100"/>
      <c r="EV45" s="100"/>
      <c r="EW45" s="100"/>
      <c r="EX45" s="100"/>
      <c r="EY45" s="100"/>
      <c r="EZ45" s="100"/>
      <c r="FA45" s="100"/>
      <c r="FB45" s="100"/>
      <c r="FC45" s="100"/>
      <c r="FD45" s="100"/>
      <c r="FE45" s="100"/>
      <c r="FF45" s="100"/>
      <c r="FG45" s="100"/>
      <c r="FH45" s="100"/>
      <c r="FI45" s="100"/>
      <c r="FJ45" s="100"/>
      <c r="FK45" s="100"/>
      <c r="FL45" s="100"/>
      <c r="FM45" s="100"/>
      <c r="FN45" s="100"/>
      <c r="FO45" s="100"/>
      <c r="FP45" s="100"/>
      <c r="FQ45" s="100"/>
      <c r="FR45" s="100"/>
      <c r="FS45" s="100"/>
      <c r="FT45" s="100"/>
      <c r="FU45" s="100"/>
      <c r="FV45" s="100"/>
      <c r="FW45" s="100"/>
      <c r="FX45" s="100"/>
      <c r="FY45" s="100"/>
      <c r="FZ45" s="100"/>
      <c r="GA45" s="100"/>
      <c r="GB45" s="100"/>
      <c r="GC45" s="100"/>
      <c r="GD45" s="100"/>
      <c r="GE45" s="100"/>
      <c r="GF45" s="100"/>
      <c r="GG45" s="100"/>
      <c r="GH45" s="100"/>
      <c r="GI45" s="100"/>
      <c r="GJ45" s="100"/>
      <c r="GK45" s="100"/>
      <c r="GL45" s="100"/>
      <c r="GM45" s="100"/>
      <c r="GN45" s="100"/>
      <c r="GO45" s="100"/>
      <c r="GP45" s="100"/>
      <c r="GQ45" s="100"/>
      <c r="GR45" s="100"/>
      <c r="GS45" s="100"/>
      <c r="GT45" s="100"/>
      <c r="GU45" s="100"/>
      <c r="GV45" s="100"/>
      <c r="GW45" s="100"/>
      <c r="GX45" s="100"/>
      <c r="GY45" s="100"/>
      <c r="GZ45" s="100"/>
      <c r="HA45" s="100"/>
      <c r="HB45" s="100"/>
      <c r="HC45" s="100"/>
      <c r="HD45" s="100"/>
      <c r="HE45" s="100"/>
      <c r="HF45" s="100"/>
      <c r="HG45" s="100"/>
      <c r="HH45" s="100"/>
      <c r="HI45" s="100"/>
      <c r="HJ45" s="100"/>
      <c r="HK45" s="100"/>
      <c r="HL45" s="100"/>
      <c r="HM45" s="100"/>
      <c r="HN45" s="100"/>
      <c r="HO45" s="100"/>
      <c r="HP45" s="100"/>
      <c r="HQ45" s="100"/>
      <c r="HR45" s="100"/>
      <c r="HS45" s="100"/>
      <c r="HT45" s="100"/>
      <c r="HU45" s="100"/>
      <c r="HV45" s="100"/>
      <c r="HW45" s="100"/>
      <c r="HX45" s="100"/>
      <c r="HY45" s="100"/>
      <c r="HZ45" s="100"/>
      <c r="IA45" s="100"/>
      <c r="IB45" s="100"/>
      <c r="IC45" s="100"/>
      <c r="ID45" s="100"/>
      <c r="IE45" s="100"/>
      <c r="IF45" s="100"/>
      <c r="IG45" s="100"/>
      <c r="IH45" s="100"/>
      <c r="II45" s="100"/>
      <c r="IJ45" s="100"/>
      <c r="IK45" s="100"/>
      <c r="IL45" s="100"/>
      <c r="IM45" s="100"/>
      <c r="IN45" s="100"/>
      <c r="IO45" s="100"/>
      <c r="IP45" s="100"/>
      <c r="IQ45" s="100"/>
      <c r="IR45" s="100"/>
      <c r="IS45" s="100"/>
      <c r="IT45" s="100"/>
      <c r="IU45" s="100"/>
      <c r="IV45" s="100"/>
      <c r="IW45" s="100"/>
      <c r="IX45" s="100"/>
      <c r="IY45" s="100"/>
      <c r="IZ45" s="100"/>
      <c r="JA45" s="100"/>
      <c r="JB45" s="100"/>
      <c r="JC45" s="100"/>
      <c r="JD45" s="100"/>
      <c r="JE45" s="100"/>
      <c r="JF45" s="100"/>
      <c r="JG45" s="100"/>
      <c r="JH45" s="100"/>
      <c r="JI45" s="100"/>
      <c r="JJ45" s="100"/>
      <c r="JK45" s="100"/>
      <c r="JL45" s="100"/>
      <c r="JM45" s="100"/>
      <c r="JN45" s="100"/>
      <c r="JO45" s="100"/>
      <c r="JP45" s="100"/>
      <c r="JQ45" s="100"/>
      <c r="JR45" s="100"/>
      <c r="JS45" s="100"/>
      <c r="JT45" s="100"/>
      <c r="JU45" s="100"/>
      <c r="JV45" s="100"/>
      <c r="JW45" s="100"/>
      <c r="JX45" s="100"/>
      <c r="JY45" s="100"/>
      <c r="JZ45" s="100"/>
      <c r="KA45" s="100"/>
      <c r="KB45" s="100"/>
      <c r="KC45" s="100"/>
      <c r="KD45" s="100"/>
      <c r="KE45" s="100"/>
      <c r="KF45" s="100"/>
      <c r="KG45" s="100"/>
      <c r="KH45" s="100"/>
      <c r="KI45" s="100"/>
      <c r="KJ45" s="100"/>
      <c r="KK45" s="100"/>
      <c r="KL45" s="100"/>
      <c r="KM45" s="100"/>
      <c r="KN45" s="100"/>
      <c r="KO45" s="100"/>
      <c r="KP45" s="100"/>
      <c r="KQ45" s="100"/>
      <c r="KR45" s="100"/>
      <c r="KS45" s="100"/>
      <c r="KT45" s="100"/>
      <c r="KU45" s="100"/>
      <c r="KV45" s="100"/>
      <c r="KW45" s="100"/>
      <c r="KX45" s="100"/>
      <c r="KY45" s="100"/>
      <c r="KZ45" s="100"/>
      <c r="LA45" s="100"/>
      <c r="LB45" s="100"/>
      <c r="LC45" s="100"/>
      <c r="LD45" s="100"/>
      <c r="LE45" s="100"/>
      <c r="LF45" s="100"/>
      <c r="LG45" s="100"/>
      <c r="LH45" s="100"/>
      <c r="LI45" s="100"/>
      <c r="LJ45" s="100"/>
      <c r="LK45" s="100"/>
      <c r="LL45" s="100"/>
      <c r="LM45" s="100"/>
      <c r="LN45" s="100"/>
      <c r="LO45" s="100"/>
      <c r="LP45" s="100"/>
      <c r="LQ45" s="100"/>
      <c r="LR45" s="100"/>
      <c r="LS45" s="100"/>
      <c r="LT45" s="100"/>
      <c r="LU45" s="100"/>
      <c r="LV45" s="100"/>
      <c r="LW45" s="100"/>
      <c r="LX45" s="100"/>
      <c r="LY45" s="100"/>
      <c r="LZ45" s="100"/>
      <c r="MA45" s="100"/>
      <c r="MB45" s="100"/>
      <c r="MC45" s="100"/>
      <c r="MD45" s="100"/>
      <c r="ME45" s="100"/>
      <c r="MF45" s="100"/>
      <c r="MG45" s="100"/>
      <c r="MH45" s="100"/>
      <c r="MI45" s="100"/>
      <c r="MJ45" s="100"/>
      <c r="MK45" s="100"/>
      <c r="ML45" s="100"/>
      <c r="MM45" s="100"/>
      <c r="MN45" s="100"/>
      <c r="MO45" s="100"/>
      <c r="MP45" s="100"/>
      <c r="MQ45" s="100"/>
      <c r="MR45" s="100"/>
      <c r="MS45" s="100"/>
      <c r="MT45" s="100"/>
      <c r="MU45" s="100"/>
      <c r="MV45" s="100"/>
      <c r="MW45" s="100"/>
      <c r="MX45" s="100"/>
      <c r="MY45" s="100"/>
      <c r="MZ45" s="100"/>
      <c r="NA45" s="100"/>
      <c r="NB45" s="100"/>
      <c r="NC45" s="100"/>
      <c r="ND45" s="100"/>
      <c r="NE45" s="100"/>
      <c r="NF45" s="100"/>
      <c r="NG45" s="100"/>
      <c r="NH45" s="100"/>
      <c r="NI45" s="100"/>
      <c r="NJ45" s="100"/>
      <c r="NK45" s="100"/>
      <c r="NL45" s="100"/>
      <c r="NM45" s="100"/>
      <c r="NN45" s="100"/>
      <c r="NO45" s="100"/>
      <c r="NP45" s="100"/>
      <c r="NQ45" s="100"/>
      <c r="NR45" s="100"/>
      <c r="NS45" s="100"/>
      <c r="NT45" s="100"/>
      <c r="NU45" s="100"/>
      <c r="NV45" s="100"/>
      <c r="NW45" s="100"/>
      <c r="NX45" s="100"/>
      <c r="NY45" s="100"/>
      <c r="NZ45" s="100"/>
      <c r="OA45" s="100"/>
      <c r="OB45" s="100"/>
      <c r="OC45" s="100"/>
      <c r="OD45" s="100"/>
      <c r="OE45" s="100"/>
      <c r="OF45" s="100"/>
      <c r="OG45" s="100"/>
      <c r="OH45" s="100"/>
      <c r="OI45" s="100"/>
      <c r="OJ45" s="100"/>
      <c r="OK45" s="100"/>
      <c r="OL45" s="100"/>
      <c r="OM45" s="100"/>
      <c r="ON45" s="100"/>
      <c r="OO45" s="100"/>
      <c r="OP45" s="100"/>
      <c r="OQ45" s="100"/>
      <c r="OR45" s="100"/>
      <c r="OS45" s="100"/>
      <c r="OT45" s="100"/>
      <c r="OU45" s="100"/>
      <c r="OV45" s="100"/>
      <c r="OW45" s="100"/>
      <c r="OX45" s="100"/>
      <c r="OY45" s="100"/>
      <c r="OZ45" s="100"/>
      <c r="PA45" s="100"/>
      <c r="PB45" s="100"/>
      <c r="PC45" s="100"/>
      <c r="PD45" s="100"/>
      <c r="PE45" s="100"/>
      <c r="PF45" s="100"/>
      <c r="PG45" s="100"/>
      <c r="PH45" s="100"/>
      <c r="PI45" s="100"/>
      <c r="PJ45" s="100"/>
      <c r="PK45" s="100"/>
      <c r="PL45" s="100"/>
      <c r="PM45" s="100"/>
      <c r="PN45" s="100"/>
      <c r="PO45" s="100"/>
      <c r="PP45" s="100"/>
      <c r="PQ45" s="100"/>
      <c r="PR45" s="100"/>
      <c r="PS45" s="100"/>
      <c r="PT45" s="100"/>
      <c r="PU45" s="100"/>
      <c r="PV45" s="100"/>
      <c r="PW45" s="100"/>
      <c r="PX45" s="100"/>
      <c r="PY45" s="100"/>
      <c r="PZ45" s="100"/>
      <c r="QA45" s="100"/>
      <c r="QB45" s="100"/>
      <c r="QC45" s="100"/>
      <c r="QD45" s="100"/>
      <c r="QE45" s="100"/>
      <c r="QF45" s="100"/>
      <c r="QG45" s="100"/>
      <c r="QH45" s="100"/>
      <c r="QI45" s="100"/>
      <c r="QJ45" s="100"/>
      <c r="QK45" s="100"/>
      <c r="QL45" s="100"/>
      <c r="QM45" s="100"/>
      <c r="QN45" s="100"/>
      <c r="QO45" s="100"/>
      <c r="QP45" s="100"/>
      <c r="QQ45" s="100"/>
      <c r="QR45" s="100"/>
      <c r="QS45" s="100"/>
      <c r="QT45" s="100"/>
      <c r="QU45" s="100"/>
      <c r="QV45" s="100"/>
      <c r="QW45" s="100"/>
      <c r="QX45" s="100"/>
      <c r="QY45" s="100"/>
      <c r="QZ45" s="23">
        <f t="shared" si="3"/>
        <v>64</v>
      </c>
      <c r="RA45" s="47" t="s">
        <v>36</v>
      </c>
      <c r="RB45" s="97">
        <v>4142.16</v>
      </c>
      <c r="RC45" s="63">
        <f t="shared" si="6"/>
        <v>4142.16</v>
      </c>
      <c r="RD45" s="63">
        <v>2419.88</v>
      </c>
      <c r="RE45" s="97">
        <f t="shared" si="4"/>
        <v>0</v>
      </c>
      <c r="RF45" s="107">
        <f>4095.36+46.8</f>
        <v>4142.16</v>
      </c>
      <c r="RG45" s="107"/>
      <c r="RH45" s="83">
        <f t="shared" si="5"/>
        <v>1.7117212423756549</v>
      </c>
      <c r="RI45" s="116" t="s">
        <v>560</v>
      </c>
    </row>
    <row r="46" spans="1:477" s="5" customFormat="1" ht="12.75" customHeight="1" x14ac:dyDescent="0.2">
      <c r="A46" s="48">
        <v>44957</v>
      </c>
      <c r="B46" s="90" t="s">
        <v>196</v>
      </c>
      <c r="C46" s="98"/>
      <c r="D46" s="98"/>
      <c r="E46" s="99"/>
      <c r="F46" s="99"/>
      <c r="G46" s="99"/>
      <c r="H46" s="99"/>
      <c r="I46" s="99"/>
      <c r="J46" s="99"/>
      <c r="K46" s="99"/>
      <c r="L46" s="99"/>
      <c r="M46" s="99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  <c r="BP46" s="100"/>
      <c r="BQ46" s="100"/>
      <c r="BR46" s="100"/>
      <c r="BS46" s="100"/>
      <c r="BT46" s="100"/>
      <c r="BU46" s="100"/>
      <c r="BV46" s="100"/>
      <c r="BW46" s="100"/>
      <c r="BX46" s="100"/>
      <c r="BY46" s="100"/>
      <c r="BZ46" s="100"/>
      <c r="CA46" s="100"/>
      <c r="CB46" s="100"/>
      <c r="CC46" s="100"/>
      <c r="CD46" s="100"/>
      <c r="CE46" s="100"/>
      <c r="CF46" s="100"/>
      <c r="CG46" s="100"/>
      <c r="CH46" s="100"/>
      <c r="CI46" s="100"/>
      <c r="CJ46" s="100"/>
      <c r="CK46" s="100"/>
      <c r="CL46" s="100"/>
      <c r="CM46" s="100"/>
      <c r="CN46" s="10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0"/>
      <c r="DJ46" s="100"/>
      <c r="DK46" s="100"/>
      <c r="DL46" s="100"/>
      <c r="DM46" s="100"/>
      <c r="DN46" s="100"/>
      <c r="DO46" s="100"/>
      <c r="DP46" s="100"/>
      <c r="DQ46" s="100"/>
      <c r="DR46" s="100"/>
      <c r="DS46" s="100"/>
      <c r="DT46" s="100"/>
      <c r="DU46" s="100"/>
      <c r="DV46" s="100"/>
      <c r="DW46" s="100"/>
      <c r="DX46" s="100"/>
      <c r="DY46" s="100">
        <v>10</v>
      </c>
      <c r="DZ46" s="100"/>
      <c r="EA46" s="100"/>
      <c r="EB46" s="100"/>
      <c r="EC46" s="100"/>
      <c r="ED46" s="100"/>
      <c r="EE46" s="100"/>
      <c r="EF46" s="100"/>
      <c r="EG46" s="100"/>
      <c r="EH46" s="100"/>
      <c r="EI46" s="100"/>
      <c r="EJ46" s="100"/>
      <c r="EK46" s="100"/>
      <c r="EL46" s="100"/>
      <c r="EM46" s="100"/>
      <c r="EN46" s="100"/>
      <c r="EO46" s="100"/>
      <c r="EP46" s="100"/>
      <c r="EQ46" s="100"/>
      <c r="ER46" s="100"/>
      <c r="ES46" s="100"/>
      <c r="ET46" s="100"/>
      <c r="EU46" s="100"/>
      <c r="EV46" s="100"/>
      <c r="EW46" s="100"/>
      <c r="EX46" s="100"/>
      <c r="EY46" s="100"/>
      <c r="EZ46" s="100"/>
      <c r="FA46" s="100"/>
      <c r="FB46" s="100"/>
      <c r="FC46" s="100"/>
      <c r="FD46" s="100"/>
      <c r="FE46" s="100"/>
      <c r="FF46" s="100"/>
      <c r="FG46" s="100"/>
      <c r="FH46" s="100">
        <v>60</v>
      </c>
      <c r="FI46" s="100"/>
      <c r="FJ46" s="100"/>
      <c r="FK46" s="100"/>
      <c r="FL46" s="100"/>
      <c r="FM46" s="100"/>
      <c r="FN46" s="100"/>
      <c r="FO46" s="100"/>
      <c r="FP46" s="100"/>
      <c r="FQ46" s="100"/>
      <c r="FR46" s="100"/>
      <c r="FS46" s="100"/>
      <c r="FT46" s="100"/>
      <c r="FU46" s="100"/>
      <c r="FV46" s="100"/>
      <c r="FW46" s="100"/>
      <c r="FX46" s="100"/>
      <c r="FY46" s="100"/>
      <c r="FZ46" s="100"/>
      <c r="GA46" s="100"/>
      <c r="GB46" s="100"/>
      <c r="GC46" s="100"/>
      <c r="GD46" s="100"/>
      <c r="GE46" s="100"/>
      <c r="GF46" s="100"/>
      <c r="GG46" s="100"/>
      <c r="GH46" s="100"/>
      <c r="GI46" s="100"/>
      <c r="GJ46" s="100"/>
      <c r="GK46" s="100"/>
      <c r="GL46" s="100"/>
      <c r="GM46" s="100"/>
      <c r="GN46" s="100"/>
      <c r="GO46" s="100"/>
      <c r="GP46" s="100"/>
      <c r="GQ46" s="100"/>
      <c r="GR46" s="100"/>
      <c r="GS46" s="100"/>
      <c r="GT46" s="100"/>
      <c r="GU46" s="100"/>
      <c r="GV46" s="100"/>
      <c r="GW46" s="100"/>
      <c r="GX46" s="100"/>
      <c r="GY46" s="100"/>
      <c r="GZ46" s="100"/>
      <c r="HA46" s="100"/>
      <c r="HB46" s="100"/>
      <c r="HC46" s="100"/>
      <c r="HD46" s="100"/>
      <c r="HE46" s="100"/>
      <c r="HF46" s="100"/>
      <c r="HG46" s="100"/>
      <c r="HH46" s="100"/>
      <c r="HI46" s="100"/>
      <c r="HJ46" s="100"/>
      <c r="HK46" s="100"/>
      <c r="HL46" s="100"/>
      <c r="HM46" s="100"/>
      <c r="HN46" s="100"/>
      <c r="HO46" s="100"/>
      <c r="HP46" s="100"/>
      <c r="HQ46" s="100"/>
      <c r="HR46" s="100"/>
      <c r="HS46" s="100"/>
      <c r="HT46" s="100"/>
      <c r="HU46" s="100"/>
      <c r="HV46" s="100"/>
      <c r="HW46" s="100"/>
      <c r="HX46" s="100"/>
      <c r="HY46" s="100"/>
      <c r="HZ46" s="100"/>
      <c r="IA46" s="100"/>
      <c r="IB46" s="100"/>
      <c r="IC46" s="100"/>
      <c r="ID46" s="100"/>
      <c r="IE46" s="100"/>
      <c r="IF46" s="100"/>
      <c r="IG46" s="100"/>
      <c r="IH46" s="100"/>
      <c r="II46" s="100"/>
      <c r="IJ46" s="100"/>
      <c r="IK46" s="100"/>
      <c r="IL46" s="100"/>
      <c r="IM46" s="100"/>
      <c r="IN46" s="100"/>
      <c r="IO46" s="100"/>
      <c r="IP46" s="100"/>
      <c r="IQ46" s="100"/>
      <c r="IR46" s="100"/>
      <c r="IS46" s="100"/>
      <c r="IT46" s="100"/>
      <c r="IU46" s="100"/>
      <c r="IV46" s="100"/>
      <c r="IW46" s="100"/>
      <c r="IX46" s="100"/>
      <c r="IY46" s="100"/>
      <c r="IZ46" s="100"/>
      <c r="JA46" s="100"/>
      <c r="JB46" s="100"/>
      <c r="JC46" s="100"/>
      <c r="JD46" s="100"/>
      <c r="JE46" s="100"/>
      <c r="JF46" s="100"/>
      <c r="JG46" s="100"/>
      <c r="JH46" s="100"/>
      <c r="JI46" s="100"/>
      <c r="JJ46" s="100"/>
      <c r="JK46" s="100"/>
      <c r="JL46" s="100"/>
      <c r="JM46" s="100"/>
      <c r="JN46" s="100"/>
      <c r="JO46" s="100"/>
      <c r="JP46" s="100"/>
      <c r="JQ46" s="100"/>
      <c r="JR46" s="100"/>
      <c r="JS46" s="100"/>
      <c r="JT46" s="100"/>
      <c r="JU46" s="100"/>
      <c r="JV46" s="100"/>
      <c r="JW46" s="100"/>
      <c r="JX46" s="100"/>
      <c r="JY46" s="100"/>
      <c r="JZ46" s="100"/>
      <c r="KA46" s="100"/>
      <c r="KB46" s="100"/>
      <c r="KC46" s="100"/>
      <c r="KD46" s="100"/>
      <c r="KE46" s="100"/>
      <c r="KF46" s="100"/>
      <c r="KG46" s="100"/>
      <c r="KH46" s="100"/>
      <c r="KI46" s="100"/>
      <c r="KJ46" s="100"/>
      <c r="KK46" s="100"/>
      <c r="KL46" s="100"/>
      <c r="KM46" s="100">
        <v>10</v>
      </c>
      <c r="KN46" s="100"/>
      <c r="KO46" s="100"/>
      <c r="KP46" s="100"/>
      <c r="KQ46" s="100"/>
      <c r="KR46" s="100"/>
      <c r="KS46" s="100"/>
      <c r="KT46" s="100"/>
      <c r="KU46" s="100"/>
      <c r="KV46" s="100"/>
      <c r="KW46" s="100"/>
      <c r="KX46" s="100"/>
      <c r="KY46" s="100"/>
      <c r="KZ46" s="100"/>
      <c r="LA46" s="100"/>
      <c r="LB46" s="100"/>
      <c r="LC46" s="100"/>
      <c r="LD46" s="100"/>
      <c r="LE46" s="100"/>
      <c r="LF46" s="100"/>
      <c r="LG46" s="100"/>
      <c r="LH46" s="100"/>
      <c r="LI46" s="100"/>
      <c r="LJ46" s="100"/>
      <c r="LK46" s="100"/>
      <c r="LL46" s="100"/>
      <c r="LM46" s="100"/>
      <c r="LN46" s="100"/>
      <c r="LO46" s="100"/>
      <c r="LP46" s="100"/>
      <c r="LQ46" s="100"/>
      <c r="LR46" s="100"/>
      <c r="LS46" s="100"/>
      <c r="LT46" s="100"/>
      <c r="LU46" s="100"/>
      <c r="LV46" s="100"/>
      <c r="LW46" s="100"/>
      <c r="LX46" s="100"/>
      <c r="LY46" s="100"/>
      <c r="LZ46" s="100"/>
      <c r="MA46" s="100"/>
      <c r="MB46" s="100"/>
      <c r="MC46" s="100"/>
      <c r="MD46" s="100"/>
      <c r="ME46" s="100"/>
      <c r="MF46" s="100"/>
      <c r="MG46" s="100"/>
      <c r="MH46" s="100"/>
      <c r="MI46" s="100"/>
      <c r="MJ46" s="100"/>
      <c r="MK46" s="100"/>
      <c r="ML46" s="100"/>
      <c r="MM46" s="100"/>
      <c r="MN46" s="100"/>
      <c r="MO46" s="100"/>
      <c r="MP46" s="100"/>
      <c r="MQ46" s="100"/>
      <c r="MR46" s="100"/>
      <c r="MS46" s="100"/>
      <c r="MT46" s="100"/>
      <c r="MU46" s="100"/>
      <c r="MV46" s="100"/>
      <c r="MW46" s="100"/>
      <c r="MX46" s="100"/>
      <c r="MY46" s="100"/>
      <c r="MZ46" s="100"/>
      <c r="NA46" s="100"/>
      <c r="NB46" s="100"/>
      <c r="NC46" s="100"/>
      <c r="ND46" s="100"/>
      <c r="NE46" s="100"/>
      <c r="NF46" s="100"/>
      <c r="NG46" s="100"/>
      <c r="NH46" s="100"/>
      <c r="NI46" s="100"/>
      <c r="NJ46" s="100"/>
      <c r="NK46" s="100"/>
      <c r="NL46" s="100"/>
      <c r="NM46" s="100"/>
      <c r="NN46" s="100"/>
      <c r="NO46" s="100"/>
      <c r="NP46" s="100"/>
      <c r="NQ46" s="100"/>
      <c r="NR46" s="100"/>
      <c r="NS46" s="100"/>
      <c r="NT46" s="100"/>
      <c r="NU46" s="100"/>
      <c r="NV46" s="100"/>
      <c r="NW46" s="100"/>
      <c r="NX46" s="100"/>
      <c r="NY46" s="100"/>
      <c r="NZ46" s="100"/>
      <c r="OA46" s="100"/>
      <c r="OB46" s="100"/>
      <c r="OC46" s="100"/>
      <c r="OD46" s="100"/>
      <c r="OE46" s="100"/>
      <c r="OF46" s="100"/>
      <c r="OG46" s="100"/>
      <c r="OH46" s="100"/>
      <c r="OI46" s="100"/>
      <c r="OJ46" s="100"/>
      <c r="OK46" s="100"/>
      <c r="OL46" s="100"/>
      <c r="OM46" s="100"/>
      <c r="ON46" s="100"/>
      <c r="OO46" s="100"/>
      <c r="OP46" s="100"/>
      <c r="OQ46" s="100"/>
      <c r="OR46" s="100"/>
      <c r="OS46" s="100"/>
      <c r="OT46" s="100"/>
      <c r="OU46" s="100"/>
      <c r="OV46" s="100"/>
      <c r="OW46" s="100"/>
      <c r="OX46" s="100"/>
      <c r="OY46" s="100"/>
      <c r="OZ46" s="100"/>
      <c r="PA46" s="100"/>
      <c r="PB46" s="100"/>
      <c r="PC46" s="100"/>
      <c r="PD46" s="100"/>
      <c r="PE46" s="100"/>
      <c r="PF46" s="100"/>
      <c r="PG46" s="100"/>
      <c r="PH46" s="100"/>
      <c r="PI46" s="100"/>
      <c r="PJ46" s="100"/>
      <c r="PK46" s="100"/>
      <c r="PL46" s="100"/>
      <c r="PM46" s="100"/>
      <c r="PN46" s="100"/>
      <c r="PO46" s="100"/>
      <c r="PP46" s="100"/>
      <c r="PQ46" s="100"/>
      <c r="PR46" s="100"/>
      <c r="PS46" s="100"/>
      <c r="PT46" s="100"/>
      <c r="PU46" s="100"/>
      <c r="PV46" s="100"/>
      <c r="PW46" s="100"/>
      <c r="PX46" s="100"/>
      <c r="PY46" s="100"/>
      <c r="PZ46" s="100"/>
      <c r="QA46" s="100"/>
      <c r="QB46" s="100"/>
      <c r="QC46" s="100"/>
      <c r="QD46" s="100"/>
      <c r="QE46" s="100"/>
      <c r="QF46" s="100"/>
      <c r="QG46" s="100"/>
      <c r="QH46" s="100"/>
      <c r="QI46" s="100"/>
      <c r="QJ46" s="100"/>
      <c r="QK46" s="100"/>
      <c r="QL46" s="100"/>
      <c r="QM46" s="100"/>
      <c r="QN46" s="100"/>
      <c r="QO46" s="100"/>
      <c r="QP46" s="100"/>
      <c r="QQ46" s="100"/>
      <c r="QR46" s="100"/>
      <c r="QS46" s="100"/>
      <c r="QT46" s="100"/>
      <c r="QU46" s="100"/>
      <c r="QV46" s="100"/>
      <c r="QW46" s="100"/>
      <c r="QX46" s="100"/>
      <c r="QY46" s="100"/>
      <c r="QZ46" s="23">
        <f t="shared" si="3"/>
        <v>80</v>
      </c>
      <c r="RA46" s="47" t="s">
        <v>36</v>
      </c>
      <c r="RB46" s="97">
        <v>6333.12</v>
      </c>
      <c r="RC46" s="63">
        <f t="shared" si="6"/>
        <v>0</v>
      </c>
      <c r="RD46" s="63">
        <v>3682.6</v>
      </c>
      <c r="RE46" s="97">
        <f t="shared" si="4"/>
        <v>6333.12</v>
      </c>
      <c r="RF46" s="107"/>
      <c r="RG46" s="107"/>
      <c r="RH46" s="83">
        <f t="shared" si="5"/>
        <v>1.7197414869928855</v>
      </c>
      <c r="RI46" s="116"/>
    </row>
    <row r="47" spans="1:477" s="5" customFormat="1" ht="12.75" customHeight="1" x14ac:dyDescent="0.2">
      <c r="A47" s="48">
        <v>44957</v>
      </c>
      <c r="B47" s="90" t="s">
        <v>557</v>
      </c>
      <c r="C47" s="98"/>
      <c r="D47" s="98"/>
      <c r="E47" s="99"/>
      <c r="F47" s="99"/>
      <c r="G47" s="99"/>
      <c r="H47" s="99"/>
      <c r="I47" s="99"/>
      <c r="J47" s="99"/>
      <c r="K47" s="99"/>
      <c r="L47" s="99"/>
      <c r="M47" s="99"/>
      <c r="N47" s="100"/>
      <c r="O47" s="100"/>
      <c r="P47" s="100"/>
      <c r="Q47" s="100"/>
      <c r="R47" s="100"/>
      <c r="S47" s="100"/>
      <c r="T47" s="100"/>
      <c r="U47" s="100">
        <v>40</v>
      </c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  <c r="BP47" s="100"/>
      <c r="BQ47" s="100"/>
      <c r="BR47" s="100"/>
      <c r="BS47" s="100"/>
      <c r="BT47" s="100"/>
      <c r="BU47" s="100"/>
      <c r="BV47" s="100"/>
      <c r="BW47" s="100"/>
      <c r="BX47" s="100"/>
      <c r="BY47" s="100"/>
      <c r="BZ47" s="100"/>
      <c r="CA47" s="100"/>
      <c r="CB47" s="100"/>
      <c r="CC47" s="100"/>
      <c r="CD47" s="100"/>
      <c r="CE47" s="100"/>
      <c r="CF47" s="100"/>
      <c r="CG47" s="100"/>
      <c r="CH47" s="100"/>
      <c r="CI47" s="100"/>
      <c r="CJ47" s="100"/>
      <c r="CK47" s="100"/>
      <c r="CL47" s="100"/>
      <c r="CM47" s="100"/>
      <c r="CN47" s="100"/>
      <c r="CO47" s="100"/>
      <c r="CP47" s="100"/>
      <c r="CQ47" s="100"/>
      <c r="CR47" s="100"/>
      <c r="CS47" s="100"/>
      <c r="CT47" s="100"/>
      <c r="CU47" s="100"/>
      <c r="CV47" s="100"/>
      <c r="CW47" s="100"/>
      <c r="CX47" s="100"/>
      <c r="CY47" s="100"/>
      <c r="CZ47" s="100"/>
      <c r="DA47" s="100"/>
      <c r="DB47" s="100"/>
      <c r="DC47" s="100"/>
      <c r="DD47" s="100"/>
      <c r="DE47" s="100"/>
      <c r="DF47" s="100"/>
      <c r="DG47" s="100"/>
      <c r="DH47" s="100"/>
      <c r="DI47" s="100"/>
      <c r="DJ47" s="100">
        <v>10</v>
      </c>
      <c r="DK47" s="100"/>
      <c r="DL47" s="100"/>
      <c r="DM47" s="100"/>
      <c r="DN47" s="100"/>
      <c r="DO47" s="100"/>
      <c r="DP47" s="100"/>
      <c r="DQ47" s="100"/>
      <c r="DR47" s="100"/>
      <c r="DS47" s="100"/>
      <c r="DT47" s="100"/>
      <c r="DU47" s="100"/>
      <c r="DV47" s="100"/>
      <c r="DW47" s="100"/>
      <c r="DX47" s="100"/>
      <c r="DY47" s="100"/>
      <c r="DZ47" s="100"/>
      <c r="EA47" s="100"/>
      <c r="EB47" s="100"/>
      <c r="EC47" s="100"/>
      <c r="ED47" s="100"/>
      <c r="EE47" s="100"/>
      <c r="EF47" s="100"/>
      <c r="EG47" s="100"/>
      <c r="EH47" s="100"/>
      <c r="EI47" s="100"/>
      <c r="EJ47" s="100"/>
      <c r="EK47" s="100"/>
      <c r="EL47" s="100"/>
      <c r="EM47" s="100"/>
      <c r="EN47" s="100"/>
      <c r="EO47" s="100"/>
      <c r="EP47" s="100"/>
      <c r="EQ47" s="100"/>
      <c r="ER47" s="100"/>
      <c r="ES47" s="100"/>
      <c r="ET47" s="100"/>
      <c r="EU47" s="100"/>
      <c r="EV47" s="100"/>
      <c r="EW47" s="100"/>
      <c r="EX47" s="100"/>
      <c r="EY47" s="100"/>
      <c r="EZ47" s="100"/>
      <c r="FA47" s="100"/>
      <c r="FB47" s="100"/>
      <c r="FC47" s="100"/>
      <c r="FD47" s="100"/>
      <c r="FE47" s="100"/>
      <c r="FF47" s="100"/>
      <c r="FG47" s="100"/>
      <c r="FH47" s="100"/>
      <c r="FI47" s="100"/>
      <c r="FJ47" s="100"/>
      <c r="FK47" s="100"/>
      <c r="FL47" s="100"/>
      <c r="FM47" s="100">
        <v>32</v>
      </c>
      <c r="FN47" s="100"/>
      <c r="FO47" s="100"/>
      <c r="FP47" s="100"/>
      <c r="FQ47" s="100"/>
      <c r="FR47" s="100"/>
      <c r="FS47" s="100"/>
      <c r="FT47" s="100"/>
      <c r="FU47" s="100"/>
      <c r="FV47" s="100"/>
      <c r="FW47" s="100"/>
      <c r="FX47" s="100"/>
      <c r="FY47" s="100"/>
      <c r="FZ47" s="100"/>
      <c r="GA47" s="100"/>
      <c r="GB47" s="100"/>
      <c r="GC47" s="100"/>
      <c r="GD47" s="100"/>
      <c r="GE47" s="100"/>
      <c r="GF47" s="100"/>
      <c r="GG47" s="100"/>
      <c r="GH47" s="100"/>
      <c r="GI47" s="100"/>
      <c r="GJ47" s="100"/>
      <c r="GK47" s="100"/>
      <c r="GL47" s="100"/>
      <c r="GM47" s="100"/>
      <c r="GN47" s="100"/>
      <c r="GO47" s="100"/>
      <c r="GP47" s="100"/>
      <c r="GQ47" s="100"/>
      <c r="GR47" s="100"/>
      <c r="GS47" s="100"/>
      <c r="GT47" s="100"/>
      <c r="GU47" s="100"/>
      <c r="GV47" s="100"/>
      <c r="GW47" s="100"/>
      <c r="GX47" s="100"/>
      <c r="GY47" s="100"/>
      <c r="GZ47" s="100"/>
      <c r="HA47" s="100"/>
      <c r="HB47" s="100"/>
      <c r="HC47" s="100"/>
      <c r="HD47" s="100"/>
      <c r="HE47" s="100"/>
      <c r="HF47" s="100"/>
      <c r="HG47" s="100"/>
      <c r="HH47" s="100"/>
      <c r="HI47" s="100"/>
      <c r="HJ47" s="100"/>
      <c r="HK47" s="100"/>
      <c r="HL47" s="100"/>
      <c r="HM47" s="100"/>
      <c r="HN47" s="100"/>
      <c r="HO47" s="100"/>
      <c r="HP47" s="100"/>
      <c r="HQ47" s="100"/>
      <c r="HR47" s="100"/>
      <c r="HS47" s="100"/>
      <c r="HT47" s="100"/>
      <c r="HU47" s="100"/>
      <c r="HV47" s="100"/>
      <c r="HW47" s="100"/>
      <c r="HX47" s="100"/>
      <c r="HY47" s="100"/>
      <c r="HZ47" s="100"/>
      <c r="IA47" s="100"/>
      <c r="IB47" s="100"/>
      <c r="IC47" s="100"/>
      <c r="ID47" s="100"/>
      <c r="IE47" s="100"/>
      <c r="IF47" s="100"/>
      <c r="IG47" s="100"/>
      <c r="IH47" s="100"/>
      <c r="II47" s="100"/>
      <c r="IJ47" s="100"/>
      <c r="IK47" s="100"/>
      <c r="IL47" s="100"/>
      <c r="IM47" s="100"/>
      <c r="IN47" s="100"/>
      <c r="IO47" s="100"/>
      <c r="IP47" s="100"/>
      <c r="IQ47" s="100"/>
      <c r="IR47" s="100"/>
      <c r="IS47" s="100"/>
      <c r="IT47" s="100"/>
      <c r="IU47" s="100"/>
      <c r="IV47" s="100"/>
      <c r="IW47" s="100"/>
      <c r="IX47" s="100"/>
      <c r="IY47" s="100"/>
      <c r="IZ47" s="100"/>
      <c r="JA47" s="100"/>
      <c r="JB47" s="100"/>
      <c r="JC47" s="100"/>
      <c r="JD47" s="100"/>
      <c r="JE47" s="100"/>
      <c r="JF47" s="100"/>
      <c r="JG47" s="100"/>
      <c r="JH47" s="100"/>
      <c r="JI47" s="100"/>
      <c r="JJ47" s="100"/>
      <c r="JK47" s="100"/>
      <c r="JL47" s="100"/>
      <c r="JM47" s="100"/>
      <c r="JN47" s="100"/>
      <c r="JO47" s="100"/>
      <c r="JP47" s="100"/>
      <c r="JQ47" s="100"/>
      <c r="JR47" s="100"/>
      <c r="JS47" s="100"/>
      <c r="JT47" s="100"/>
      <c r="JU47" s="100"/>
      <c r="JV47" s="100"/>
      <c r="JW47" s="100"/>
      <c r="JX47" s="100"/>
      <c r="JY47" s="100"/>
      <c r="JZ47" s="100"/>
      <c r="KA47" s="100"/>
      <c r="KB47" s="100"/>
      <c r="KC47" s="100"/>
      <c r="KD47" s="100"/>
      <c r="KE47" s="100"/>
      <c r="KF47" s="100"/>
      <c r="KG47" s="100"/>
      <c r="KH47" s="100"/>
      <c r="KI47" s="100"/>
      <c r="KJ47" s="100"/>
      <c r="KK47" s="100"/>
      <c r="KL47" s="100"/>
      <c r="KM47" s="100"/>
      <c r="KN47" s="100"/>
      <c r="KO47" s="100"/>
      <c r="KP47" s="100"/>
      <c r="KQ47" s="100"/>
      <c r="KR47" s="100"/>
      <c r="KS47" s="100"/>
      <c r="KT47" s="100"/>
      <c r="KU47" s="100"/>
      <c r="KV47" s="100"/>
      <c r="KW47" s="100"/>
      <c r="KX47" s="100"/>
      <c r="KY47" s="100"/>
      <c r="KZ47" s="100"/>
      <c r="LA47" s="100"/>
      <c r="LB47" s="100"/>
      <c r="LC47" s="100"/>
      <c r="LD47" s="100"/>
      <c r="LE47" s="100"/>
      <c r="LF47" s="100"/>
      <c r="LG47" s="100"/>
      <c r="LH47" s="100"/>
      <c r="LI47" s="100"/>
      <c r="LJ47" s="100"/>
      <c r="LK47" s="100"/>
      <c r="LL47" s="100"/>
      <c r="LM47" s="100"/>
      <c r="LN47" s="100"/>
      <c r="LO47" s="100"/>
      <c r="LP47" s="100"/>
      <c r="LQ47" s="100"/>
      <c r="LR47" s="100"/>
      <c r="LS47" s="100"/>
      <c r="LT47" s="100"/>
      <c r="LU47" s="100"/>
      <c r="LV47" s="100"/>
      <c r="LW47" s="100"/>
      <c r="LX47" s="100"/>
      <c r="LY47" s="100"/>
      <c r="LZ47" s="100"/>
      <c r="MA47" s="100"/>
      <c r="MB47" s="100"/>
      <c r="MC47" s="100"/>
      <c r="MD47" s="100"/>
      <c r="ME47" s="100"/>
      <c r="MF47" s="100"/>
      <c r="MG47" s="100"/>
      <c r="MH47" s="100"/>
      <c r="MI47" s="100"/>
      <c r="MJ47" s="100"/>
      <c r="MK47" s="100"/>
      <c r="ML47" s="100"/>
      <c r="MM47" s="100"/>
      <c r="MN47" s="100"/>
      <c r="MO47" s="100"/>
      <c r="MP47" s="100"/>
      <c r="MQ47" s="100"/>
      <c r="MR47" s="100"/>
      <c r="MS47" s="100"/>
      <c r="MT47" s="100"/>
      <c r="MU47" s="100"/>
      <c r="MV47" s="100"/>
      <c r="MW47" s="100"/>
      <c r="MX47" s="100"/>
      <c r="MY47" s="100"/>
      <c r="MZ47" s="100"/>
      <c r="NA47" s="100"/>
      <c r="NB47" s="100"/>
      <c r="NC47" s="100"/>
      <c r="ND47" s="100"/>
      <c r="NE47" s="100"/>
      <c r="NF47" s="100"/>
      <c r="NG47" s="100"/>
      <c r="NH47" s="100"/>
      <c r="NI47" s="100"/>
      <c r="NJ47" s="100"/>
      <c r="NK47" s="100"/>
      <c r="NL47" s="100"/>
      <c r="NM47" s="100"/>
      <c r="NN47" s="100"/>
      <c r="NO47" s="100"/>
      <c r="NP47" s="100"/>
      <c r="NQ47" s="100"/>
      <c r="NR47" s="100"/>
      <c r="NS47" s="100"/>
      <c r="NT47" s="100"/>
      <c r="NU47" s="100"/>
      <c r="NV47" s="100"/>
      <c r="NW47" s="100"/>
      <c r="NX47" s="100"/>
      <c r="NY47" s="100"/>
      <c r="NZ47" s="100"/>
      <c r="OA47" s="100"/>
      <c r="OB47" s="100"/>
      <c r="OC47" s="100"/>
      <c r="OD47" s="100"/>
      <c r="OE47" s="100"/>
      <c r="OF47" s="100"/>
      <c r="OG47" s="100"/>
      <c r="OH47" s="100"/>
      <c r="OI47" s="100"/>
      <c r="OJ47" s="100"/>
      <c r="OK47" s="100"/>
      <c r="OL47" s="100"/>
      <c r="OM47" s="100"/>
      <c r="ON47" s="100"/>
      <c r="OO47" s="100"/>
      <c r="OP47" s="100"/>
      <c r="OQ47" s="100"/>
      <c r="OR47" s="100"/>
      <c r="OS47" s="100"/>
      <c r="OT47" s="100"/>
      <c r="OU47" s="100"/>
      <c r="OV47" s="100"/>
      <c r="OW47" s="100"/>
      <c r="OX47" s="100"/>
      <c r="OY47" s="100"/>
      <c r="OZ47" s="100"/>
      <c r="PA47" s="100"/>
      <c r="PB47" s="100"/>
      <c r="PC47" s="100"/>
      <c r="PD47" s="100"/>
      <c r="PE47" s="100"/>
      <c r="PF47" s="100"/>
      <c r="PG47" s="100"/>
      <c r="PH47" s="100"/>
      <c r="PI47" s="100"/>
      <c r="PJ47" s="100"/>
      <c r="PK47" s="100"/>
      <c r="PL47" s="100"/>
      <c r="PM47" s="100"/>
      <c r="PN47" s="100"/>
      <c r="PO47" s="100"/>
      <c r="PP47" s="100"/>
      <c r="PQ47" s="100"/>
      <c r="PR47" s="100"/>
      <c r="PS47" s="100"/>
      <c r="PT47" s="100"/>
      <c r="PU47" s="100"/>
      <c r="PV47" s="100"/>
      <c r="PW47" s="100"/>
      <c r="PX47" s="100"/>
      <c r="PY47" s="100"/>
      <c r="PZ47" s="100"/>
      <c r="QA47" s="100"/>
      <c r="QB47" s="100"/>
      <c r="QC47" s="100"/>
      <c r="QD47" s="100"/>
      <c r="QE47" s="100"/>
      <c r="QF47" s="100"/>
      <c r="QG47" s="100"/>
      <c r="QH47" s="100"/>
      <c r="QI47" s="100"/>
      <c r="QJ47" s="100"/>
      <c r="QK47" s="100"/>
      <c r="QL47" s="100"/>
      <c r="QM47" s="100"/>
      <c r="QN47" s="100"/>
      <c r="QO47" s="100"/>
      <c r="QP47" s="100"/>
      <c r="QQ47" s="100"/>
      <c r="QR47" s="100"/>
      <c r="QS47" s="100"/>
      <c r="QT47" s="100"/>
      <c r="QU47" s="100"/>
      <c r="QV47" s="100"/>
      <c r="QW47" s="100"/>
      <c r="QX47" s="100"/>
      <c r="QY47" s="100"/>
      <c r="QZ47" s="23">
        <f t="shared" si="3"/>
        <v>82</v>
      </c>
      <c r="RA47" s="47" t="s">
        <v>36</v>
      </c>
      <c r="RB47" s="97">
        <v>8116.46</v>
      </c>
      <c r="RC47" s="63">
        <f t="shared" si="6"/>
        <v>79.260000000000005</v>
      </c>
      <c r="RD47" s="63">
        <v>4874.2000000000007</v>
      </c>
      <c r="RE47" s="97">
        <f t="shared" si="4"/>
        <v>8037.2</v>
      </c>
      <c r="RF47" s="107">
        <v>79.260000000000005</v>
      </c>
      <c r="RG47" s="107"/>
      <c r="RH47" s="83">
        <f t="shared" si="5"/>
        <v>1.6651881334372818</v>
      </c>
      <c r="RI47" s="116" t="s">
        <v>560</v>
      </c>
    </row>
    <row r="48" spans="1:477" s="5" customFormat="1" ht="12.75" customHeight="1" x14ac:dyDescent="0.2">
      <c r="A48" s="48">
        <v>44957</v>
      </c>
      <c r="B48" s="81" t="s">
        <v>555</v>
      </c>
      <c r="C48" s="98"/>
      <c r="D48" s="98"/>
      <c r="E48" s="99"/>
      <c r="F48" s="99"/>
      <c r="G48" s="99"/>
      <c r="H48" s="99"/>
      <c r="I48" s="99"/>
      <c r="J48" s="99"/>
      <c r="K48" s="99"/>
      <c r="L48" s="99"/>
      <c r="M48" s="99"/>
      <c r="N48" s="100"/>
      <c r="O48" s="100"/>
      <c r="P48" s="100"/>
      <c r="Q48" s="100"/>
      <c r="R48" s="100"/>
      <c r="S48" s="100"/>
      <c r="T48" s="100"/>
      <c r="U48" s="100">
        <v>10</v>
      </c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0"/>
      <c r="CD48" s="100"/>
      <c r="CE48" s="100"/>
      <c r="CF48" s="100"/>
      <c r="CG48" s="100"/>
      <c r="CH48" s="100"/>
      <c r="CI48" s="100"/>
      <c r="CJ48" s="100"/>
      <c r="CK48" s="100"/>
      <c r="CL48" s="100"/>
      <c r="CM48" s="100"/>
      <c r="CN48" s="100"/>
      <c r="CO48" s="100"/>
      <c r="CP48" s="100"/>
      <c r="CQ48" s="100"/>
      <c r="CR48" s="100"/>
      <c r="CS48" s="100"/>
      <c r="CT48" s="100"/>
      <c r="CU48" s="100"/>
      <c r="CV48" s="100"/>
      <c r="CW48" s="100"/>
      <c r="CX48" s="100"/>
      <c r="CY48" s="100"/>
      <c r="CZ48" s="100"/>
      <c r="DA48" s="100"/>
      <c r="DB48" s="100"/>
      <c r="DC48" s="100"/>
      <c r="DD48" s="100"/>
      <c r="DE48" s="100"/>
      <c r="DF48" s="100"/>
      <c r="DG48" s="100"/>
      <c r="DH48" s="100"/>
      <c r="DI48" s="100"/>
      <c r="DJ48" s="100"/>
      <c r="DK48" s="100"/>
      <c r="DL48" s="100"/>
      <c r="DM48" s="100"/>
      <c r="DN48" s="100"/>
      <c r="DO48" s="100"/>
      <c r="DP48" s="100"/>
      <c r="DQ48" s="100"/>
      <c r="DR48" s="100"/>
      <c r="DS48" s="100"/>
      <c r="DT48" s="100"/>
      <c r="DU48" s="100"/>
      <c r="DV48" s="100"/>
      <c r="DW48" s="100"/>
      <c r="DX48" s="100"/>
      <c r="DY48" s="100"/>
      <c r="DZ48" s="100"/>
      <c r="EA48" s="100"/>
      <c r="EB48" s="100"/>
      <c r="EC48" s="100"/>
      <c r="ED48" s="100"/>
      <c r="EE48" s="100"/>
      <c r="EF48" s="100"/>
      <c r="EG48" s="100"/>
      <c r="EH48" s="100"/>
      <c r="EI48" s="100"/>
      <c r="EJ48" s="100"/>
      <c r="EK48" s="100"/>
      <c r="EL48" s="100"/>
      <c r="EM48" s="100"/>
      <c r="EN48" s="100"/>
      <c r="EO48" s="100"/>
      <c r="EP48" s="100"/>
      <c r="EQ48" s="100"/>
      <c r="ER48" s="100"/>
      <c r="ES48" s="100"/>
      <c r="ET48" s="100"/>
      <c r="EU48" s="100"/>
      <c r="EV48" s="100"/>
      <c r="EW48" s="100"/>
      <c r="EX48" s="100"/>
      <c r="EY48" s="100"/>
      <c r="EZ48" s="100"/>
      <c r="FA48" s="100"/>
      <c r="FB48" s="100"/>
      <c r="FC48" s="100"/>
      <c r="FD48" s="100"/>
      <c r="FE48" s="100"/>
      <c r="FF48" s="100"/>
      <c r="FG48" s="100"/>
      <c r="FH48" s="100"/>
      <c r="FI48" s="100"/>
      <c r="FJ48" s="100"/>
      <c r="FK48" s="100"/>
      <c r="FL48" s="100"/>
      <c r="FM48" s="100"/>
      <c r="FN48" s="100"/>
      <c r="FO48" s="100"/>
      <c r="FP48" s="100"/>
      <c r="FQ48" s="100"/>
      <c r="FR48" s="100"/>
      <c r="FS48" s="100"/>
      <c r="FT48" s="100"/>
      <c r="FU48" s="100"/>
      <c r="FV48" s="100"/>
      <c r="FW48" s="100"/>
      <c r="FX48" s="100"/>
      <c r="FY48" s="100"/>
      <c r="FZ48" s="100"/>
      <c r="GA48" s="100"/>
      <c r="GB48" s="100"/>
      <c r="GC48" s="100"/>
      <c r="GD48" s="100"/>
      <c r="GE48" s="100"/>
      <c r="GF48" s="100"/>
      <c r="GG48" s="100"/>
      <c r="GH48" s="100"/>
      <c r="GI48" s="100"/>
      <c r="GJ48" s="100"/>
      <c r="GK48" s="100"/>
      <c r="GL48" s="100"/>
      <c r="GM48" s="100"/>
      <c r="GN48" s="100"/>
      <c r="GO48" s="100"/>
      <c r="GP48" s="100"/>
      <c r="GQ48" s="100"/>
      <c r="GR48" s="100"/>
      <c r="GS48" s="100"/>
      <c r="GT48" s="100"/>
      <c r="GU48" s="100"/>
      <c r="GV48" s="100"/>
      <c r="GW48" s="100"/>
      <c r="GX48" s="100"/>
      <c r="GY48" s="100"/>
      <c r="GZ48" s="100"/>
      <c r="HA48" s="100"/>
      <c r="HB48" s="100"/>
      <c r="HC48" s="100"/>
      <c r="HD48" s="100"/>
      <c r="HE48" s="100"/>
      <c r="HF48" s="100"/>
      <c r="HG48" s="100"/>
      <c r="HH48" s="100"/>
      <c r="HI48" s="100"/>
      <c r="HJ48" s="100"/>
      <c r="HK48" s="100"/>
      <c r="HL48" s="100"/>
      <c r="HM48" s="100"/>
      <c r="HN48" s="100"/>
      <c r="HO48" s="100"/>
      <c r="HP48" s="100"/>
      <c r="HQ48" s="100"/>
      <c r="HR48" s="100"/>
      <c r="HS48" s="100"/>
      <c r="HT48" s="100"/>
      <c r="HU48" s="100"/>
      <c r="HV48" s="100"/>
      <c r="HW48" s="100"/>
      <c r="HX48" s="100"/>
      <c r="HY48" s="100"/>
      <c r="HZ48" s="100"/>
      <c r="IA48" s="100"/>
      <c r="IB48" s="100"/>
      <c r="IC48" s="100"/>
      <c r="ID48" s="100"/>
      <c r="IE48" s="100"/>
      <c r="IF48" s="100"/>
      <c r="IG48" s="100"/>
      <c r="IH48" s="100"/>
      <c r="II48" s="100"/>
      <c r="IJ48" s="100"/>
      <c r="IK48" s="100"/>
      <c r="IL48" s="100"/>
      <c r="IM48" s="100"/>
      <c r="IN48" s="100"/>
      <c r="IO48" s="100"/>
      <c r="IP48" s="100"/>
      <c r="IQ48" s="100"/>
      <c r="IR48" s="100"/>
      <c r="IS48" s="100"/>
      <c r="IT48" s="100"/>
      <c r="IU48" s="100"/>
      <c r="IV48" s="100"/>
      <c r="IW48" s="100"/>
      <c r="IX48" s="100"/>
      <c r="IY48" s="100"/>
      <c r="IZ48" s="100"/>
      <c r="JA48" s="100"/>
      <c r="JB48" s="100"/>
      <c r="JC48" s="100"/>
      <c r="JD48" s="100"/>
      <c r="JE48" s="100"/>
      <c r="JF48" s="100"/>
      <c r="JG48" s="100"/>
      <c r="JH48" s="100"/>
      <c r="JI48" s="100"/>
      <c r="JJ48" s="100"/>
      <c r="JK48" s="100"/>
      <c r="JL48" s="100"/>
      <c r="JM48" s="100"/>
      <c r="JN48" s="100"/>
      <c r="JO48" s="100"/>
      <c r="JP48" s="100"/>
      <c r="JQ48" s="100"/>
      <c r="JR48" s="100"/>
      <c r="JS48" s="100"/>
      <c r="JT48" s="100"/>
      <c r="JU48" s="100"/>
      <c r="JV48" s="100"/>
      <c r="JW48" s="100"/>
      <c r="JX48" s="100"/>
      <c r="JY48" s="100"/>
      <c r="JZ48" s="100"/>
      <c r="KA48" s="100"/>
      <c r="KB48" s="100"/>
      <c r="KC48" s="100"/>
      <c r="KD48" s="100"/>
      <c r="KE48" s="100"/>
      <c r="KF48" s="100"/>
      <c r="KG48" s="100"/>
      <c r="KH48" s="100"/>
      <c r="KI48" s="100"/>
      <c r="KJ48" s="100"/>
      <c r="KK48" s="100"/>
      <c r="KL48" s="100"/>
      <c r="KM48" s="100"/>
      <c r="KN48" s="100"/>
      <c r="KO48" s="100"/>
      <c r="KP48" s="100"/>
      <c r="KQ48" s="100"/>
      <c r="KR48" s="100"/>
      <c r="KS48" s="100"/>
      <c r="KT48" s="100"/>
      <c r="KU48" s="100"/>
      <c r="KV48" s="100"/>
      <c r="KW48" s="100"/>
      <c r="KX48" s="100"/>
      <c r="KY48" s="100"/>
      <c r="KZ48" s="100"/>
      <c r="LA48" s="100"/>
      <c r="LB48" s="100"/>
      <c r="LC48" s="100"/>
      <c r="LD48" s="100"/>
      <c r="LE48" s="100"/>
      <c r="LF48" s="100"/>
      <c r="LG48" s="100"/>
      <c r="LH48" s="100"/>
      <c r="LI48" s="100"/>
      <c r="LJ48" s="100"/>
      <c r="LK48" s="100"/>
      <c r="LL48" s="100"/>
      <c r="LM48" s="100"/>
      <c r="LN48" s="100"/>
      <c r="LO48" s="100"/>
      <c r="LP48" s="100"/>
      <c r="LQ48" s="100"/>
      <c r="LR48" s="100"/>
      <c r="LS48" s="100"/>
      <c r="LT48" s="100"/>
      <c r="LU48" s="100"/>
      <c r="LV48" s="100"/>
      <c r="LW48" s="100"/>
      <c r="LX48" s="100"/>
      <c r="LY48" s="100"/>
      <c r="LZ48" s="100"/>
      <c r="MA48" s="100"/>
      <c r="MB48" s="100"/>
      <c r="MC48" s="100"/>
      <c r="MD48" s="100"/>
      <c r="ME48" s="100"/>
      <c r="MF48" s="100"/>
      <c r="MG48" s="100"/>
      <c r="MH48" s="100"/>
      <c r="MI48" s="100"/>
      <c r="MJ48" s="100"/>
      <c r="MK48" s="100"/>
      <c r="ML48" s="100"/>
      <c r="MM48" s="100"/>
      <c r="MN48" s="100"/>
      <c r="MO48" s="100"/>
      <c r="MP48" s="100"/>
      <c r="MQ48" s="100"/>
      <c r="MR48" s="100"/>
      <c r="MS48" s="100"/>
      <c r="MT48" s="100"/>
      <c r="MU48" s="100"/>
      <c r="MV48" s="100"/>
      <c r="MW48" s="100"/>
      <c r="MX48" s="100"/>
      <c r="MY48" s="100"/>
      <c r="MZ48" s="100"/>
      <c r="NA48" s="100"/>
      <c r="NB48" s="100"/>
      <c r="NC48" s="100"/>
      <c r="ND48" s="100"/>
      <c r="NE48" s="100"/>
      <c r="NF48" s="100"/>
      <c r="NG48" s="100"/>
      <c r="NH48" s="100"/>
      <c r="NI48" s="100"/>
      <c r="NJ48" s="100"/>
      <c r="NK48" s="100"/>
      <c r="NL48" s="100"/>
      <c r="NM48" s="100"/>
      <c r="NN48" s="100"/>
      <c r="NO48" s="100"/>
      <c r="NP48" s="100"/>
      <c r="NQ48" s="100"/>
      <c r="NR48" s="100"/>
      <c r="NS48" s="100"/>
      <c r="NT48" s="100"/>
      <c r="NU48" s="100"/>
      <c r="NV48" s="100"/>
      <c r="NW48" s="100"/>
      <c r="NX48" s="100"/>
      <c r="NY48" s="100"/>
      <c r="NZ48" s="100"/>
      <c r="OA48" s="100"/>
      <c r="OB48" s="100"/>
      <c r="OC48" s="100"/>
      <c r="OD48" s="100"/>
      <c r="OE48" s="100"/>
      <c r="OF48" s="100"/>
      <c r="OG48" s="100"/>
      <c r="OH48" s="100"/>
      <c r="OI48" s="100"/>
      <c r="OJ48" s="100"/>
      <c r="OK48" s="100"/>
      <c r="OL48" s="100"/>
      <c r="OM48" s="100"/>
      <c r="ON48" s="100"/>
      <c r="OO48" s="100"/>
      <c r="OP48" s="100"/>
      <c r="OQ48" s="100"/>
      <c r="OR48" s="100"/>
      <c r="OS48" s="100"/>
      <c r="OT48" s="100"/>
      <c r="OU48" s="100"/>
      <c r="OV48" s="100"/>
      <c r="OW48" s="100"/>
      <c r="OX48" s="100"/>
      <c r="OY48" s="100"/>
      <c r="OZ48" s="100"/>
      <c r="PA48" s="100"/>
      <c r="PB48" s="100"/>
      <c r="PC48" s="100"/>
      <c r="PD48" s="100"/>
      <c r="PE48" s="100"/>
      <c r="PF48" s="100"/>
      <c r="PG48" s="100"/>
      <c r="PH48" s="100"/>
      <c r="PI48" s="100"/>
      <c r="PJ48" s="100"/>
      <c r="PK48" s="100"/>
      <c r="PL48" s="100"/>
      <c r="PM48" s="100"/>
      <c r="PN48" s="100"/>
      <c r="PO48" s="100"/>
      <c r="PP48" s="100"/>
      <c r="PQ48" s="100"/>
      <c r="PR48" s="100"/>
      <c r="PS48" s="100"/>
      <c r="PT48" s="100"/>
      <c r="PU48" s="100"/>
      <c r="PV48" s="100"/>
      <c r="PW48" s="100"/>
      <c r="PX48" s="100"/>
      <c r="PY48" s="100"/>
      <c r="PZ48" s="100"/>
      <c r="QA48" s="100"/>
      <c r="QB48" s="100"/>
      <c r="QC48" s="100"/>
      <c r="QD48" s="100"/>
      <c r="QE48" s="100"/>
      <c r="QF48" s="100"/>
      <c r="QG48" s="100"/>
      <c r="QH48" s="100"/>
      <c r="QI48" s="100"/>
      <c r="QJ48" s="100"/>
      <c r="QK48" s="100"/>
      <c r="QL48" s="100"/>
      <c r="QM48" s="100"/>
      <c r="QN48" s="100"/>
      <c r="QO48" s="100"/>
      <c r="QP48" s="100"/>
      <c r="QQ48" s="100"/>
      <c r="QR48" s="100"/>
      <c r="QS48" s="100"/>
      <c r="QT48" s="100"/>
      <c r="QU48" s="100"/>
      <c r="QV48" s="100"/>
      <c r="QW48" s="100"/>
      <c r="QX48" s="100"/>
      <c r="QY48" s="100"/>
      <c r="QZ48" s="23">
        <f t="shared" si="3"/>
        <v>10</v>
      </c>
      <c r="RA48" s="47" t="s">
        <v>36</v>
      </c>
      <c r="RB48" s="97">
        <v>792</v>
      </c>
      <c r="RC48" s="63">
        <f t="shared" si="6"/>
        <v>0</v>
      </c>
      <c r="RD48" s="63">
        <v>508.40000000000003</v>
      </c>
      <c r="RE48" s="97">
        <f t="shared" si="4"/>
        <v>792</v>
      </c>
      <c r="RF48" s="107"/>
      <c r="RG48" s="107"/>
      <c r="RH48" s="83">
        <f t="shared" si="5"/>
        <v>1.5578284815106214</v>
      </c>
      <c r="RI48" s="116" t="s">
        <v>528</v>
      </c>
    </row>
    <row r="49" spans="1:477" s="5" customFormat="1" ht="12.75" customHeight="1" x14ac:dyDescent="0.2">
      <c r="A49" s="48">
        <v>44957</v>
      </c>
      <c r="B49" s="90" t="s">
        <v>548</v>
      </c>
      <c r="C49" s="98"/>
      <c r="D49" s="98"/>
      <c r="E49" s="99"/>
      <c r="F49" s="99"/>
      <c r="G49" s="99"/>
      <c r="H49" s="99"/>
      <c r="I49" s="99"/>
      <c r="J49" s="99"/>
      <c r="K49" s="99"/>
      <c r="L49" s="99"/>
      <c r="M49" s="99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  <c r="BP49" s="100"/>
      <c r="BQ49" s="100"/>
      <c r="BR49" s="100"/>
      <c r="BS49" s="100"/>
      <c r="BT49" s="100"/>
      <c r="BU49" s="100"/>
      <c r="BV49" s="100"/>
      <c r="BW49" s="100"/>
      <c r="BX49" s="100"/>
      <c r="BY49" s="100"/>
      <c r="BZ49" s="100"/>
      <c r="CA49" s="100"/>
      <c r="CB49" s="100"/>
      <c r="CC49" s="100"/>
      <c r="CD49" s="100"/>
      <c r="CE49" s="100"/>
      <c r="CF49" s="100"/>
      <c r="CG49" s="100"/>
      <c r="CH49" s="100"/>
      <c r="CI49" s="100"/>
      <c r="CJ49" s="100"/>
      <c r="CK49" s="100"/>
      <c r="CL49" s="100"/>
      <c r="CM49" s="100"/>
      <c r="CN49" s="100"/>
      <c r="CO49" s="100"/>
      <c r="CP49" s="100"/>
      <c r="CQ49" s="100"/>
      <c r="CR49" s="100"/>
      <c r="CS49" s="100"/>
      <c r="CT49" s="100"/>
      <c r="CU49" s="100"/>
      <c r="CV49" s="100"/>
      <c r="CW49" s="100"/>
      <c r="CX49" s="100"/>
      <c r="CY49" s="100"/>
      <c r="CZ49" s="100"/>
      <c r="DA49" s="100"/>
      <c r="DB49" s="100"/>
      <c r="DC49" s="100"/>
      <c r="DD49" s="100"/>
      <c r="DE49" s="100"/>
      <c r="DF49" s="100"/>
      <c r="DG49" s="100"/>
      <c r="DH49" s="100"/>
      <c r="DI49" s="100"/>
      <c r="DJ49" s="100"/>
      <c r="DK49" s="100"/>
      <c r="DL49" s="100"/>
      <c r="DM49" s="100"/>
      <c r="DN49" s="100"/>
      <c r="DO49" s="100"/>
      <c r="DP49" s="100"/>
      <c r="DQ49" s="100"/>
      <c r="DR49" s="100"/>
      <c r="DS49" s="100"/>
      <c r="DT49" s="100"/>
      <c r="DU49" s="100"/>
      <c r="DV49" s="100"/>
      <c r="DW49" s="100"/>
      <c r="DX49" s="100"/>
      <c r="DY49" s="100"/>
      <c r="DZ49" s="100"/>
      <c r="EA49" s="100"/>
      <c r="EB49" s="100"/>
      <c r="EC49" s="100"/>
      <c r="ED49" s="100"/>
      <c r="EE49" s="100"/>
      <c r="EF49" s="100"/>
      <c r="EG49" s="100"/>
      <c r="EH49" s="100"/>
      <c r="EI49" s="100"/>
      <c r="EJ49" s="100"/>
      <c r="EK49" s="100"/>
      <c r="EL49" s="100"/>
      <c r="EM49" s="100"/>
      <c r="EN49" s="100"/>
      <c r="EO49" s="100"/>
      <c r="EP49" s="100"/>
      <c r="EQ49" s="100"/>
      <c r="ER49" s="100"/>
      <c r="ES49" s="100"/>
      <c r="ET49" s="100"/>
      <c r="EU49" s="100"/>
      <c r="EV49" s="100"/>
      <c r="EW49" s="100"/>
      <c r="EX49" s="100"/>
      <c r="EY49" s="100"/>
      <c r="EZ49" s="100"/>
      <c r="FA49" s="100"/>
      <c r="FB49" s="100"/>
      <c r="FC49" s="100"/>
      <c r="FD49" s="100"/>
      <c r="FE49" s="100"/>
      <c r="FF49" s="100"/>
      <c r="FG49" s="100"/>
      <c r="FH49" s="100"/>
      <c r="FI49" s="100"/>
      <c r="FJ49" s="100"/>
      <c r="FK49" s="100"/>
      <c r="FL49" s="100"/>
      <c r="FM49" s="100"/>
      <c r="FN49" s="100"/>
      <c r="FO49" s="100"/>
      <c r="FP49" s="100"/>
      <c r="FQ49" s="100"/>
      <c r="FR49" s="100"/>
      <c r="FS49" s="100"/>
      <c r="FT49" s="100"/>
      <c r="FU49" s="100"/>
      <c r="FV49" s="100"/>
      <c r="FW49" s="100"/>
      <c r="FX49" s="100"/>
      <c r="FY49" s="100"/>
      <c r="FZ49" s="100"/>
      <c r="GA49" s="100"/>
      <c r="GB49" s="100"/>
      <c r="GC49" s="100"/>
      <c r="GD49" s="100"/>
      <c r="GE49" s="100"/>
      <c r="GF49" s="100"/>
      <c r="GG49" s="100"/>
      <c r="GH49" s="100"/>
      <c r="GI49" s="100"/>
      <c r="GJ49" s="100"/>
      <c r="GK49" s="100"/>
      <c r="GL49" s="100"/>
      <c r="GM49" s="100"/>
      <c r="GN49" s="100"/>
      <c r="GO49" s="100"/>
      <c r="GP49" s="100"/>
      <c r="GQ49" s="100"/>
      <c r="GR49" s="100"/>
      <c r="GS49" s="100"/>
      <c r="GT49" s="100"/>
      <c r="GU49" s="100"/>
      <c r="GV49" s="100"/>
      <c r="GW49" s="100"/>
      <c r="GX49" s="100"/>
      <c r="GY49" s="100"/>
      <c r="GZ49" s="100"/>
      <c r="HA49" s="100"/>
      <c r="HB49" s="100"/>
      <c r="HC49" s="100"/>
      <c r="HD49" s="100"/>
      <c r="HE49" s="100"/>
      <c r="HF49" s="100"/>
      <c r="HG49" s="100"/>
      <c r="HH49" s="100"/>
      <c r="HI49" s="100"/>
      <c r="HJ49" s="100"/>
      <c r="HK49" s="100"/>
      <c r="HL49" s="100"/>
      <c r="HM49" s="100"/>
      <c r="HN49" s="100"/>
      <c r="HO49" s="100"/>
      <c r="HP49" s="100"/>
      <c r="HQ49" s="100"/>
      <c r="HR49" s="100"/>
      <c r="HS49" s="100"/>
      <c r="HT49" s="100"/>
      <c r="HU49" s="100"/>
      <c r="HV49" s="100"/>
      <c r="HW49" s="100"/>
      <c r="HX49" s="100"/>
      <c r="HY49" s="100"/>
      <c r="HZ49" s="100"/>
      <c r="IA49" s="100"/>
      <c r="IB49" s="100"/>
      <c r="IC49" s="100"/>
      <c r="ID49" s="100"/>
      <c r="IE49" s="100"/>
      <c r="IF49" s="100"/>
      <c r="IG49" s="100"/>
      <c r="IH49" s="100"/>
      <c r="II49" s="100"/>
      <c r="IJ49" s="100"/>
      <c r="IK49" s="100"/>
      <c r="IL49" s="100"/>
      <c r="IM49" s="100"/>
      <c r="IN49" s="100"/>
      <c r="IO49" s="100"/>
      <c r="IP49" s="100"/>
      <c r="IQ49" s="100"/>
      <c r="IR49" s="100"/>
      <c r="IS49" s="100"/>
      <c r="IT49" s="100"/>
      <c r="IU49" s="100"/>
      <c r="IV49" s="100"/>
      <c r="IW49" s="100"/>
      <c r="IX49" s="100"/>
      <c r="IY49" s="100"/>
      <c r="IZ49" s="100"/>
      <c r="JA49" s="100"/>
      <c r="JB49" s="100"/>
      <c r="JC49" s="100"/>
      <c r="JD49" s="100"/>
      <c r="JE49" s="100"/>
      <c r="JF49" s="100"/>
      <c r="JG49" s="100"/>
      <c r="JH49" s="100"/>
      <c r="JI49" s="100">
        <v>1</v>
      </c>
      <c r="JJ49" s="100"/>
      <c r="JK49" s="100"/>
      <c r="JL49" s="100"/>
      <c r="JM49" s="100"/>
      <c r="JN49" s="100"/>
      <c r="JO49" s="100"/>
      <c r="JP49" s="100"/>
      <c r="JQ49" s="100"/>
      <c r="JR49" s="100"/>
      <c r="JS49" s="100"/>
      <c r="JT49" s="100"/>
      <c r="JU49" s="100"/>
      <c r="JV49" s="100"/>
      <c r="JW49" s="100"/>
      <c r="JX49" s="100"/>
      <c r="JY49" s="100"/>
      <c r="JZ49" s="100"/>
      <c r="KA49" s="100"/>
      <c r="KB49" s="100"/>
      <c r="KC49" s="100"/>
      <c r="KD49" s="100"/>
      <c r="KE49" s="100"/>
      <c r="KF49" s="100"/>
      <c r="KG49" s="100"/>
      <c r="KH49" s="100"/>
      <c r="KI49" s="100"/>
      <c r="KJ49" s="100"/>
      <c r="KK49" s="100"/>
      <c r="KL49" s="100"/>
      <c r="KM49" s="100"/>
      <c r="KN49" s="100"/>
      <c r="KO49" s="100"/>
      <c r="KP49" s="100"/>
      <c r="KQ49" s="100"/>
      <c r="KR49" s="100"/>
      <c r="KS49" s="100"/>
      <c r="KT49" s="100"/>
      <c r="KU49" s="100"/>
      <c r="KV49" s="100"/>
      <c r="KW49" s="100"/>
      <c r="KX49" s="100"/>
      <c r="KY49" s="100"/>
      <c r="KZ49" s="100"/>
      <c r="LA49" s="100"/>
      <c r="LB49" s="100"/>
      <c r="LC49" s="100"/>
      <c r="LD49" s="100"/>
      <c r="LE49" s="100"/>
      <c r="LF49" s="100"/>
      <c r="LG49" s="100"/>
      <c r="LH49" s="100"/>
      <c r="LI49" s="100"/>
      <c r="LJ49" s="100"/>
      <c r="LK49" s="100"/>
      <c r="LL49" s="100"/>
      <c r="LM49" s="100"/>
      <c r="LN49" s="100"/>
      <c r="LO49" s="100"/>
      <c r="LP49" s="100"/>
      <c r="LQ49" s="100"/>
      <c r="LR49" s="100"/>
      <c r="LS49" s="100"/>
      <c r="LT49" s="100"/>
      <c r="LU49" s="100"/>
      <c r="LV49" s="100"/>
      <c r="LW49" s="100"/>
      <c r="LX49" s="100"/>
      <c r="LY49" s="100"/>
      <c r="LZ49" s="100"/>
      <c r="MA49" s="100"/>
      <c r="MB49" s="100"/>
      <c r="MC49" s="100"/>
      <c r="MD49" s="100"/>
      <c r="ME49" s="100"/>
      <c r="MF49" s="100"/>
      <c r="MG49" s="100"/>
      <c r="MH49" s="100"/>
      <c r="MI49" s="100"/>
      <c r="MJ49" s="100"/>
      <c r="MK49" s="100"/>
      <c r="ML49" s="100"/>
      <c r="MM49" s="100"/>
      <c r="MN49" s="100"/>
      <c r="MO49" s="100"/>
      <c r="MP49" s="100"/>
      <c r="MQ49" s="100"/>
      <c r="MR49" s="100"/>
      <c r="MS49" s="100"/>
      <c r="MT49" s="100"/>
      <c r="MU49" s="100"/>
      <c r="MV49" s="100"/>
      <c r="MW49" s="100"/>
      <c r="MX49" s="100"/>
      <c r="MY49" s="100"/>
      <c r="MZ49" s="100"/>
      <c r="NA49" s="100"/>
      <c r="NB49" s="100"/>
      <c r="NC49" s="100"/>
      <c r="ND49" s="100"/>
      <c r="NE49" s="100"/>
      <c r="NF49" s="100"/>
      <c r="NG49" s="100"/>
      <c r="NH49" s="100"/>
      <c r="NI49" s="100"/>
      <c r="NJ49" s="100"/>
      <c r="NK49" s="100"/>
      <c r="NL49" s="100"/>
      <c r="NM49" s="100"/>
      <c r="NN49" s="100"/>
      <c r="NO49" s="100"/>
      <c r="NP49" s="100"/>
      <c r="NQ49" s="100"/>
      <c r="NR49" s="100"/>
      <c r="NS49" s="100"/>
      <c r="NT49" s="100"/>
      <c r="NU49" s="100"/>
      <c r="NV49" s="100"/>
      <c r="NW49" s="100"/>
      <c r="NX49" s="100"/>
      <c r="NY49" s="100"/>
      <c r="NZ49" s="100"/>
      <c r="OA49" s="100"/>
      <c r="OB49" s="100"/>
      <c r="OC49" s="100"/>
      <c r="OD49" s="100"/>
      <c r="OE49" s="100"/>
      <c r="OF49" s="100"/>
      <c r="OG49" s="100"/>
      <c r="OH49" s="100"/>
      <c r="OI49" s="100"/>
      <c r="OJ49" s="100"/>
      <c r="OK49" s="100"/>
      <c r="OL49" s="100"/>
      <c r="OM49" s="100"/>
      <c r="ON49" s="100"/>
      <c r="OO49" s="100"/>
      <c r="OP49" s="100"/>
      <c r="OQ49" s="100"/>
      <c r="OR49" s="100"/>
      <c r="OS49" s="100"/>
      <c r="OT49" s="100"/>
      <c r="OU49" s="100"/>
      <c r="OV49" s="100"/>
      <c r="OW49" s="100"/>
      <c r="OX49" s="100"/>
      <c r="OY49" s="100"/>
      <c r="OZ49" s="100"/>
      <c r="PA49" s="100"/>
      <c r="PB49" s="100"/>
      <c r="PC49" s="100"/>
      <c r="PD49" s="100"/>
      <c r="PE49" s="100"/>
      <c r="PF49" s="100"/>
      <c r="PG49" s="100"/>
      <c r="PH49" s="100"/>
      <c r="PI49" s="100"/>
      <c r="PJ49" s="100"/>
      <c r="PK49" s="100"/>
      <c r="PL49" s="100"/>
      <c r="PM49" s="100"/>
      <c r="PN49" s="100"/>
      <c r="PO49" s="100"/>
      <c r="PP49" s="100"/>
      <c r="PQ49" s="100"/>
      <c r="PR49" s="100"/>
      <c r="PS49" s="100"/>
      <c r="PT49" s="100"/>
      <c r="PU49" s="100"/>
      <c r="PV49" s="100"/>
      <c r="PW49" s="100"/>
      <c r="PX49" s="100"/>
      <c r="PY49" s="100"/>
      <c r="PZ49" s="100"/>
      <c r="QA49" s="100"/>
      <c r="QB49" s="100"/>
      <c r="QC49" s="100"/>
      <c r="QD49" s="100"/>
      <c r="QE49" s="100"/>
      <c r="QF49" s="100"/>
      <c r="QG49" s="100"/>
      <c r="QH49" s="100"/>
      <c r="QI49" s="100"/>
      <c r="QJ49" s="100"/>
      <c r="QK49" s="100"/>
      <c r="QL49" s="100"/>
      <c r="QM49" s="100"/>
      <c r="QN49" s="100"/>
      <c r="QO49" s="100"/>
      <c r="QP49" s="100"/>
      <c r="QQ49" s="100"/>
      <c r="QR49" s="100"/>
      <c r="QS49" s="100"/>
      <c r="QT49" s="100"/>
      <c r="QU49" s="100"/>
      <c r="QV49" s="100"/>
      <c r="QW49" s="100"/>
      <c r="QX49" s="100"/>
      <c r="QY49" s="100"/>
      <c r="QZ49" s="23">
        <f t="shared" si="3"/>
        <v>1</v>
      </c>
      <c r="RA49" s="47" t="s">
        <v>36</v>
      </c>
      <c r="RB49" s="97">
        <v>73.08</v>
      </c>
      <c r="RC49" s="63">
        <f>RF49</f>
        <v>73.08</v>
      </c>
      <c r="RD49" s="63">
        <v>44.34</v>
      </c>
      <c r="RE49" s="97">
        <f t="shared" si="4"/>
        <v>0</v>
      </c>
      <c r="RF49" s="107">
        <v>73.08</v>
      </c>
      <c r="RG49" s="107"/>
      <c r="RH49" s="83">
        <f t="shared" si="5"/>
        <v>1.6481732070365358</v>
      </c>
      <c r="RI49" s="116" t="s">
        <v>528</v>
      </c>
    </row>
    <row r="50" spans="1:477" s="5" customFormat="1" ht="12.75" customHeight="1" x14ac:dyDescent="0.2">
      <c r="A50" s="48">
        <v>44957</v>
      </c>
      <c r="B50" s="81" t="s">
        <v>331</v>
      </c>
      <c r="C50" s="98"/>
      <c r="D50" s="98"/>
      <c r="E50" s="99"/>
      <c r="F50" s="99"/>
      <c r="G50" s="99"/>
      <c r="H50" s="99"/>
      <c r="I50" s="99"/>
      <c r="J50" s="99"/>
      <c r="K50" s="99"/>
      <c r="L50" s="99"/>
      <c r="M50" s="99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  <c r="BP50" s="100"/>
      <c r="BQ50" s="100"/>
      <c r="BR50" s="100"/>
      <c r="BS50" s="100"/>
      <c r="BT50" s="100"/>
      <c r="BU50" s="100"/>
      <c r="BV50" s="100"/>
      <c r="BW50" s="100"/>
      <c r="BX50" s="100"/>
      <c r="BY50" s="100"/>
      <c r="BZ50" s="100"/>
      <c r="CA50" s="100"/>
      <c r="CB50" s="100"/>
      <c r="CC50" s="100"/>
      <c r="CD50" s="100"/>
      <c r="CE50" s="100"/>
      <c r="CF50" s="100"/>
      <c r="CG50" s="100"/>
      <c r="CH50" s="100"/>
      <c r="CI50" s="100"/>
      <c r="CJ50" s="100"/>
      <c r="CK50" s="100"/>
      <c r="CL50" s="100"/>
      <c r="CM50" s="100"/>
      <c r="CN50" s="100"/>
      <c r="CO50" s="100"/>
      <c r="CP50" s="100"/>
      <c r="CQ50" s="100"/>
      <c r="CR50" s="100"/>
      <c r="CS50" s="100"/>
      <c r="CT50" s="100"/>
      <c r="CU50" s="100">
        <v>27</v>
      </c>
      <c r="CV50" s="100"/>
      <c r="CW50" s="100"/>
      <c r="CX50" s="100"/>
      <c r="CY50" s="100"/>
      <c r="CZ50" s="100"/>
      <c r="DA50" s="100"/>
      <c r="DB50" s="100"/>
      <c r="DC50" s="100"/>
      <c r="DD50" s="100"/>
      <c r="DE50" s="100"/>
      <c r="DF50" s="100"/>
      <c r="DG50" s="100"/>
      <c r="DH50" s="100"/>
      <c r="DI50" s="100"/>
      <c r="DJ50" s="100"/>
      <c r="DK50" s="100"/>
      <c r="DL50" s="100"/>
      <c r="DM50" s="100"/>
      <c r="DN50" s="100"/>
      <c r="DO50" s="100"/>
      <c r="DP50" s="100"/>
      <c r="DQ50" s="100"/>
      <c r="DR50" s="100"/>
      <c r="DS50" s="100"/>
      <c r="DT50" s="100"/>
      <c r="DU50" s="100"/>
      <c r="DV50" s="100"/>
      <c r="DW50" s="100"/>
      <c r="DX50" s="100"/>
      <c r="DY50" s="100"/>
      <c r="DZ50" s="100"/>
      <c r="EA50" s="100"/>
      <c r="EB50" s="100"/>
      <c r="EC50" s="100"/>
      <c r="ED50" s="100"/>
      <c r="EE50" s="100"/>
      <c r="EF50" s="100"/>
      <c r="EG50" s="100"/>
      <c r="EH50" s="100"/>
      <c r="EI50" s="100"/>
      <c r="EJ50" s="100"/>
      <c r="EK50" s="100"/>
      <c r="EL50" s="100"/>
      <c r="EM50" s="100"/>
      <c r="EN50" s="100"/>
      <c r="EO50" s="100"/>
      <c r="EP50" s="100"/>
      <c r="EQ50" s="100"/>
      <c r="ER50" s="100"/>
      <c r="ES50" s="100"/>
      <c r="ET50" s="100"/>
      <c r="EU50" s="100"/>
      <c r="EV50" s="100"/>
      <c r="EW50" s="100"/>
      <c r="EX50" s="100"/>
      <c r="EY50" s="100"/>
      <c r="EZ50" s="100"/>
      <c r="FA50" s="100"/>
      <c r="FB50" s="100"/>
      <c r="FC50" s="100"/>
      <c r="FD50" s="100"/>
      <c r="FE50" s="100"/>
      <c r="FF50" s="100"/>
      <c r="FG50" s="100"/>
      <c r="FH50" s="100"/>
      <c r="FI50" s="100"/>
      <c r="FJ50" s="100"/>
      <c r="FK50" s="100"/>
      <c r="FL50" s="100">
        <v>27</v>
      </c>
      <c r="FM50" s="100"/>
      <c r="FN50" s="100"/>
      <c r="FO50" s="100"/>
      <c r="FP50" s="100"/>
      <c r="FQ50" s="100"/>
      <c r="FR50" s="100"/>
      <c r="FS50" s="100"/>
      <c r="FT50" s="100"/>
      <c r="FU50" s="100"/>
      <c r="FV50" s="100"/>
      <c r="FW50" s="100"/>
      <c r="FX50" s="100"/>
      <c r="FY50" s="100"/>
      <c r="FZ50" s="100"/>
      <c r="GA50" s="100"/>
      <c r="GB50" s="100"/>
      <c r="GC50" s="100"/>
      <c r="GD50" s="100"/>
      <c r="GE50" s="100"/>
      <c r="GF50" s="100"/>
      <c r="GG50" s="100"/>
      <c r="GH50" s="100"/>
      <c r="GI50" s="100"/>
      <c r="GJ50" s="100"/>
      <c r="GK50" s="100"/>
      <c r="GL50" s="100"/>
      <c r="GM50" s="100"/>
      <c r="GN50" s="100"/>
      <c r="GO50" s="100"/>
      <c r="GP50" s="100"/>
      <c r="GQ50" s="100"/>
      <c r="GR50" s="100"/>
      <c r="GS50" s="100"/>
      <c r="GT50" s="100"/>
      <c r="GU50" s="100"/>
      <c r="GV50" s="100"/>
      <c r="GW50" s="100"/>
      <c r="GX50" s="100"/>
      <c r="GY50" s="100"/>
      <c r="GZ50" s="100"/>
      <c r="HA50" s="100"/>
      <c r="HB50" s="100"/>
      <c r="HC50" s="100"/>
      <c r="HD50" s="100"/>
      <c r="HE50" s="100"/>
      <c r="HF50" s="100"/>
      <c r="HG50" s="100"/>
      <c r="HH50" s="100"/>
      <c r="HI50" s="100"/>
      <c r="HJ50" s="100"/>
      <c r="HK50" s="100"/>
      <c r="HL50" s="100"/>
      <c r="HM50" s="100"/>
      <c r="HN50" s="100"/>
      <c r="HO50" s="100"/>
      <c r="HP50" s="100"/>
      <c r="HQ50" s="100"/>
      <c r="HR50" s="100"/>
      <c r="HS50" s="100"/>
      <c r="HT50" s="100"/>
      <c r="HU50" s="100"/>
      <c r="HV50" s="100"/>
      <c r="HW50" s="100"/>
      <c r="HX50" s="100"/>
      <c r="HY50" s="100"/>
      <c r="HZ50" s="100"/>
      <c r="IA50" s="100"/>
      <c r="IB50" s="100"/>
      <c r="IC50" s="100"/>
      <c r="ID50" s="100"/>
      <c r="IE50" s="100"/>
      <c r="IF50" s="100"/>
      <c r="IG50" s="100"/>
      <c r="IH50" s="100"/>
      <c r="II50" s="100"/>
      <c r="IJ50" s="100"/>
      <c r="IK50" s="100"/>
      <c r="IL50" s="100"/>
      <c r="IM50" s="100"/>
      <c r="IN50" s="100"/>
      <c r="IO50" s="100"/>
      <c r="IP50" s="100"/>
      <c r="IQ50" s="100"/>
      <c r="IR50" s="100"/>
      <c r="IS50" s="100"/>
      <c r="IT50" s="100"/>
      <c r="IU50" s="100"/>
      <c r="IV50" s="100"/>
      <c r="IW50" s="100"/>
      <c r="IX50" s="100"/>
      <c r="IY50" s="100"/>
      <c r="IZ50" s="100"/>
      <c r="JA50" s="100"/>
      <c r="JB50" s="100"/>
      <c r="JC50" s="100"/>
      <c r="JD50" s="100"/>
      <c r="JE50" s="100"/>
      <c r="JF50" s="100"/>
      <c r="JG50" s="100"/>
      <c r="JH50" s="100"/>
      <c r="JI50" s="100"/>
      <c r="JJ50" s="100"/>
      <c r="JK50" s="100"/>
      <c r="JL50" s="100"/>
      <c r="JM50" s="100"/>
      <c r="JN50" s="100"/>
      <c r="JO50" s="100"/>
      <c r="JP50" s="100"/>
      <c r="JQ50" s="100"/>
      <c r="JR50" s="100"/>
      <c r="JS50" s="100"/>
      <c r="JT50" s="100"/>
      <c r="JU50" s="100"/>
      <c r="JV50" s="100"/>
      <c r="JW50" s="100"/>
      <c r="JX50" s="100"/>
      <c r="JY50" s="100"/>
      <c r="JZ50" s="100"/>
      <c r="KA50" s="100"/>
      <c r="KB50" s="100"/>
      <c r="KC50" s="100"/>
      <c r="KD50" s="100"/>
      <c r="KE50" s="100"/>
      <c r="KF50" s="100"/>
      <c r="KG50" s="100"/>
      <c r="KH50" s="100"/>
      <c r="KI50" s="100"/>
      <c r="KJ50" s="100"/>
      <c r="KK50" s="100"/>
      <c r="KL50" s="100"/>
      <c r="KM50" s="100"/>
      <c r="KN50" s="100"/>
      <c r="KO50" s="100"/>
      <c r="KP50" s="100"/>
      <c r="KQ50" s="100"/>
      <c r="KR50" s="100"/>
      <c r="KS50" s="100"/>
      <c r="KT50" s="100"/>
      <c r="KU50" s="100"/>
      <c r="KV50" s="100"/>
      <c r="KW50" s="100"/>
      <c r="KX50" s="100"/>
      <c r="KY50" s="100"/>
      <c r="KZ50" s="100"/>
      <c r="LA50" s="100"/>
      <c r="LB50" s="100"/>
      <c r="LC50" s="100"/>
      <c r="LD50" s="100"/>
      <c r="LE50" s="100"/>
      <c r="LF50" s="100"/>
      <c r="LG50" s="100"/>
      <c r="LH50" s="100"/>
      <c r="LI50" s="100"/>
      <c r="LJ50" s="100"/>
      <c r="LK50" s="100"/>
      <c r="LL50" s="100"/>
      <c r="LM50" s="100"/>
      <c r="LN50" s="100"/>
      <c r="LO50" s="100"/>
      <c r="LP50" s="100"/>
      <c r="LQ50" s="100"/>
      <c r="LR50" s="100"/>
      <c r="LS50" s="100"/>
      <c r="LT50" s="100"/>
      <c r="LU50" s="100"/>
      <c r="LV50" s="100"/>
      <c r="LW50" s="100"/>
      <c r="LX50" s="100"/>
      <c r="LY50" s="100"/>
      <c r="LZ50" s="100"/>
      <c r="MA50" s="100"/>
      <c r="MB50" s="100"/>
      <c r="MC50" s="100"/>
      <c r="MD50" s="100"/>
      <c r="ME50" s="100"/>
      <c r="MF50" s="100"/>
      <c r="MG50" s="100"/>
      <c r="MH50" s="100"/>
      <c r="MI50" s="100"/>
      <c r="MJ50" s="100"/>
      <c r="MK50" s="100"/>
      <c r="ML50" s="100"/>
      <c r="MM50" s="100"/>
      <c r="MN50" s="100"/>
      <c r="MO50" s="100"/>
      <c r="MP50" s="100"/>
      <c r="MQ50" s="100"/>
      <c r="MR50" s="100"/>
      <c r="MS50" s="100"/>
      <c r="MT50" s="100"/>
      <c r="MU50" s="100"/>
      <c r="MV50" s="100"/>
      <c r="MW50" s="100"/>
      <c r="MX50" s="100"/>
      <c r="MY50" s="100"/>
      <c r="MZ50" s="100"/>
      <c r="NA50" s="100"/>
      <c r="NB50" s="100"/>
      <c r="NC50" s="100"/>
      <c r="ND50" s="100"/>
      <c r="NE50" s="100"/>
      <c r="NF50" s="100"/>
      <c r="NG50" s="100"/>
      <c r="NH50" s="100"/>
      <c r="NI50" s="100"/>
      <c r="NJ50" s="100"/>
      <c r="NK50" s="100"/>
      <c r="NL50" s="100"/>
      <c r="NM50" s="100"/>
      <c r="NN50" s="100"/>
      <c r="NO50" s="100"/>
      <c r="NP50" s="100"/>
      <c r="NQ50" s="100"/>
      <c r="NR50" s="100"/>
      <c r="NS50" s="100"/>
      <c r="NT50" s="100"/>
      <c r="NU50" s="100"/>
      <c r="NV50" s="100"/>
      <c r="NW50" s="100"/>
      <c r="NX50" s="100"/>
      <c r="NY50" s="100"/>
      <c r="NZ50" s="100"/>
      <c r="OA50" s="100"/>
      <c r="OB50" s="100"/>
      <c r="OC50" s="100"/>
      <c r="OD50" s="100"/>
      <c r="OE50" s="100"/>
      <c r="OF50" s="100"/>
      <c r="OG50" s="100"/>
      <c r="OH50" s="100"/>
      <c r="OI50" s="100"/>
      <c r="OJ50" s="100"/>
      <c r="OK50" s="100"/>
      <c r="OL50" s="100"/>
      <c r="OM50" s="100"/>
      <c r="ON50" s="100"/>
      <c r="OO50" s="100"/>
      <c r="OP50" s="100"/>
      <c r="OQ50" s="100"/>
      <c r="OR50" s="100"/>
      <c r="OS50" s="100"/>
      <c r="OT50" s="100"/>
      <c r="OU50" s="100"/>
      <c r="OV50" s="100"/>
      <c r="OW50" s="100"/>
      <c r="OX50" s="100"/>
      <c r="OY50" s="100"/>
      <c r="OZ50" s="100"/>
      <c r="PA50" s="100"/>
      <c r="PB50" s="100"/>
      <c r="PC50" s="100"/>
      <c r="PD50" s="100"/>
      <c r="PE50" s="100"/>
      <c r="PF50" s="100"/>
      <c r="PG50" s="100"/>
      <c r="PH50" s="100"/>
      <c r="PI50" s="100"/>
      <c r="PJ50" s="100"/>
      <c r="PK50" s="100"/>
      <c r="PL50" s="100"/>
      <c r="PM50" s="100"/>
      <c r="PN50" s="100"/>
      <c r="PO50" s="100"/>
      <c r="PP50" s="100"/>
      <c r="PQ50" s="100"/>
      <c r="PR50" s="100"/>
      <c r="PS50" s="100"/>
      <c r="PT50" s="100"/>
      <c r="PU50" s="100"/>
      <c r="PV50" s="100"/>
      <c r="PW50" s="100"/>
      <c r="PX50" s="100"/>
      <c r="PY50" s="100"/>
      <c r="PZ50" s="100"/>
      <c r="QA50" s="100"/>
      <c r="QB50" s="100"/>
      <c r="QC50" s="100"/>
      <c r="QD50" s="100"/>
      <c r="QE50" s="100"/>
      <c r="QF50" s="100"/>
      <c r="QG50" s="100"/>
      <c r="QH50" s="100"/>
      <c r="QI50" s="100"/>
      <c r="QJ50" s="100"/>
      <c r="QK50" s="100"/>
      <c r="QL50" s="100"/>
      <c r="QM50" s="100"/>
      <c r="QN50" s="100"/>
      <c r="QO50" s="100"/>
      <c r="QP50" s="100"/>
      <c r="QQ50" s="100"/>
      <c r="QR50" s="100"/>
      <c r="QS50" s="100"/>
      <c r="QT50" s="100"/>
      <c r="QU50" s="100"/>
      <c r="QV50" s="100"/>
      <c r="QW50" s="100"/>
      <c r="QX50" s="100"/>
      <c r="QY50" s="100"/>
      <c r="QZ50" s="23">
        <f t="shared" si="3"/>
        <v>54</v>
      </c>
      <c r="RA50" s="47" t="s">
        <v>36</v>
      </c>
      <c r="RB50" s="97">
        <v>6010.2</v>
      </c>
      <c r="RC50" s="63">
        <f>RF50+RG50</f>
        <v>6010.2</v>
      </c>
      <c r="RD50" s="63">
        <v>3233.25</v>
      </c>
      <c r="RE50" s="97">
        <f t="shared" si="4"/>
        <v>0</v>
      </c>
      <c r="RF50" s="107"/>
      <c r="RG50" s="107">
        <f>5110.2+900</f>
        <v>6010.2</v>
      </c>
      <c r="RH50" s="83">
        <f t="shared" si="5"/>
        <v>1.8588726513569938</v>
      </c>
      <c r="RI50" s="116" t="s">
        <v>550</v>
      </c>
    </row>
    <row r="51" spans="1:477" s="5" customFormat="1" ht="12.75" customHeight="1" x14ac:dyDescent="0.2">
      <c r="A51" s="48">
        <v>44957</v>
      </c>
      <c r="B51" s="81" t="s">
        <v>331</v>
      </c>
      <c r="C51" s="98"/>
      <c r="D51" s="98"/>
      <c r="E51" s="99">
        <v>20</v>
      </c>
      <c r="F51" s="99"/>
      <c r="G51" s="99"/>
      <c r="H51" s="99"/>
      <c r="I51" s="99"/>
      <c r="J51" s="99"/>
      <c r="K51" s="99"/>
      <c r="L51" s="99"/>
      <c r="M51" s="99"/>
      <c r="N51" s="100"/>
      <c r="O51" s="100"/>
      <c r="P51" s="100"/>
      <c r="Q51" s="100"/>
      <c r="R51" s="100"/>
      <c r="S51" s="100"/>
      <c r="T51" s="100">
        <v>24</v>
      </c>
      <c r="U51" s="100"/>
      <c r="V51" s="100"/>
      <c r="W51" s="100"/>
      <c r="X51" s="100"/>
      <c r="Y51" s="100"/>
      <c r="Z51" s="100"/>
      <c r="AA51" s="100"/>
      <c r="AB51" s="100"/>
      <c r="AC51" s="100"/>
      <c r="AD51" s="100">
        <v>3.6</v>
      </c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  <c r="BP51" s="100"/>
      <c r="BQ51" s="100"/>
      <c r="BR51" s="100"/>
      <c r="BS51" s="100"/>
      <c r="BT51" s="100"/>
      <c r="BU51" s="100"/>
      <c r="BV51" s="100"/>
      <c r="BW51" s="100"/>
      <c r="BX51" s="100"/>
      <c r="BY51" s="100"/>
      <c r="BZ51" s="100"/>
      <c r="CA51" s="100"/>
      <c r="CB51" s="100"/>
      <c r="CC51" s="100"/>
      <c r="CD51" s="100"/>
      <c r="CE51" s="100"/>
      <c r="CF51" s="100"/>
      <c r="CG51" s="100">
        <v>2.7</v>
      </c>
      <c r="CH51" s="100"/>
      <c r="CI51" s="100"/>
      <c r="CJ51" s="100"/>
      <c r="CK51" s="100"/>
      <c r="CL51" s="100"/>
      <c r="CM51" s="100"/>
      <c r="CN51" s="100"/>
      <c r="CO51" s="100"/>
      <c r="CP51" s="100"/>
      <c r="CQ51" s="100"/>
      <c r="CR51" s="100"/>
      <c r="CS51" s="100"/>
      <c r="CT51" s="100"/>
      <c r="CU51" s="100"/>
      <c r="CV51" s="100"/>
      <c r="CW51" s="100"/>
      <c r="CX51" s="100"/>
      <c r="CY51" s="100"/>
      <c r="CZ51" s="100"/>
      <c r="DA51" s="100"/>
      <c r="DB51" s="100"/>
      <c r="DC51" s="100"/>
      <c r="DD51" s="100"/>
      <c r="DE51" s="100"/>
      <c r="DF51" s="100"/>
      <c r="DG51" s="100"/>
      <c r="DH51" s="100"/>
      <c r="DI51" s="100"/>
      <c r="DJ51" s="100"/>
      <c r="DK51" s="100"/>
      <c r="DL51" s="100"/>
      <c r="DM51" s="100"/>
      <c r="DN51" s="100"/>
      <c r="DO51" s="100"/>
      <c r="DP51" s="100"/>
      <c r="DQ51" s="100"/>
      <c r="DR51" s="100"/>
      <c r="DS51" s="100"/>
      <c r="DT51" s="100">
        <v>20</v>
      </c>
      <c r="DU51" s="100"/>
      <c r="DV51" s="100"/>
      <c r="DW51" s="100"/>
      <c r="DX51" s="100"/>
      <c r="DY51" s="100"/>
      <c r="DZ51" s="100"/>
      <c r="EA51" s="100"/>
      <c r="EB51" s="100"/>
      <c r="EC51" s="100"/>
      <c r="ED51" s="100"/>
      <c r="EE51" s="100"/>
      <c r="EF51" s="100"/>
      <c r="EG51" s="100"/>
      <c r="EH51" s="100"/>
      <c r="EI51" s="100"/>
      <c r="EJ51" s="100"/>
      <c r="EK51" s="100"/>
      <c r="EL51" s="100"/>
      <c r="EM51" s="100"/>
      <c r="EN51" s="100"/>
      <c r="EO51" s="100"/>
      <c r="EP51" s="100"/>
      <c r="EQ51" s="100"/>
      <c r="ER51" s="100"/>
      <c r="ES51" s="100"/>
      <c r="ET51" s="100"/>
      <c r="EU51" s="100"/>
      <c r="EV51" s="100"/>
      <c r="EW51" s="100"/>
      <c r="EX51" s="100"/>
      <c r="EY51" s="100"/>
      <c r="EZ51" s="100"/>
      <c r="FA51" s="100"/>
      <c r="FB51" s="100"/>
      <c r="FC51" s="100"/>
      <c r="FD51" s="100"/>
      <c r="FE51" s="100"/>
      <c r="FF51" s="100"/>
      <c r="FG51" s="100"/>
      <c r="FH51" s="100"/>
      <c r="FI51" s="100"/>
      <c r="FJ51" s="100"/>
      <c r="FK51" s="100"/>
      <c r="FL51" s="100"/>
      <c r="FM51" s="100"/>
      <c r="FN51" s="100"/>
      <c r="FO51" s="100"/>
      <c r="FP51" s="100"/>
      <c r="FQ51" s="100"/>
      <c r="FR51" s="100"/>
      <c r="FS51" s="100"/>
      <c r="FT51" s="100"/>
      <c r="FU51" s="100"/>
      <c r="FV51" s="100"/>
      <c r="FW51" s="100"/>
      <c r="FX51" s="100"/>
      <c r="FY51" s="100"/>
      <c r="FZ51" s="100"/>
      <c r="GA51" s="100"/>
      <c r="GB51" s="100"/>
      <c r="GC51" s="100"/>
      <c r="GD51" s="100"/>
      <c r="GE51" s="100"/>
      <c r="GF51" s="100"/>
      <c r="GG51" s="100"/>
      <c r="GH51" s="100"/>
      <c r="GI51" s="100"/>
      <c r="GJ51" s="100"/>
      <c r="GK51" s="100"/>
      <c r="GL51" s="100"/>
      <c r="GM51" s="100"/>
      <c r="GN51" s="100"/>
      <c r="GO51" s="100"/>
      <c r="GP51" s="100"/>
      <c r="GQ51" s="100"/>
      <c r="GR51" s="100"/>
      <c r="GS51" s="100"/>
      <c r="GT51" s="100"/>
      <c r="GU51" s="100"/>
      <c r="GV51" s="100"/>
      <c r="GW51" s="100"/>
      <c r="GX51" s="100"/>
      <c r="GY51" s="100"/>
      <c r="GZ51" s="100"/>
      <c r="HA51" s="100"/>
      <c r="HB51" s="100"/>
      <c r="HC51" s="100"/>
      <c r="HD51" s="100"/>
      <c r="HE51" s="100"/>
      <c r="HF51" s="100"/>
      <c r="HG51" s="100"/>
      <c r="HH51" s="100"/>
      <c r="HI51" s="100"/>
      <c r="HJ51" s="100"/>
      <c r="HK51" s="100"/>
      <c r="HL51" s="100"/>
      <c r="HM51" s="100"/>
      <c r="HN51" s="100"/>
      <c r="HO51" s="100"/>
      <c r="HP51" s="100"/>
      <c r="HQ51" s="100"/>
      <c r="HR51" s="100"/>
      <c r="HS51" s="100"/>
      <c r="HT51" s="100"/>
      <c r="HU51" s="100"/>
      <c r="HV51" s="100"/>
      <c r="HW51" s="100"/>
      <c r="HX51" s="100"/>
      <c r="HY51" s="100"/>
      <c r="HZ51" s="100"/>
      <c r="IA51" s="100"/>
      <c r="IB51" s="100"/>
      <c r="IC51" s="100"/>
      <c r="ID51" s="100"/>
      <c r="IE51" s="100"/>
      <c r="IF51" s="100"/>
      <c r="IG51" s="100"/>
      <c r="IH51" s="100"/>
      <c r="II51" s="100"/>
      <c r="IJ51" s="100"/>
      <c r="IK51" s="100"/>
      <c r="IL51" s="100"/>
      <c r="IM51" s="100"/>
      <c r="IN51" s="100"/>
      <c r="IO51" s="100"/>
      <c r="IP51" s="100"/>
      <c r="IQ51" s="100"/>
      <c r="IR51" s="100"/>
      <c r="IS51" s="100"/>
      <c r="IT51" s="100"/>
      <c r="IU51" s="100"/>
      <c r="IV51" s="100"/>
      <c r="IW51" s="100"/>
      <c r="IX51" s="100"/>
      <c r="IY51" s="100"/>
      <c r="IZ51" s="100"/>
      <c r="JA51" s="100"/>
      <c r="JB51" s="100"/>
      <c r="JC51" s="100"/>
      <c r="JD51" s="100"/>
      <c r="JE51" s="100"/>
      <c r="JF51" s="100"/>
      <c r="JG51" s="100"/>
      <c r="JH51" s="100"/>
      <c r="JI51" s="100"/>
      <c r="JJ51" s="100"/>
      <c r="JK51" s="100"/>
      <c r="JL51" s="100"/>
      <c r="JM51" s="100"/>
      <c r="JN51" s="100"/>
      <c r="JO51" s="100"/>
      <c r="JP51" s="100"/>
      <c r="JQ51" s="100"/>
      <c r="JR51" s="100"/>
      <c r="JS51" s="100"/>
      <c r="JT51" s="100"/>
      <c r="JU51" s="100"/>
      <c r="JV51" s="100"/>
      <c r="JW51" s="100"/>
      <c r="JX51" s="100"/>
      <c r="JY51" s="100"/>
      <c r="JZ51" s="100"/>
      <c r="KA51" s="100"/>
      <c r="KB51" s="100"/>
      <c r="KC51" s="100"/>
      <c r="KD51" s="100"/>
      <c r="KE51" s="100"/>
      <c r="KF51" s="100"/>
      <c r="KG51" s="100"/>
      <c r="KH51" s="100"/>
      <c r="KI51" s="100"/>
      <c r="KJ51" s="100"/>
      <c r="KK51" s="100"/>
      <c r="KL51" s="100"/>
      <c r="KM51" s="100"/>
      <c r="KN51" s="100"/>
      <c r="KO51" s="100"/>
      <c r="KP51" s="100"/>
      <c r="KQ51" s="100"/>
      <c r="KR51" s="100"/>
      <c r="KS51" s="100"/>
      <c r="KT51" s="100"/>
      <c r="KU51" s="100"/>
      <c r="KV51" s="100"/>
      <c r="KW51" s="100"/>
      <c r="KX51" s="100"/>
      <c r="KY51" s="100">
        <v>25</v>
      </c>
      <c r="KZ51" s="100">
        <v>43</v>
      </c>
      <c r="LA51" s="100"/>
      <c r="LB51" s="100"/>
      <c r="LC51" s="100"/>
      <c r="LD51" s="100"/>
      <c r="LE51" s="100"/>
      <c r="LF51" s="100"/>
      <c r="LG51" s="100"/>
      <c r="LH51" s="100"/>
      <c r="LI51" s="100"/>
      <c r="LJ51" s="100"/>
      <c r="LK51" s="100"/>
      <c r="LL51" s="100"/>
      <c r="LM51" s="100"/>
      <c r="LN51" s="100"/>
      <c r="LO51" s="100"/>
      <c r="LP51" s="100"/>
      <c r="LQ51" s="100"/>
      <c r="LR51" s="100"/>
      <c r="LS51" s="100"/>
      <c r="LT51" s="100"/>
      <c r="LU51" s="100"/>
      <c r="LV51" s="100"/>
      <c r="LW51" s="100"/>
      <c r="LX51" s="100"/>
      <c r="LY51" s="100"/>
      <c r="LZ51" s="100"/>
      <c r="MA51" s="100"/>
      <c r="MB51" s="100"/>
      <c r="MC51" s="100"/>
      <c r="MD51" s="100"/>
      <c r="ME51" s="100"/>
      <c r="MF51" s="100"/>
      <c r="MG51" s="100"/>
      <c r="MH51" s="100"/>
      <c r="MI51" s="100"/>
      <c r="MJ51" s="100"/>
      <c r="MK51" s="100"/>
      <c r="ML51" s="100"/>
      <c r="MM51" s="100"/>
      <c r="MN51" s="100"/>
      <c r="MO51" s="100"/>
      <c r="MP51" s="100"/>
      <c r="MQ51" s="100"/>
      <c r="MR51" s="100"/>
      <c r="MS51" s="100"/>
      <c r="MT51" s="100"/>
      <c r="MU51" s="100"/>
      <c r="MV51" s="100"/>
      <c r="MW51" s="100"/>
      <c r="MX51" s="100"/>
      <c r="MY51" s="100"/>
      <c r="MZ51" s="100"/>
      <c r="NA51" s="100"/>
      <c r="NB51" s="100"/>
      <c r="NC51" s="100"/>
      <c r="ND51" s="100"/>
      <c r="NE51" s="100"/>
      <c r="NF51" s="100"/>
      <c r="NG51" s="100"/>
      <c r="NH51" s="100"/>
      <c r="NI51" s="100"/>
      <c r="NJ51" s="100"/>
      <c r="NK51" s="100"/>
      <c r="NL51" s="100"/>
      <c r="NM51" s="100"/>
      <c r="NN51" s="100"/>
      <c r="NO51" s="100"/>
      <c r="NP51" s="100"/>
      <c r="NQ51" s="100"/>
      <c r="NR51" s="100"/>
      <c r="NS51" s="100"/>
      <c r="NT51" s="100"/>
      <c r="NU51" s="100"/>
      <c r="NV51" s="100"/>
      <c r="NW51" s="100"/>
      <c r="NX51" s="100"/>
      <c r="NY51" s="100"/>
      <c r="NZ51" s="100"/>
      <c r="OA51" s="100"/>
      <c r="OB51" s="100"/>
      <c r="OC51" s="100"/>
      <c r="OD51" s="100"/>
      <c r="OE51" s="100"/>
      <c r="OF51" s="100"/>
      <c r="OG51" s="100"/>
      <c r="OH51" s="100"/>
      <c r="OI51" s="100"/>
      <c r="OJ51" s="100"/>
      <c r="OK51" s="100"/>
      <c r="OL51" s="100"/>
      <c r="OM51" s="100"/>
      <c r="ON51" s="100"/>
      <c r="OO51" s="100"/>
      <c r="OP51" s="100"/>
      <c r="OQ51" s="100"/>
      <c r="OR51" s="100"/>
      <c r="OS51" s="100"/>
      <c r="OT51" s="100"/>
      <c r="OU51" s="100"/>
      <c r="OV51" s="100"/>
      <c r="OW51" s="100"/>
      <c r="OX51" s="100"/>
      <c r="OY51" s="100"/>
      <c r="OZ51" s="100"/>
      <c r="PA51" s="100"/>
      <c r="PB51" s="100"/>
      <c r="PC51" s="100"/>
      <c r="PD51" s="100"/>
      <c r="PE51" s="100"/>
      <c r="PF51" s="100">
        <v>25</v>
      </c>
      <c r="PG51" s="100"/>
      <c r="PH51" s="100"/>
      <c r="PI51" s="100"/>
      <c r="PJ51" s="100"/>
      <c r="PK51" s="100"/>
      <c r="PL51" s="100"/>
      <c r="PM51" s="100"/>
      <c r="PN51" s="100"/>
      <c r="PO51" s="100"/>
      <c r="PP51" s="100"/>
      <c r="PQ51" s="100"/>
      <c r="PR51" s="100"/>
      <c r="PS51" s="100"/>
      <c r="PT51" s="100"/>
      <c r="PU51" s="100"/>
      <c r="PV51" s="100"/>
      <c r="PW51" s="100"/>
      <c r="PX51" s="100"/>
      <c r="PY51" s="100"/>
      <c r="PZ51" s="100"/>
      <c r="QA51" s="100"/>
      <c r="QB51" s="100"/>
      <c r="QC51" s="100"/>
      <c r="QD51" s="100"/>
      <c r="QE51" s="100"/>
      <c r="QF51" s="100"/>
      <c r="QG51" s="100"/>
      <c r="QH51" s="100"/>
      <c r="QI51" s="100"/>
      <c r="QJ51" s="100"/>
      <c r="QK51" s="100"/>
      <c r="QL51" s="100"/>
      <c r="QM51" s="100"/>
      <c r="QN51" s="100"/>
      <c r="QO51" s="100"/>
      <c r="QP51" s="100"/>
      <c r="QQ51" s="100"/>
      <c r="QR51" s="100"/>
      <c r="QS51" s="100"/>
      <c r="QT51" s="100"/>
      <c r="QU51" s="100"/>
      <c r="QV51" s="100"/>
      <c r="QW51" s="100"/>
      <c r="QX51" s="100"/>
      <c r="QY51" s="100"/>
      <c r="QZ51" s="23">
        <f t="shared" si="3"/>
        <v>163.30000000000001</v>
      </c>
      <c r="RA51" s="47" t="s">
        <v>36</v>
      </c>
      <c r="RB51" s="97">
        <v>9370.2900000000009</v>
      </c>
      <c r="RC51" s="63">
        <f>RF51+RG51</f>
        <v>1670.29</v>
      </c>
      <c r="RD51" s="63">
        <v>5750.9490000000005</v>
      </c>
      <c r="RE51" s="97">
        <f t="shared" si="4"/>
        <v>7700.0000000000009</v>
      </c>
      <c r="RF51" s="107"/>
      <c r="RG51" s="107">
        <v>1670.29</v>
      </c>
      <c r="RH51" s="83">
        <f t="shared" si="5"/>
        <v>1.6293467391207956</v>
      </c>
      <c r="RI51" s="116"/>
    </row>
    <row r="52" spans="1:477" s="30" customFormat="1" ht="12" customHeight="1" x14ac:dyDescent="0.2">
      <c r="A52" s="40" t="s">
        <v>134</v>
      </c>
      <c r="B52" s="27"/>
      <c r="C52" s="101" t="e">
        <f>SUBTOTAL(9,#REF!)</f>
        <v>#REF!</v>
      </c>
      <c r="D52" s="101" t="e">
        <f>SUBTOTAL(9,#REF!)</f>
        <v>#REF!</v>
      </c>
      <c r="E52" s="101" t="e">
        <f>SUBTOTAL(9,#REF!)</f>
        <v>#REF!</v>
      </c>
      <c r="F52" s="101" t="e">
        <f>SUBTOTAL(9,#REF!)</f>
        <v>#REF!</v>
      </c>
      <c r="G52" s="101" t="e">
        <f>SUBTOTAL(9,#REF!)</f>
        <v>#REF!</v>
      </c>
      <c r="H52" s="101" t="e">
        <f>SUBTOTAL(9,#REF!)</f>
        <v>#REF!</v>
      </c>
      <c r="I52" s="101" t="e">
        <f>SUBTOTAL(9,#REF!)</f>
        <v>#REF!</v>
      </c>
      <c r="J52" s="101" t="e">
        <f>SUBTOTAL(9,#REF!)</f>
        <v>#REF!</v>
      </c>
      <c r="K52" s="101" t="e">
        <f>SUBTOTAL(9,#REF!)</f>
        <v>#REF!</v>
      </c>
      <c r="L52" s="101" t="e">
        <f>SUBTOTAL(9,#REF!)</f>
        <v>#REF!</v>
      </c>
      <c r="M52" s="101" t="e">
        <f>SUBTOTAL(9,#REF!)</f>
        <v>#REF!</v>
      </c>
      <c r="N52" s="101" t="e">
        <f>SUBTOTAL(9,#REF!)</f>
        <v>#REF!</v>
      </c>
      <c r="O52" s="101" t="e">
        <f>SUBTOTAL(9,#REF!)</f>
        <v>#REF!</v>
      </c>
      <c r="P52" s="101" t="e">
        <f>SUBTOTAL(9,#REF!)</f>
        <v>#REF!</v>
      </c>
      <c r="Q52" s="101" t="e">
        <f>SUBTOTAL(9,#REF!)</f>
        <v>#REF!</v>
      </c>
      <c r="R52" s="101" t="e">
        <f>SUBTOTAL(9,#REF!)</f>
        <v>#REF!</v>
      </c>
      <c r="S52" s="101" t="e">
        <f>SUBTOTAL(9,#REF!)</f>
        <v>#REF!</v>
      </c>
      <c r="T52" s="101" t="e">
        <f>SUBTOTAL(9,#REF!)</f>
        <v>#REF!</v>
      </c>
      <c r="U52" s="101" t="e">
        <f>SUBTOTAL(9,#REF!)</f>
        <v>#REF!</v>
      </c>
      <c r="V52" s="101" t="e">
        <f>SUBTOTAL(9,#REF!)</f>
        <v>#REF!</v>
      </c>
      <c r="W52" s="101" t="e">
        <f>SUBTOTAL(9,#REF!)</f>
        <v>#REF!</v>
      </c>
      <c r="X52" s="101" t="e">
        <f>SUBTOTAL(9,#REF!)</f>
        <v>#REF!</v>
      </c>
      <c r="Y52" s="101" t="e">
        <f>SUBTOTAL(9,#REF!)</f>
        <v>#REF!</v>
      </c>
      <c r="Z52" s="101" t="e">
        <f>SUBTOTAL(9,#REF!)</f>
        <v>#REF!</v>
      </c>
      <c r="AA52" s="101" t="e">
        <f>SUBTOTAL(9,#REF!)</f>
        <v>#REF!</v>
      </c>
      <c r="AB52" s="101" t="e">
        <f>SUBTOTAL(9,#REF!)</f>
        <v>#REF!</v>
      </c>
      <c r="AC52" s="101" t="e">
        <f>SUBTOTAL(9,#REF!)</f>
        <v>#REF!</v>
      </c>
      <c r="AD52" s="101" t="e">
        <f>SUBTOTAL(9,#REF!)</f>
        <v>#REF!</v>
      </c>
      <c r="AE52" s="101" t="e">
        <f>SUBTOTAL(9,#REF!)</f>
        <v>#REF!</v>
      </c>
      <c r="AF52" s="101" t="e">
        <f>SUBTOTAL(9,#REF!)</f>
        <v>#REF!</v>
      </c>
      <c r="AG52" s="101" t="e">
        <f>SUBTOTAL(9,#REF!)</f>
        <v>#REF!</v>
      </c>
      <c r="AH52" s="101" t="e">
        <f>SUBTOTAL(9,#REF!)</f>
        <v>#REF!</v>
      </c>
      <c r="AI52" s="101" t="e">
        <f>SUBTOTAL(9,#REF!)</f>
        <v>#REF!</v>
      </c>
      <c r="AJ52" s="101" t="e">
        <f>SUBTOTAL(9,#REF!)</f>
        <v>#REF!</v>
      </c>
      <c r="AK52" s="101" t="e">
        <f>SUBTOTAL(9,#REF!)</f>
        <v>#REF!</v>
      </c>
      <c r="AL52" s="101" t="e">
        <f>SUBTOTAL(9,#REF!)</f>
        <v>#REF!</v>
      </c>
      <c r="AM52" s="101" t="e">
        <f>SUBTOTAL(9,#REF!)</f>
        <v>#REF!</v>
      </c>
      <c r="AN52" s="101" t="e">
        <f>SUBTOTAL(9,#REF!)</f>
        <v>#REF!</v>
      </c>
      <c r="AO52" s="101" t="e">
        <f>SUBTOTAL(9,#REF!)</f>
        <v>#REF!</v>
      </c>
      <c r="AP52" s="101" t="e">
        <f>SUBTOTAL(9,#REF!)</f>
        <v>#REF!</v>
      </c>
      <c r="AQ52" s="101" t="e">
        <f>SUBTOTAL(9,#REF!)</f>
        <v>#REF!</v>
      </c>
      <c r="AR52" s="101" t="e">
        <f>SUBTOTAL(9,#REF!)</f>
        <v>#REF!</v>
      </c>
      <c r="AS52" s="101" t="e">
        <f>SUBTOTAL(9,#REF!)</f>
        <v>#REF!</v>
      </c>
      <c r="AT52" s="101" t="e">
        <f>SUBTOTAL(9,#REF!)</f>
        <v>#REF!</v>
      </c>
      <c r="AU52" s="101" t="e">
        <f>SUBTOTAL(9,#REF!)</f>
        <v>#REF!</v>
      </c>
      <c r="AV52" s="101" t="e">
        <f>SUBTOTAL(9,#REF!)</f>
        <v>#REF!</v>
      </c>
      <c r="AW52" s="101" t="e">
        <f>SUBTOTAL(9,#REF!)</f>
        <v>#REF!</v>
      </c>
      <c r="AX52" s="101" t="e">
        <f>SUBTOTAL(9,#REF!)</f>
        <v>#REF!</v>
      </c>
      <c r="AY52" s="101" t="e">
        <f>SUBTOTAL(9,#REF!)</f>
        <v>#REF!</v>
      </c>
      <c r="AZ52" s="101" t="e">
        <f>SUBTOTAL(9,#REF!)</f>
        <v>#REF!</v>
      </c>
      <c r="BA52" s="101" t="e">
        <f>SUBTOTAL(9,#REF!)</f>
        <v>#REF!</v>
      </c>
      <c r="BB52" s="101" t="e">
        <f>SUBTOTAL(9,#REF!)</f>
        <v>#REF!</v>
      </c>
      <c r="BC52" s="101" t="e">
        <f>SUBTOTAL(9,#REF!)</f>
        <v>#REF!</v>
      </c>
      <c r="BD52" s="101" t="e">
        <f>SUBTOTAL(9,#REF!)</f>
        <v>#REF!</v>
      </c>
      <c r="BE52" s="101" t="e">
        <f>SUBTOTAL(9,#REF!)</f>
        <v>#REF!</v>
      </c>
      <c r="BF52" s="101" t="e">
        <f>SUBTOTAL(9,#REF!)</f>
        <v>#REF!</v>
      </c>
      <c r="BG52" s="101" t="e">
        <f>SUBTOTAL(9,#REF!)</f>
        <v>#REF!</v>
      </c>
      <c r="BH52" s="101" t="e">
        <f>SUBTOTAL(9,#REF!)</f>
        <v>#REF!</v>
      </c>
      <c r="BI52" s="101" t="e">
        <f>SUBTOTAL(9,#REF!)</f>
        <v>#REF!</v>
      </c>
      <c r="BJ52" s="101" t="e">
        <f>SUBTOTAL(9,#REF!)</f>
        <v>#REF!</v>
      </c>
      <c r="BK52" s="101" t="e">
        <f>SUBTOTAL(9,#REF!)</f>
        <v>#REF!</v>
      </c>
      <c r="BL52" s="101" t="e">
        <f>SUBTOTAL(9,#REF!)</f>
        <v>#REF!</v>
      </c>
      <c r="BM52" s="101" t="e">
        <f>SUBTOTAL(9,#REF!)</f>
        <v>#REF!</v>
      </c>
      <c r="BN52" s="101" t="e">
        <f>SUBTOTAL(9,#REF!)</f>
        <v>#REF!</v>
      </c>
      <c r="BO52" s="101" t="e">
        <f>SUBTOTAL(9,#REF!)</f>
        <v>#REF!</v>
      </c>
      <c r="BP52" s="101" t="e">
        <f>SUBTOTAL(9,#REF!)</f>
        <v>#REF!</v>
      </c>
      <c r="BQ52" s="101" t="e">
        <f>SUBTOTAL(9,#REF!)</f>
        <v>#REF!</v>
      </c>
      <c r="BR52" s="101" t="e">
        <f>SUBTOTAL(9,#REF!)</f>
        <v>#REF!</v>
      </c>
      <c r="BS52" s="101" t="e">
        <f>SUBTOTAL(9,#REF!)</f>
        <v>#REF!</v>
      </c>
      <c r="BT52" s="101" t="e">
        <f>SUBTOTAL(9,#REF!)</f>
        <v>#REF!</v>
      </c>
      <c r="BU52" s="101" t="e">
        <f>SUBTOTAL(9,#REF!)</f>
        <v>#REF!</v>
      </c>
      <c r="BV52" s="101" t="e">
        <f>SUBTOTAL(9,#REF!)</f>
        <v>#REF!</v>
      </c>
      <c r="BW52" s="101" t="e">
        <f>SUBTOTAL(9,#REF!)</f>
        <v>#REF!</v>
      </c>
      <c r="BX52" s="101" t="e">
        <f>SUBTOTAL(9,#REF!)</f>
        <v>#REF!</v>
      </c>
      <c r="BY52" s="101" t="e">
        <f>SUBTOTAL(9,#REF!)</f>
        <v>#REF!</v>
      </c>
      <c r="BZ52" s="101" t="e">
        <f>SUBTOTAL(9,#REF!)</f>
        <v>#REF!</v>
      </c>
      <c r="CA52" s="101" t="e">
        <f>SUBTOTAL(9,#REF!)</f>
        <v>#REF!</v>
      </c>
      <c r="CB52" s="101" t="e">
        <f>SUBTOTAL(9,#REF!)</f>
        <v>#REF!</v>
      </c>
      <c r="CC52" s="101" t="e">
        <f>SUBTOTAL(9,#REF!)</f>
        <v>#REF!</v>
      </c>
      <c r="CD52" s="101" t="e">
        <f>SUBTOTAL(9,#REF!)</f>
        <v>#REF!</v>
      </c>
      <c r="CE52" s="101" t="e">
        <f>SUBTOTAL(9,#REF!)</f>
        <v>#REF!</v>
      </c>
      <c r="CF52" s="101" t="e">
        <f>SUBTOTAL(9,#REF!)</f>
        <v>#REF!</v>
      </c>
      <c r="CG52" s="101" t="e">
        <f>SUBTOTAL(9,#REF!)</f>
        <v>#REF!</v>
      </c>
      <c r="CH52" s="101" t="e">
        <f>SUBTOTAL(9,#REF!)</f>
        <v>#REF!</v>
      </c>
      <c r="CI52" s="101" t="e">
        <f>SUBTOTAL(9,#REF!)</f>
        <v>#REF!</v>
      </c>
      <c r="CJ52" s="101" t="e">
        <f>SUBTOTAL(9,#REF!)</f>
        <v>#REF!</v>
      </c>
      <c r="CK52" s="101" t="e">
        <f>SUBTOTAL(9,#REF!)</f>
        <v>#REF!</v>
      </c>
      <c r="CL52" s="101" t="e">
        <f>SUBTOTAL(9,#REF!)</f>
        <v>#REF!</v>
      </c>
      <c r="CM52" s="101" t="e">
        <f>SUBTOTAL(9,#REF!)</f>
        <v>#REF!</v>
      </c>
      <c r="CN52" s="101" t="e">
        <f>SUBTOTAL(9,#REF!)</f>
        <v>#REF!</v>
      </c>
      <c r="CO52" s="101" t="e">
        <f>SUBTOTAL(9,#REF!)</f>
        <v>#REF!</v>
      </c>
      <c r="CP52" s="101" t="e">
        <f>SUBTOTAL(9,#REF!)</f>
        <v>#REF!</v>
      </c>
      <c r="CQ52" s="101" t="e">
        <f>SUBTOTAL(9,#REF!)</f>
        <v>#REF!</v>
      </c>
      <c r="CR52" s="101" t="e">
        <f>SUBTOTAL(9,#REF!)</f>
        <v>#REF!</v>
      </c>
      <c r="CS52" s="101" t="e">
        <f>SUBTOTAL(9,#REF!)</f>
        <v>#REF!</v>
      </c>
      <c r="CT52" s="101" t="e">
        <f>SUBTOTAL(9,#REF!)</f>
        <v>#REF!</v>
      </c>
      <c r="CU52" s="101" t="e">
        <f>SUBTOTAL(9,#REF!)</f>
        <v>#REF!</v>
      </c>
      <c r="CV52" s="101" t="e">
        <f>SUBTOTAL(9,#REF!)</f>
        <v>#REF!</v>
      </c>
      <c r="CW52" s="101" t="e">
        <f>SUBTOTAL(9,#REF!)</f>
        <v>#REF!</v>
      </c>
      <c r="CX52" s="101" t="e">
        <f>SUBTOTAL(9,#REF!)</f>
        <v>#REF!</v>
      </c>
      <c r="CY52" s="101" t="e">
        <f>SUBTOTAL(9,#REF!)</f>
        <v>#REF!</v>
      </c>
      <c r="CZ52" s="101" t="e">
        <f>SUBTOTAL(9,#REF!)</f>
        <v>#REF!</v>
      </c>
      <c r="DA52" s="101" t="e">
        <f>SUBTOTAL(9,#REF!)</f>
        <v>#REF!</v>
      </c>
      <c r="DB52" s="101" t="e">
        <f>SUBTOTAL(9,#REF!)</f>
        <v>#REF!</v>
      </c>
      <c r="DC52" s="101" t="e">
        <f>SUBTOTAL(9,#REF!)</f>
        <v>#REF!</v>
      </c>
      <c r="DD52" s="101" t="e">
        <f>SUBTOTAL(9,#REF!)</f>
        <v>#REF!</v>
      </c>
      <c r="DE52" s="101" t="e">
        <f>SUBTOTAL(9,#REF!)</f>
        <v>#REF!</v>
      </c>
      <c r="DF52" s="101" t="e">
        <f>SUBTOTAL(9,#REF!)</f>
        <v>#REF!</v>
      </c>
      <c r="DG52" s="101" t="e">
        <f>SUBTOTAL(9,#REF!)</f>
        <v>#REF!</v>
      </c>
      <c r="DH52" s="101" t="e">
        <f>SUBTOTAL(9,#REF!)</f>
        <v>#REF!</v>
      </c>
      <c r="DI52" s="101" t="e">
        <f>SUBTOTAL(9,#REF!)</f>
        <v>#REF!</v>
      </c>
      <c r="DJ52" s="101" t="e">
        <f>SUBTOTAL(9,#REF!)</f>
        <v>#REF!</v>
      </c>
      <c r="DK52" s="101" t="e">
        <f>SUBTOTAL(9,#REF!)</f>
        <v>#REF!</v>
      </c>
      <c r="DL52" s="101" t="e">
        <f>SUBTOTAL(9,#REF!)</f>
        <v>#REF!</v>
      </c>
      <c r="DM52" s="101" t="e">
        <f>SUBTOTAL(9,#REF!)</f>
        <v>#REF!</v>
      </c>
      <c r="DN52" s="101" t="e">
        <f>SUBTOTAL(9,#REF!)</f>
        <v>#REF!</v>
      </c>
      <c r="DO52" s="101" t="e">
        <f>SUBTOTAL(9,#REF!)</f>
        <v>#REF!</v>
      </c>
      <c r="DP52" s="101" t="e">
        <f>SUBTOTAL(9,#REF!)</f>
        <v>#REF!</v>
      </c>
      <c r="DQ52" s="101" t="e">
        <f>SUBTOTAL(9,#REF!)</f>
        <v>#REF!</v>
      </c>
      <c r="DR52" s="101" t="e">
        <f>SUBTOTAL(9,#REF!)</f>
        <v>#REF!</v>
      </c>
      <c r="DS52" s="101" t="e">
        <f>SUBTOTAL(9,#REF!)</f>
        <v>#REF!</v>
      </c>
      <c r="DT52" s="101" t="e">
        <f>SUBTOTAL(9,#REF!)</f>
        <v>#REF!</v>
      </c>
      <c r="DU52" s="101" t="e">
        <f>SUBTOTAL(9,#REF!)</f>
        <v>#REF!</v>
      </c>
      <c r="DV52" s="101" t="e">
        <f>SUBTOTAL(9,#REF!)</f>
        <v>#REF!</v>
      </c>
      <c r="DW52" s="101" t="e">
        <f>SUBTOTAL(9,#REF!)</f>
        <v>#REF!</v>
      </c>
      <c r="DX52" s="101" t="e">
        <f>SUBTOTAL(9,#REF!)</f>
        <v>#REF!</v>
      </c>
      <c r="DY52" s="101" t="e">
        <f>SUBTOTAL(9,#REF!)</f>
        <v>#REF!</v>
      </c>
      <c r="DZ52" s="101" t="e">
        <f>SUBTOTAL(9,#REF!)</f>
        <v>#REF!</v>
      </c>
      <c r="EA52" s="101" t="e">
        <f>SUBTOTAL(9,#REF!)</f>
        <v>#REF!</v>
      </c>
      <c r="EB52" s="101" t="e">
        <f>SUBTOTAL(9,#REF!)</f>
        <v>#REF!</v>
      </c>
      <c r="EC52" s="101" t="e">
        <f>SUBTOTAL(9,#REF!)</f>
        <v>#REF!</v>
      </c>
      <c r="ED52" s="101" t="e">
        <f>SUBTOTAL(9,#REF!)</f>
        <v>#REF!</v>
      </c>
      <c r="EE52" s="101" t="e">
        <f>SUBTOTAL(9,#REF!)</f>
        <v>#REF!</v>
      </c>
      <c r="EF52" s="101" t="e">
        <f>SUBTOTAL(9,#REF!)</f>
        <v>#REF!</v>
      </c>
      <c r="EG52" s="101" t="e">
        <f>SUBTOTAL(9,#REF!)</f>
        <v>#REF!</v>
      </c>
      <c r="EH52" s="101" t="e">
        <f>SUBTOTAL(9,#REF!)</f>
        <v>#REF!</v>
      </c>
      <c r="EI52" s="101" t="e">
        <f>SUBTOTAL(9,#REF!)</f>
        <v>#REF!</v>
      </c>
      <c r="EJ52" s="101" t="e">
        <f>SUBTOTAL(9,#REF!)</f>
        <v>#REF!</v>
      </c>
      <c r="EK52" s="101" t="e">
        <f>SUBTOTAL(9,#REF!)</f>
        <v>#REF!</v>
      </c>
      <c r="EL52" s="101" t="e">
        <f>SUBTOTAL(9,#REF!)</f>
        <v>#REF!</v>
      </c>
      <c r="EM52" s="101" t="e">
        <f>SUBTOTAL(9,#REF!)</f>
        <v>#REF!</v>
      </c>
      <c r="EN52" s="101" t="e">
        <f>SUBTOTAL(9,#REF!)</f>
        <v>#REF!</v>
      </c>
      <c r="EO52" s="101" t="e">
        <f>SUBTOTAL(9,#REF!)</f>
        <v>#REF!</v>
      </c>
      <c r="EP52" s="101" t="e">
        <f>SUBTOTAL(9,#REF!)</f>
        <v>#REF!</v>
      </c>
      <c r="EQ52" s="101" t="e">
        <f>SUBTOTAL(9,#REF!)</f>
        <v>#REF!</v>
      </c>
      <c r="ER52" s="101" t="e">
        <f>SUBTOTAL(9,#REF!)</f>
        <v>#REF!</v>
      </c>
      <c r="ES52" s="101" t="e">
        <f>SUBTOTAL(9,#REF!)</f>
        <v>#REF!</v>
      </c>
      <c r="ET52" s="101" t="e">
        <f>SUBTOTAL(9,#REF!)</f>
        <v>#REF!</v>
      </c>
      <c r="EU52" s="101" t="e">
        <f>SUBTOTAL(9,#REF!)</f>
        <v>#REF!</v>
      </c>
      <c r="EV52" s="101" t="e">
        <f>SUBTOTAL(9,#REF!)</f>
        <v>#REF!</v>
      </c>
      <c r="EW52" s="101" t="e">
        <f>SUBTOTAL(9,#REF!)</f>
        <v>#REF!</v>
      </c>
      <c r="EX52" s="101" t="e">
        <f>SUBTOTAL(9,#REF!)</f>
        <v>#REF!</v>
      </c>
      <c r="EY52" s="101" t="e">
        <f>SUBTOTAL(9,#REF!)</f>
        <v>#REF!</v>
      </c>
      <c r="EZ52" s="101" t="e">
        <f>SUBTOTAL(9,#REF!)</f>
        <v>#REF!</v>
      </c>
      <c r="FA52" s="101" t="e">
        <f>SUBTOTAL(9,#REF!)</f>
        <v>#REF!</v>
      </c>
      <c r="FB52" s="101" t="e">
        <f>SUBTOTAL(9,#REF!)</f>
        <v>#REF!</v>
      </c>
      <c r="FC52" s="101" t="e">
        <f>SUBTOTAL(9,#REF!)</f>
        <v>#REF!</v>
      </c>
      <c r="FD52" s="101" t="e">
        <f>SUBTOTAL(9,#REF!)</f>
        <v>#REF!</v>
      </c>
      <c r="FE52" s="101" t="e">
        <f>SUBTOTAL(9,#REF!)</f>
        <v>#REF!</v>
      </c>
      <c r="FF52" s="101" t="e">
        <f>SUBTOTAL(9,#REF!)</f>
        <v>#REF!</v>
      </c>
      <c r="FG52" s="101" t="e">
        <f>SUBTOTAL(9,#REF!)</f>
        <v>#REF!</v>
      </c>
      <c r="FH52" s="101" t="e">
        <f>SUBTOTAL(9,#REF!)</f>
        <v>#REF!</v>
      </c>
      <c r="FI52" s="101" t="e">
        <f>SUBTOTAL(9,#REF!)</f>
        <v>#REF!</v>
      </c>
      <c r="FJ52" s="101" t="e">
        <f>SUBTOTAL(9,#REF!)</f>
        <v>#REF!</v>
      </c>
      <c r="FK52" s="101" t="e">
        <f>SUBTOTAL(9,#REF!)</f>
        <v>#REF!</v>
      </c>
      <c r="FL52" s="101" t="e">
        <f>SUBTOTAL(9,#REF!)</f>
        <v>#REF!</v>
      </c>
      <c r="FM52" s="101" t="e">
        <f>SUBTOTAL(9,#REF!)</f>
        <v>#REF!</v>
      </c>
      <c r="FN52" s="101" t="e">
        <f>SUBTOTAL(9,#REF!)</f>
        <v>#REF!</v>
      </c>
      <c r="FO52" s="101" t="e">
        <f>SUBTOTAL(9,#REF!)</f>
        <v>#REF!</v>
      </c>
      <c r="FP52" s="101" t="e">
        <f>SUBTOTAL(9,#REF!)</f>
        <v>#REF!</v>
      </c>
      <c r="FQ52" s="101" t="e">
        <f>SUBTOTAL(9,#REF!)</f>
        <v>#REF!</v>
      </c>
      <c r="FR52" s="101" t="e">
        <f>SUBTOTAL(9,#REF!)</f>
        <v>#REF!</v>
      </c>
      <c r="FS52" s="101" t="e">
        <f>SUBTOTAL(9,#REF!)</f>
        <v>#REF!</v>
      </c>
      <c r="FT52" s="101" t="e">
        <f>SUBTOTAL(9,#REF!)</f>
        <v>#REF!</v>
      </c>
      <c r="FU52" s="101" t="e">
        <f>SUBTOTAL(9,#REF!)</f>
        <v>#REF!</v>
      </c>
      <c r="FV52" s="101" t="e">
        <f>SUBTOTAL(9,#REF!)</f>
        <v>#REF!</v>
      </c>
      <c r="FW52" s="101" t="e">
        <f>SUBTOTAL(9,#REF!)</f>
        <v>#REF!</v>
      </c>
      <c r="FX52" s="101" t="e">
        <f>SUBTOTAL(9,#REF!)</f>
        <v>#REF!</v>
      </c>
      <c r="FY52" s="101" t="e">
        <f>SUBTOTAL(9,#REF!)</f>
        <v>#REF!</v>
      </c>
      <c r="FZ52" s="101" t="e">
        <f>SUBTOTAL(9,#REF!)</f>
        <v>#REF!</v>
      </c>
      <c r="GA52" s="101" t="e">
        <f>SUBTOTAL(9,#REF!)</f>
        <v>#REF!</v>
      </c>
      <c r="GB52" s="101" t="e">
        <f>SUBTOTAL(9,#REF!)</f>
        <v>#REF!</v>
      </c>
      <c r="GC52" s="101" t="e">
        <f>SUBTOTAL(9,#REF!)</f>
        <v>#REF!</v>
      </c>
      <c r="GD52" s="101" t="e">
        <f>SUBTOTAL(9,#REF!)</f>
        <v>#REF!</v>
      </c>
      <c r="GE52" s="101" t="e">
        <f>SUBTOTAL(9,#REF!)</f>
        <v>#REF!</v>
      </c>
      <c r="GF52" s="101" t="e">
        <f>SUBTOTAL(9,#REF!)</f>
        <v>#REF!</v>
      </c>
      <c r="GG52" s="101" t="e">
        <f>SUBTOTAL(9,#REF!)</f>
        <v>#REF!</v>
      </c>
      <c r="GH52" s="101" t="e">
        <f>SUBTOTAL(9,#REF!)</f>
        <v>#REF!</v>
      </c>
      <c r="GI52" s="101" t="e">
        <f>SUBTOTAL(9,#REF!)</f>
        <v>#REF!</v>
      </c>
      <c r="GJ52" s="101" t="e">
        <f>SUBTOTAL(9,#REF!)</f>
        <v>#REF!</v>
      </c>
      <c r="GK52" s="101" t="e">
        <f>SUBTOTAL(9,#REF!)</f>
        <v>#REF!</v>
      </c>
      <c r="GL52" s="101" t="e">
        <f>SUBTOTAL(9,#REF!)</f>
        <v>#REF!</v>
      </c>
      <c r="GM52" s="101" t="e">
        <f>SUBTOTAL(9,#REF!)</f>
        <v>#REF!</v>
      </c>
      <c r="GN52" s="101" t="e">
        <f>SUBTOTAL(9,#REF!)</f>
        <v>#REF!</v>
      </c>
      <c r="GO52" s="101" t="e">
        <f>SUBTOTAL(9,#REF!)</f>
        <v>#REF!</v>
      </c>
      <c r="GP52" s="101" t="e">
        <f>SUBTOTAL(9,#REF!)</f>
        <v>#REF!</v>
      </c>
      <c r="GQ52" s="101" t="e">
        <f>SUBTOTAL(9,#REF!)</f>
        <v>#REF!</v>
      </c>
      <c r="GR52" s="101" t="e">
        <f>SUBTOTAL(9,#REF!)</f>
        <v>#REF!</v>
      </c>
      <c r="GS52" s="101" t="e">
        <f>SUBTOTAL(9,#REF!)</f>
        <v>#REF!</v>
      </c>
      <c r="GT52" s="101" t="e">
        <f>SUBTOTAL(9,#REF!)</f>
        <v>#REF!</v>
      </c>
      <c r="GU52" s="101" t="e">
        <f>SUBTOTAL(9,#REF!)</f>
        <v>#REF!</v>
      </c>
      <c r="GV52" s="101" t="e">
        <f>SUBTOTAL(9,#REF!)</f>
        <v>#REF!</v>
      </c>
      <c r="GW52" s="101" t="e">
        <f>SUBTOTAL(9,#REF!)</f>
        <v>#REF!</v>
      </c>
      <c r="GX52" s="101" t="e">
        <f>SUBTOTAL(9,#REF!)</f>
        <v>#REF!</v>
      </c>
      <c r="GY52" s="101" t="e">
        <f>SUBTOTAL(9,#REF!)</f>
        <v>#REF!</v>
      </c>
      <c r="GZ52" s="101" t="e">
        <f>SUBTOTAL(9,#REF!)</f>
        <v>#REF!</v>
      </c>
      <c r="HA52" s="101" t="e">
        <f>SUBTOTAL(9,#REF!)</f>
        <v>#REF!</v>
      </c>
      <c r="HB52" s="101" t="e">
        <f>SUBTOTAL(9,#REF!)</f>
        <v>#REF!</v>
      </c>
      <c r="HC52" s="101" t="e">
        <f>SUBTOTAL(9,#REF!)</f>
        <v>#REF!</v>
      </c>
      <c r="HD52" s="101" t="e">
        <f>SUBTOTAL(9,#REF!)</f>
        <v>#REF!</v>
      </c>
      <c r="HE52" s="101" t="e">
        <f>SUBTOTAL(9,#REF!)</f>
        <v>#REF!</v>
      </c>
      <c r="HF52" s="101" t="e">
        <f>SUBTOTAL(9,#REF!)</f>
        <v>#REF!</v>
      </c>
      <c r="HG52" s="101" t="e">
        <f>SUBTOTAL(9,#REF!)</f>
        <v>#REF!</v>
      </c>
      <c r="HH52" s="101" t="e">
        <f>SUBTOTAL(9,#REF!)</f>
        <v>#REF!</v>
      </c>
      <c r="HI52" s="101" t="e">
        <f>SUBTOTAL(9,#REF!)</f>
        <v>#REF!</v>
      </c>
      <c r="HJ52" s="101" t="e">
        <f>SUBTOTAL(9,#REF!)</f>
        <v>#REF!</v>
      </c>
      <c r="HK52" s="101" t="e">
        <f>SUBTOTAL(9,#REF!)</f>
        <v>#REF!</v>
      </c>
      <c r="HL52" s="101" t="e">
        <f>SUBTOTAL(9,#REF!)</f>
        <v>#REF!</v>
      </c>
      <c r="HM52" s="101" t="e">
        <f>SUBTOTAL(9,#REF!)</f>
        <v>#REF!</v>
      </c>
      <c r="HN52" s="101" t="e">
        <f>SUBTOTAL(9,#REF!)</f>
        <v>#REF!</v>
      </c>
      <c r="HO52" s="101" t="e">
        <f>SUBTOTAL(9,#REF!)</f>
        <v>#REF!</v>
      </c>
      <c r="HP52" s="101" t="e">
        <f>SUBTOTAL(9,#REF!)</f>
        <v>#REF!</v>
      </c>
      <c r="HQ52" s="101" t="e">
        <f>SUBTOTAL(9,#REF!)</f>
        <v>#REF!</v>
      </c>
      <c r="HR52" s="101" t="e">
        <f>SUBTOTAL(9,#REF!)</f>
        <v>#REF!</v>
      </c>
      <c r="HS52" s="101" t="e">
        <f>SUBTOTAL(9,#REF!)</f>
        <v>#REF!</v>
      </c>
      <c r="HT52" s="101" t="e">
        <f>SUBTOTAL(9,#REF!)</f>
        <v>#REF!</v>
      </c>
      <c r="HU52" s="101" t="e">
        <f>SUBTOTAL(9,#REF!)</f>
        <v>#REF!</v>
      </c>
      <c r="HV52" s="101" t="e">
        <f>SUBTOTAL(9,#REF!)</f>
        <v>#REF!</v>
      </c>
      <c r="HW52" s="101" t="e">
        <f>SUBTOTAL(9,#REF!)</f>
        <v>#REF!</v>
      </c>
      <c r="HX52" s="101" t="e">
        <f>SUBTOTAL(9,#REF!)</f>
        <v>#REF!</v>
      </c>
      <c r="HY52" s="101" t="e">
        <f>SUBTOTAL(9,#REF!)</f>
        <v>#REF!</v>
      </c>
      <c r="HZ52" s="101" t="e">
        <f>SUBTOTAL(9,#REF!)</f>
        <v>#REF!</v>
      </c>
      <c r="IA52" s="101" t="e">
        <f>SUBTOTAL(9,#REF!)</f>
        <v>#REF!</v>
      </c>
      <c r="IB52" s="101" t="e">
        <f>SUBTOTAL(9,#REF!)</f>
        <v>#REF!</v>
      </c>
      <c r="IC52" s="101" t="e">
        <f>SUBTOTAL(9,#REF!)</f>
        <v>#REF!</v>
      </c>
      <c r="ID52" s="101" t="e">
        <f>SUBTOTAL(9,#REF!)</f>
        <v>#REF!</v>
      </c>
      <c r="IE52" s="101" t="e">
        <f>SUBTOTAL(9,#REF!)</f>
        <v>#REF!</v>
      </c>
      <c r="IF52" s="101" t="e">
        <f>SUBTOTAL(9,#REF!)</f>
        <v>#REF!</v>
      </c>
      <c r="IG52" s="101" t="e">
        <f>SUBTOTAL(9,#REF!)</f>
        <v>#REF!</v>
      </c>
      <c r="IH52" s="101" t="e">
        <f>SUBTOTAL(9,#REF!)</f>
        <v>#REF!</v>
      </c>
      <c r="II52" s="101" t="e">
        <f>SUBTOTAL(9,#REF!)</f>
        <v>#REF!</v>
      </c>
      <c r="IJ52" s="101" t="e">
        <f>SUBTOTAL(9,#REF!)</f>
        <v>#REF!</v>
      </c>
      <c r="IK52" s="101" t="e">
        <f>SUBTOTAL(9,#REF!)</f>
        <v>#REF!</v>
      </c>
      <c r="IL52" s="101" t="e">
        <f>SUBTOTAL(9,#REF!)</f>
        <v>#REF!</v>
      </c>
      <c r="IM52" s="101" t="e">
        <f>SUBTOTAL(9,#REF!)</f>
        <v>#REF!</v>
      </c>
      <c r="IN52" s="101" t="e">
        <f>SUBTOTAL(9,#REF!)</f>
        <v>#REF!</v>
      </c>
      <c r="IO52" s="101" t="e">
        <f>SUBTOTAL(9,#REF!)</f>
        <v>#REF!</v>
      </c>
      <c r="IP52" s="101" t="e">
        <f>SUBTOTAL(9,#REF!)</f>
        <v>#REF!</v>
      </c>
      <c r="IQ52" s="101" t="e">
        <f>SUBTOTAL(9,#REF!)</f>
        <v>#REF!</v>
      </c>
      <c r="IR52" s="101" t="e">
        <f>SUBTOTAL(9,#REF!)</f>
        <v>#REF!</v>
      </c>
      <c r="IS52" s="101" t="e">
        <f>SUBTOTAL(9,#REF!)</f>
        <v>#REF!</v>
      </c>
      <c r="IT52" s="101" t="e">
        <f>SUBTOTAL(9,#REF!)</f>
        <v>#REF!</v>
      </c>
      <c r="IU52" s="101" t="e">
        <f>SUBTOTAL(9,#REF!)</f>
        <v>#REF!</v>
      </c>
      <c r="IV52" s="101" t="e">
        <f>SUBTOTAL(9,#REF!)</f>
        <v>#REF!</v>
      </c>
      <c r="IW52" s="101" t="e">
        <f>SUBTOTAL(9,#REF!)</f>
        <v>#REF!</v>
      </c>
      <c r="IX52" s="101" t="e">
        <f>SUBTOTAL(9,#REF!)</f>
        <v>#REF!</v>
      </c>
      <c r="IY52" s="101" t="e">
        <f>SUBTOTAL(9,#REF!)</f>
        <v>#REF!</v>
      </c>
      <c r="IZ52" s="101" t="e">
        <f>SUBTOTAL(9,#REF!)</f>
        <v>#REF!</v>
      </c>
      <c r="JA52" s="101" t="e">
        <f>SUBTOTAL(9,#REF!)</f>
        <v>#REF!</v>
      </c>
      <c r="JB52" s="101" t="e">
        <f>SUBTOTAL(9,#REF!)</f>
        <v>#REF!</v>
      </c>
      <c r="JC52" s="101" t="e">
        <f>SUBTOTAL(9,#REF!)</f>
        <v>#REF!</v>
      </c>
      <c r="JD52" s="101" t="e">
        <f>SUBTOTAL(9,#REF!)</f>
        <v>#REF!</v>
      </c>
      <c r="JE52" s="101" t="e">
        <f>SUBTOTAL(9,#REF!)</f>
        <v>#REF!</v>
      </c>
      <c r="JF52" s="101" t="e">
        <f>SUBTOTAL(9,#REF!)</f>
        <v>#REF!</v>
      </c>
      <c r="JG52" s="101" t="e">
        <f>SUBTOTAL(9,#REF!)</f>
        <v>#REF!</v>
      </c>
      <c r="JH52" s="101" t="e">
        <f>SUBTOTAL(9,#REF!)</f>
        <v>#REF!</v>
      </c>
      <c r="JI52" s="101" t="e">
        <f>SUBTOTAL(9,#REF!)</f>
        <v>#REF!</v>
      </c>
      <c r="JJ52" s="101" t="e">
        <f>SUBTOTAL(9,#REF!)</f>
        <v>#REF!</v>
      </c>
      <c r="JK52" s="101" t="e">
        <f>SUBTOTAL(9,#REF!)</f>
        <v>#REF!</v>
      </c>
      <c r="JL52" s="101" t="e">
        <f>SUBTOTAL(9,#REF!)</f>
        <v>#REF!</v>
      </c>
      <c r="JM52" s="101" t="e">
        <f>SUBTOTAL(9,#REF!)</f>
        <v>#REF!</v>
      </c>
      <c r="JN52" s="101" t="e">
        <f>SUBTOTAL(9,#REF!)</f>
        <v>#REF!</v>
      </c>
      <c r="JO52" s="101" t="e">
        <f>SUBTOTAL(9,#REF!)</f>
        <v>#REF!</v>
      </c>
      <c r="JP52" s="101" t="e">
        <f>SUBTOTAL(9,#REF!)</f>
        <v>#REF!</v>
      </c>
      <c r="JQ52" s="101" t="e">
        <f>SUBTOTAL(9,#REF!)</f>
        <v>#REF!</v>
      </c>
      <c r="JR52" s="101" t="e">
        <f>SUBTOTAL(9,#REF!)</f>
        <v>#REF!</v>
      </c>
      <c r="JS52" s="101" t="e">
        <f>SUBTOTAL(9,#REF!)</f>
        <v>#REF!</v>
      </c>
      <c r="JT52" s="101" t="e">
        <f>SUBTOTAL(9,#REF!)</f>
        <v>#REF!</v>
      </c>
      <c r="JU52" s="101" t="e">
        <f>SUBTOTAL(9,#REF!)</f>
        <v>#REF!</v>
      </c>
      <c r="JV52" s="101" t="e">
        <f>SUBTOTAL(9,#REF!)</f>
        <v>#REF!</v>
      </c>
      <c r="JW52" s="101" t="e">
        <f>SUBTOTAL(9,#REF!)</f>
        <v>#REF!</v>
      </c>
      <c r="JX52" s="101" t="e">
        <f>SUBTOTAL(9,#REF!)</f>
        <v>#REF!</v>
      </c>
      <c r="JY52" s="101" t="e">
        <f>SUBTOTAL(9,#REF!)</f>
        <v>#REF!</v>
      </c>
      <c r="JZ52" s="101" t="e">
        <f>SUBTOTAL(9,#REF!)</f>
        <v>#REF!</v>
      </c>
      <c r="KA52" s="101" t="e">
        <f>SUBTOTAL(9,#REF!)</f>
        <v>#REF!</v>
      </c>
      <c r="KB52" s="101" t="e">
        <f>SUBTOTAL(9,#REF!)</f>
        <v>#REF!</v>
      </c>
      <c r="KC52" s="101" t="e">
        <f>SUBTOTAL(9,#REF!)</f>
        <v>#REF!</v>
      </c>
      <c r="KD52" s="101" t="e">
        <f>SUBTOTAL(9,#REF!)</f>
        <v>#REF!</v>
      </c>
      <c r="KE52" s="101" t="e">
        <f>SUBTOTAL(9,#REF!)</f>
        <v>#REF!</v>
      </c>
      <c r="KF52" s="101" t="e">
        <f>SUBTOTAL(9,#REF!)</f>
        <v>#REF!</v>
      </c>
      <c r="KG52" s="101" t="e">
        <f>SUBTOTAL(9,#REF!)</f>
        <v>#REF!</v>
      </c>
      <c r="KH52" s="101" t="e">
        <f>SUBTOTAL(9,#REF!)</f>
        <v>#REF!</v>
      </c>
      <c r="KI52" s="101" t="e">
        <f>SUBTOTAL(9,#REF!)</f>
        <v>#REF!</v>
      </c>
      <c r="KJ52" s="101" t="e">
        <f>SUBTOTAL(9,#REF!)</f>
        <v>#REF!</v>
      </c>
      <c r="KK52" s="101" t="e">
        <f>SUBTOTAL(9,#REF!)</f>
        <v>#REF!</v>
      </c>
      <c r="KL52" s="101" t="e">
        <f>SUBTOTAL(9,#REF!)</f>
        <v>#REF!</v>
      </c>
      <c r="KM52" s="101" t="e">
        <f>SUBTOTAL(9,#REF!)</f>
        <v>#REF!</v>
      </c>
      <c r="KN52" s="101" t="e">
        <f>SUBTOTAL(9,#REF!)</f>
        <v>#REF!</v>
      </c>
      <c r="KO52" s="101" t="e">
        <f>SUBTOTAL(9,#REF!)</f>
        <v>#REF!</v>
      </c>
      <c r="KP52" s="101" t="e">
        <f>SUBTOTAL(9,#REF!)</f>
        <v>#REF!</v>
      </c>
      <c r="KQ52" s="101" t="e">
        <f>SUBTOTAL(9,#REF!)</f>
        <v>#REF!</v>
      </c>
      <c r="KR52" s="101" t="e">
        <f>SUBTOTAL(9,#REF!)</f>
        <v>#REF!</v>
      </c>
      <c r="KS52" s="101" t="e">
        <f>SUBTOTAL(9,#REF!)</f>
        <v>#REF!</v>
      </c>
      <c r="KT52" s="101" t="e">
        <f>SUBTOTAL(9,#REF!)</f>
        <v>#REF!</v>
      </c>
      <c r="KU52" s="101" t="e">
        <f>SUBTOTAL(9,#REF!)</f>
        <v>#REF!</v>
      </c>
      <c r="KV52" s="101" t="e">
        <f>SUBTOTAL(9,#REF!)</f>
        <v>#REF!</v>
      </c>
      <c r="KW52" s="101" t="e">
        <f>SUBTOTAL(9,#REF!)</f>
        <v>#REF!</v>
      </c>
      <c r="KX52" s="101" t="e">
        <f>SUBTOTAL(9,#REF!)</f>
        <v>#REF!</v>
      </c>
      <c r="KY52" s="101" t="e">
        <f>SUBTOTAL(9,#REF!)</f>
        <v>#REF!</v>
      </c>
      <c r="KZ52" s="101" t="e">
        <f>SUBTOTAL(9,#REF!)</f>
        <v>#REF!</v>
      </c>
      <c r="LA52" s="101" t="e">
        <f>SUBTOTAL(9,#REF!)</f>
        <v>#REF!</v>
      </c>
      <c r="LB52" s="101" t="e">
        <f>SUBTOTAL(9,#REF!)</f>
        <v>#REF!</v>
      </c>
      <c r="LC52" s="101" t="e">
        <f>SUBTOTAL(9,#REF!)</f>
        <v>#REF!</v>
      </c>
      <c r="LD52" s="101" t="e">
        <f>SUBTOTAL(9,#REF!)</f>
        <v>#REF!</v>
      </c>
      <c r="LE52" s="101" t="e">
        <f>SUBTOTAL(9,#REF!)</f>
        <v>#REF!</v>
      </c>
      <c r="LF52" s="101" t="e">
        <f>SUBTOTAL(9,#REF!)</f>
        <v>#REF!</v>
      </c>
      <c r="LG52" s="101" t="e">
        <f>SUBTOTAL(9,#REF!)</f>
        <v>#REF!</v>
      </c>
      <c r="LH52" s="101" t="e">
        <f>SUBTOTAL(9,#REF!)</f>
        <v>#REF!</v>
      </c>
      <c r="LI52" s="101" t="e">
        <f>SUBTOTAL(9,#REF!)</f>
        <v>#REF!</v>
      </c>
      <c r="LJ52" s="101" t="e">
        <f>SUBTOTAL(9,#REF!)</f>
        <v>#REF!</v>
      </c>
      <c r="LK52" s="101" t="e">
        <f>SUBTOTAL(9,#REF!)</f>
        <v>#REF!</v>
      </c>
      <c r="LL52" s="101" t="e">
        <f>SUBTOTAL(9,#REF!)</f>
        <v>#REF!</v>
      </c>
      <c r="LM52" s="101" t="e">
        <f>SUBTOTAL(9,#REF!)</f>
        <v>#REF!</v>
      </c>
      <c r="LN52" s="101" t="e">
        <f>SUBTOTAL(9,#REF!)</f>
        <v>#REF!</v>
      </c>
      <c r="LO52" s="101" t="e">
        <f>SUBTOTAL(9,#REF!)</f>
        <v>#REF!</v>
      </c>
      <c r="LP52" s="101" t="e">
        <f>SUBTOTAL(9,#REF!)</f>
        <v>#REF!</v>
      </c>
      <c r="LQ52" s="101" t="e">
        <f>SUBTOTAL(9,#REF!)</f>
        <v>#REF!</v>
      </c>
      <c r="LR52" s="101" t="e">
        <f>SUBTOTAL(9,#REF!)</f>
        <v>#REF!</v>
      </c>
      <c r="LS52" s="101" t="e">
        <f>SUBTOTAL(9,#REF!)</f>
        <v>#REF!</v>
      </c>
      <c r="LT52" s="101" t="e">
        <f>SUBTOTAL(9,#REF!)</f>
        <v>#REF!</v>
      </c>
      <c r="LU52" s="101" t="e">
        <f>SUBTOTAL(9,#REF!)</f>
        <v>#REF!</v>
      </c>
      <c r="LV52" s="101" t="e">
        <f>SUBTOTAL(9,#REF!)</f>
        <v>#REF!</v>
      </c>
      <c r="LW52" s="101" t="e">
        <f>SUBTOTAL(9,#REF!)</f>
        <v>#REF!</v>
      </c>
      <c r="LX52" s="101" t="e">
        <f>SUBTOTAL(9,#REF!)</f>
        <v>#REF!</v>
      </c>
      <c r="LY52" s="101" t="e">
        <f>SUBTOTAL(9,#REF!)</f>
        <v>#REF!</v>
      </c>
      <c r="LZ52" s="101" t="e">
        <f>SUBTOTAL(9,#REF!)</f>
        <v>#REF!</v>
      </c>
      <c r="MA52" s="101" t="e">
        <f>SUBTOTAL(9,#REF!)</f>
        <v>#REF!</v>
      </c>
      <c r="MB52" s="101" t="e">
        <f>SUBTOTAL(9,#REF!)</f>
        <v>#REF!</v>
      </c>
      <c r="MC52" s="101" t="e">
        <f>SUBTOTAL(9,#REF!)</f>
        <v>#REF!</v>
      </c>
      <c r="MD52" s="101" t="e">
        <f>SUBTOTAL(9,#REF!)</f>
        <v>#REF!</v>
      </c>
      <c r="ME52" s="101" t="e">
        <f>SUBTOTAL(9,#REF!)</f>
        <v>#REF!</v>
      </c>
      <c r="MF52" s="101" t="e">
        <f>SUBTOTAL(9,#REF!)</f>
        <v>#REF!</v>
      </c>
      <c r="MG52" s="101" t="e">
        <f>SUBTOTAL(9,#REF!)</f>
        <v>#REF!</v>
      </c>
      <c r="MH52" s="101" t="e">
        <f>SUBTOTAL(9,#REF!)</f>
        <v>#REF!</v>
      </c>
      <c r="MI52" s="101" t="e">
        <f>SUBTOTAL(9,#REF!)</f>
        <v>#REF!</v>
      </c>
      <c r="MJ52" s="101" t="e">
        <f>SUBTOTAL(9,#REF!)</f>
        <v>#REF!</v>
      </c>
      <c r="MK52" s="101" t="e">
        <f>SUBTOTAL(9,#REF!)</f>
        <v>#REF!</v>
      </c>
      <c r="ML52" s="101" t="e">
        <f>SUBTOTAL(9,#REF!)</f>
        <v>#REF!</v>
      </c>
      <c r="MM52" s="101" t="e">
        <f>SUBTOTAL(9,#REF!)</f>
        <v>#REF!</v>
      </c>
      <c r="MN52" s="101" t="e">
        <f>SUBTOTAL(9,#REF!)</f>
        <v>#REF!</v>
      </c>
      <c r="MO52" s="101" t="e">
        <f>SUBTOTAL(9,#REF!)</f>
        <v>#REF!</v>
      </c>
      <c r="MP52" s="101" t="e">
        <f>SUBTOTAL(9,#REF!)</f>
        <v>#REF!</v>
      </c>
      <c r="MQ52" s="101" t="e">
        <f>SUBTOTAL(9,#REF!)</f>
        <v>#REF!</v>
      </c>
      <c r="MR52" s="101" t="e">
        <f>SUBTOTAL(9,#REF!)</f>
        <v>#REF!</v>
      </c>
      <c r="MS52" s="101" t="e">
        <f>SUBTOTAL(9,#REF!)</f>
        <v>#REF!</v>
      </c>
      <c r="MT52" s="101" t="e">
        <f>SUBTOTAL(9,#REF!)</f>
        <v>#REF!</v>
      </c>
      <c r="MU52" s="101" t="e">
        <f>SUBTOTAL(9,#REF!)</f>
        <v>#REF!</v>
      </c>
      <c r="MV52" s="101" t="e">
        <f>SUBTOTAL(9,#REF!)</f>
        <v>#REF!</v>
      </c>
      <c r="MW52" s="101" t="e">
        <f>SUBTOTAL(9,#REF!)</f>
        <v>#REF!</v>
      </c>
      <c r="MX52" s="101" t="e">
        <f>SUBTOTAL(9,#REF!)</f>
        <v>#REF!</v>
      </c>
      <c r="MY52" s="101" t="e">
        <f>SUBTOTAL(9,#REF!)</f>
        <v>#REF!</v>
      </c>
      <c r="MZ52" s="101" t="e">
        <f>SUBTOTAL(9,#REF!)</f>
        <v>#REF!</v>
      </c>
      <c r="NA52" s="101" t="e">
        <f>SUBTOTAL(9,#REF!)</f>
        <v>#REF!</v>
      </c>
      <c r="NB52" s="101" t="e">
        <f>SUBTOTAL(9,#REF!)</f>
        <v>#REF!</v>
      </c>
      <c r="NC52" s="101" t="e">
        <f>SUBTOTAL(9,#REF!)</f>
        <v>#REF!</v>
      </c>
      <c r="ND52" s="101" t="e">
        <f>SUBTOTAL(9,#REF!)</f>
        <v>#REF!</v>
      </c>
      <c r="NE52" s="101" t="e">
        <f>SUBTOTAL(9,#REF!)</f>
        <v>#REF!</v>
      </c>
      <c r="NF52" s="101" t="e">
        <f>SUBTOTAL(9,#REF!)</f>
        <v>#REF!</v>
      </c>
      <c r="NG52" s="101" t="e">
        <f>SUBTOTAL(9,#REF!)</f>
        <v>#REF!</v>
      </c>
      <c r="NH52" s="101" t="e">
        <f>SUBTOTAL(9,#REF!)</f>
        <v>#REF!</v>
      </c>
      <c r="NI52" s="101" t="e">
        <f>SUBTOTAL(9,#REF!)</f>
        <v>#REF!</v>
      </c>
      <c r="NJ52" s="101" t="e">
        <f>SUBTOTAL(9,#REF!)</f>
        <v>#REF!</v>
      </c>
      <c r="NK52" s="101" t="e">
        <f>SUBTOTAL(9,#REF!)</f>
        <v>#REF!</v>
      </c>
      <c r="NL52" s="101" t="e">
        <f>SUBTOTAL(9,#REF!)</f>
        <v>#REF!</v>
      </c>
      <c r="NM52" s="101" t="e">
        <f>SUBTOTAL(9,#REF!)</f>
        <v>#REF!</v>
      </c>
      <c r="NN52" s="101" t="e">
        <f>SUBTOTAL(9,#REF!)</f>
        <v>#REF!</v>
      </c>
      <c r="NO52" s="101" t="e">
        <f>SUBTOTAL(9,#REF!)</f>
        <v>#REF!</v>
      </c>
      <c r="NP52" s="101" t="e">
        <f>SUBTOTAL(9,#REF!)</f>
        <v>#REF!</v>
      </c>
      <c r="NQ52" s="101" t="e">
        <f>SUBTOTAL(9,#REF!)</f>
        <v>#REF!</v>
      </c>
      <c r="NR52" s="101" t="e">
        <f>SUBTOTAL(9,#REF!)</f>
        <v>#REF!</v>
      </c>
      <c r="NS52" s="101" t="e">
        <f>SUBTOTAL(9,#REF!)</f>
        <v>#REF!</v>
      </c>
      <c r="NT52" s="101" t="e">
        <f>SUBTOTAL(9,#REF!)</f>
        <v>#REF!</v>
      </c>
      <c r="NU52" s="101" t="e">
        <f>SUBTOTAL(9,#REF!)</f>
        <v>#REF!</v>
      </c>
      <c r="NV52" s="101" t="e">
        <f>SUBTOTAL(9,#REF!)</f>
        <v>#REF!</v>
      </c>
      <c r="NW52" s="101" t="e">
        <f>SUBTOTAL(9,#REF!)</f>
        <v>#REF!</v>
      </c>
      <c r="NX52" s="101" t="e">
        <f>SUBTOTAL(9,#REF!)</f>
        <v>#REF!</v>
      </c>
      <c r="NY52" s="101" t="e">
        <f>SUBTOTAL(9,#REF!)</f>
        <v>#REF!</v>
      </c>
      <c r="NZ52" s="101" t="e">
        <f>SUBTOTAL(9,#REF!)</f>
        <v>#REF!</v>
      </c>
      <c r="OA52" s="101" t="e">
        <f>SUBTOTAL(9,#REF!)</f>
        <v>#REF!</v>
      </c>
      <c r="OB52" s="101" t="e">
        <f>SUBTOTAL(9,#REF!)</f>
        <v>#REF!</v>
      </c>
      <c r="OC52" s="101" t="e">
        <f>SUBTOTAL(9,#REF!)</f>
        <v>#REF!</v>
      </c>
      <c r="OD52" s="101" t="e">
        <f>SUBTOTAL(9,#REF!)</f>
        <v>#REF!</v>
      </c>
      <c r="OE52" s="101" t="e">
        <f>SUBTOTAL(9,#REF!)</f>
        <v>#REF!</v>
      </c>
      <c r="OF52" s="101" t="e">
        <f>SUBTOTAL(9,#REF!)</f>
        <v>#REF!</v>
      </c>
      <c r="OG52" s="101" t="e">
        <f>SUBTOTAL(9,#REF!)</f>
        <v>#REF!</v>
      </c>
      <c r="OH52" s="101" t="e">
        <f>SUBTOTAL(9,#REF!)</f>
        <v>#REF!</v>
      </c>
      <c r="OI52" s="101" t="e">
        <f>SUBTOTAL(9,#REF!)</f>
        <v>#REF!</v>
      </c>
      <c r="OJ52" s="101" t="e">
        <f>SUBTOTAL(9,#REF!)</f>
        <v>#REF!</v>
      </c>
      <c r="OK52" s="101" t="e">
        <f>SUBTOTAL(9,#REF!)</f>
        <v>#REF!</v>
      </c>
      <c r="OL52" s="101" t="e">
        <f>SUBTOTAL(9,#REF!)</f>
        <v>#REF!</v>
      </c>
      <c r="OM52" s="101" t="e">
        <f>SUBTOTAL(9,#REF!)</f>
        <v>#REF!</v>
      </c>
      <c r="ON52" s="101" t="e">
        <f>SUBTOTAL(9,#REF!)</f>
        <v>#REF!</v>
      </c>
      <c r="OO52" s="101" t="e">
        <f>SUBTOTAL(9,#REF!)</f>
        <v>#REF!</v>
      </c>
      <c r="OP52" s="101" t="e">
        <f>SUBTOTAL(9,#REF!)</f>
        <v>#REF!</v>
      </c>
      <c r="OQ52" s="101" t="e">
        <f>SUBTOTAL(9,#REF!)</f>
        <v>#REF!</v>
      </c>
      <c r="OR52" s="101" t="e">
        <f>SUBTOTAL(9,#REF!)</f>
        <v>#REF!</v>
      </c>
      <c r="OS52" s="101" t="e">
        <f>SUBTOTAL(9,#REF!)</f>
        <v>#REF!</v>
      </c>
      <c r="OT52" s="101" t="e">
        <f>SUBTOTAL(9,#REF!)</f>
        <v>#REF!</v>
      </c>
      <c r="OU52" s="101" t="e">
        <f>SUBTOTAL(9,#REF!)</f>
        <v>#REF!</v>
      </c>
      <c r="OV52" s="101" t="e">
        <f>SUBTOTAL(9,#REF!)</f>
        <v>#REF!</v>
      </c>
      <c r="OW52" s="101" t="e">
        <f>SUBTOTAL(9,#REF!)</f>
        <v>#REF!</v>
      </c>
      <c r="OX52" s="101" t="e">
        <f>SUBTOTAL(9,#REF!)</f>
        <v>#REF!</v>
      </c>
      <c r="OY52" s="101" t="e">
        <f>SUBTOTAL(9,#REF!)</f>
        <v>#REF!</v>
      </c>
      <c r="OZ52" s="101" t="e">
        <f>SUBTOTAL(9,#REF!)</f>
        <v>#REF!</v>
      </c>
      <c r="PA52" s="101" t="e">
        <f>SUBTOTAL(9,#REF!)</f>
        <v>#REF!</v>
      </c>
      <c r="PB52" s="101" t="e">
        <f>SUBTOTAL(9,#REF!)</f>
        <v>#REF!</v>
      </c>
      <c r="PC52" s="101" t="e">
        <f>SUBTOTAL(9,#REF!)</f>
        <v>#REF!</v>
      </c>
      <c r="PD52" s="101" t="e">
        <f>SUBTOTAL(9,#REF!)</f>
        <v>#REF!</v>
      </c>
      <c r="PE52" s="101" t="e">
        <f>SUBTOTAL(9,#REF!)</f>
        <v>#REF!</v>
      </c>
      <c r="PF52" s="101" t="e">
        <f>SUBTOTAL(9,#REF!)</f>
        <v>#REF!</v>
      </c>
      <c r="PG52" s="101" t="e">
        <f>SUBTOTAL(9,#REF!)</f>
        <v>#REF!</v>
      </c>
      <c r="PH52" s="101" t="e">
        <f>SUBTOTAL(9,#REF!)</f>
        <v>#REF!</v>
      </c>
      <c r="PI52" s="101" t="e">
        <f>SUBTOTAL(9,#REF!)</f>
        <v>#REF!</v>
      </c>
      <c r="PJ52" s="101" t="e">
        <f>SUBTOTAL(9,#REF!)</f>
        <v>#REF!</v>
      </c>
      <c r="PK52" s="101" t="e">
        <f>SUBTOTAL(9,#REF!)</f>
        <v>#REF!</v>
      </c>
      <c r="PL52" s="101" t="e">
        <f>SUBTOTAL(9,#REF!)</f>
        <v>#REF!</v>
      </c>
      <c r="PM52" s="101" t="e">
        <f>SUBTOTAL(9,#REF!)</f>
        <v>#REF!</v>
      </c>
      <c r="PN52" s="101" t="e">
        <f>SUBTOTAL(9,#REF!)</f>
        <v>#REF!</v>
      </c>
      <c r="PO52" s="101" t="e">
        <f>SUBTOTAL(9,#REF!)</f>
        <v>#REF!</v>
      </c>
      <c r="PP52" s="101" t="e">
        <f>SUBTOTAL(9,#REF!)</f>
        <v>#REF!</v>
      </c>
      <c r="PQ52" s="101" t="e">
        <f>SUBTOTAL(9,#REF!)</f>
        <v>#REF!</v>
      </c>
      <c r="PR52" s="101" t="e">
        <f>SUBTOTAL(9,#REF!)</f>
        <v>#REF!</v>
      </c>
      <c r="PS52" s="101" t="e">
        <f>SUBTOTAL(9,#REF!)</f>
        <v>#REF!</v>
      </c>
      <c r="PT52" s="101" t="e">
        <f>SUBTOTAL(9,#REF!)</f>
        <v>#REF!</v>
      </c>
      <c r="PU52" s="101" t="e">
        <f>SUBTOTAL(9,#REF!)</f>
        <v>#REF!</v>
      </c>
      <c r="PV52" s="101" t="e">
        <f>SUBTOTAL(9,#REF!)</f>
        <v>#REF!</v>
      </c>
      <c r="PW52" s="101" t="e">
        <f>SUBTOTAL(9,#REF!)</f>
        <v>#REF!</v>
      </c>
      <c r="PX52" s="101" t="e">
        <f>SUBTOTAL(9,#REF!)</f>
        <v>#REF!</v>
      </c>
      <c r="PY52" s="101" t="e">
        <f>SUBTOTAL(9,#REF!)</f>
        <v>#REF!</v>
      </c>
      <c r="PZ52" s="101" t="e">
        <f>SUBTOTAL(9,#REF!)</f>
        <v>#REF!</v>
      </c>
      <c r="QA52" s="101" t="e">
        <f>SUBTOTAL(9,#REF!)</f>
        <v>#REF!</v>
      </c>
      <c r="QB52" s="101" t="e">
        <f>SUBTOTAL(9,#REF!)</f>
        <v>#REF!</v>
      </c>
      <c r="QC52" s="101" t="e">
        <f>SUBTOTAL(9,#REF!)</f>
        <v>#REF!</v>
      </c>
      <c r="QD52" s="101" t="e">
        <f>SUBTOTAL(9,#REF!)</f>
        <v>#REF!</v>
      </c>
      <c r="QE52" s="101" t="e">
        <f>SUBTOTAL(9,#REF!)</f>
        <v>#REF!</v>
      </c>
      <c r="QF52" s="101" t="e">
        <f>SUBTOTAL(9,#REF!)</f>
        <v>#REF!</v>
      </c>
      <c r="QG52" s="101" t="e">
        <f>SUBTOTAL(9,#REF!)</f>
        <v>#REF!</v>
      </c>
      <c r="QH52" s="101" t="e">
        <f>SUBTOTAL(9,#REF!)</f>
        <v>#REF!</v>
      </c>
      <c r="QI52" s="101" t="e">
        <f>SUBTOTAL(9,#REF!)</f>
        <v>#REF!</v>
      </c>
      <c r="QJ52" s="101" t="e">
        <f>SUBTOTAL(9,#REF!)</f>
        <v>#REF!</v>
      </c>
      <c r="QK52" s="101" t="e">
        <f>SUBTOTAL(9,#REF!)</f>
        <v>#REF!</v>
      </c>
      <c r="QL52" s="101" t="e">
        <f>SUBTOTAL(9,#REF!)</f>
        <v>#REF!</v>
      </c>
      <c r="QM52" s="101" t="e">
        <f>SUBTOTAL(9,#REF!)</f>
        <v>#REF!</v>
      </c>
      <c r="QN52" s="101" t="e">
        <f>SUBTOTAL(9,#REF!)</f>
        <v>#REF!</v>
      </c>
      <c r="QO52" s="101" t="e">
        <f>SUBTOTAL(9,#REF!)</f>
        <v>#REF!</v>
      </c>
      <c r="QP52" s="101" t="e">
        <f>SUBTOTAL(9,#REF!)</f>
        <v>#REF!</v>
      </c>
      <c r="QQ52" s="101" t="e">
        <f>SUBTOTAL(9,#REF!)</f>
        <v>#REF!</v>
      </c>
      <c r="QR52" s="101" t="e">
        <f>SUBTOTAL(9,#REF!)</f>
        <v>#REF!</v>
      </c>
      <c r="QS52" s="101" t="e">
        <f>SUBTOTAL(9,#REF!)</f>
        <v>#REF!</v>
      </c>
      <c r="QT52" s="101" t="e">
        <f>SUBTOTAL(9,#REF!)</f>
        <v>#REF!</v>
      </c>
      <c r="QU52" s="101" t="e">
        <f>SUBTOTAL(9,#REF!)</f>
        <v>#REF!</v>
      </c>
      <c r="QV52" s="101">
        <f>SUBTOTAL(9,QV2:QV25)</f>
        <v>0</v>
      </c>
      <c r="QW52" s="101" t="e">
        <f>SUBTOTAL(9,#REF!)</f>
        <v>#REF!</v>
      </c>
      <c r="QX52" s="101" t="e">
        <f>SUBTOTAL(9,#REF!)</f>
        <v>#REF!</v>
      </c>
      <c r="QY52" s="101" t="e">
        <f>SUBTOTAL(9,#REF!)</f>
        <v>#REF!</v>
      </c>
      <c r="QZ52" s="23"/>
      <c r="RA52" s="41"/>
      <c r="RB52" s="108">
        <f>SUBTOTAL(9,RB2:RB51)</f>
        <v>190366.93</v>
      </c>
      <c r="RC52" s="108"/>
      <c r="RD52" s="108"/>
      <c r="RE52" s="114">
        <f>SUBTOTAL(9,RE2:RE51)</f>
        <v>98770.369999999981</v>
      </c>
      <c r="RF52" s="82">
        <f>SUM(RF2:RF51)</f>
        <v>54167.780000000006</v>
      </c>
      <c r="RG52" s="82">
        <f>SUM(RG2:RG51)</f>
        <v>37428.78</v>
      </c>
      <c r="RH52" s="36"/>
      <c r="RI52" s="5"/>
    </row>
  </sheetData>
  <sheetProtection formatCells="0" formatColumns="0" formatRows="0" insertColumns="0" insertRows="0" insertHyperlinks="0" deleteColumns="0" deleteRows="0" sort="0" autoFilter="0" pivotTables="0"/>
  <autoFilter ref="A1:RH52">
    <sortState ref="A2:RH51">
      <sortCondition ref="A1:A52"/>
    </sortState>
  </autoFilter>
  <sortState ref="RC237:RD261">
    <sortCondition ref="RC236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EU394"/>
  <sheetViews>
    <sheetView tabSelected="1" zoomScale="110" zoomScaleNormal="110" zoomScaleSheetLayoutView="100" workbookViewId="0">
      <pane xSplit="7" ySplit="2" topLeftCell="H351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375" sqref="A375"/>
    </sheetView>
  </sheetViews>
  <sheetFormatPr defaultColWidth="255.7109375" defaultRowHeight="12.75" x14ac:dyDescent="0.2"/>
  <cols>
    <col min="1" max="1" width="37.85546875" style="6" customWidth="1"/>
    <col min="2" max="2" width="10.85546875" style="34" bestFit="1" customWidth="1"/>
    <col min="3" max="3" width="8" customWidth="1"/>
    <col min="4" max="4" width="10.140625" style="34" customWidth="1"/>
    <col min="5" max="5" width="11.5703125" style="6" customWidth="1"/>
    <col min="6" max="6" width="14.7109375" customWidth="1"/>
    <col min="7" max="7" width="5.85546875" style="46" hidden="1" customWidth="1"/>
    <col min="8" max="8" width="5.5703125" style="33" bestFit="1" customWidth="1"/>
    <col min="9" max="9" width="9" style="33" hidden="1" customWidth="1"/>
    <col min="10" max="11" width="6.5703125" style="33" hidden="1" customWidth="1"/>
    <col min="12" max="13" width="9" style="33" hidden="1" customWidth="1"/>
    <col min="14" max="16" width="7.28515625" style="33" hidden="1" customWidth="1"/>
    <col min="17" max="17" width="9" style="33" hidden="1" customWidth="1"/>
    <col min="18" max="19" width="7.28515625" style="33" hidden="1" customWidth="1"/>
    <col min="20" max="20" width="7.28515625" style="33" customWidth="1"/>
    <col min="21" max="21" width="6.5703125" style="46" bestFit="1" customWidth="1"/>
    <col min="22" max="22" width="8" style="33" hidden="1" customWidth="1"/>
    <col min="23" max="23" width="8" style="33" customWidth="1"/>
    <col min="24" max="25" width="8" style="33" hidden="1" customWidth="1"/>
    <col min="26" max="26" width="8" style="33" customWidth="1"/>
    <col min="27" max="31" width="8" style="33" hidden="1" customWidth="1"/>
    <col min="32" max="34" width="8" style="33" customWidth="1"/>
    <col min="35" max="35" width="7.7109375" style="33" bestFit="1" customWidth="1"/>
    <col min="36" max="37" width="7.7109375" style="33" hidden="1" customWidth="1"/>
    <col min="38" max="38" width="10.140625" style="33" bestFit="1" customWidth="1"/>
    <col min="39" max="47" width="7.42578125" style="33" hidden="1" customWidth="1"/>
    <col min="48" max="48" width="7.42578125" style="33" customWidth="1"/>
    <col min="49" max="52" width="7.42578125" style="33" hidden="1" customWidth="1"/>
    <col min="53" max="54" width="7.42578125" style="33" customWidth="1"/>
    <col min="55" max="57" width="7.42578125" style="33" hidden="1" customWidth="1"/>
    <col min="58" max="58" width="7.85546875" style="33" hidden="1" customWidth="1"/>
    <col min="59" max="59" width="6.5703125" style="33" customWidth="1"/>
    <col min="60" max="61" width="6.5703125" style="33" hidden="1" customWidth="1"/>
    <col min="62" max="62" width="6.5703125" style="33" customWidth="1"/>
    <col min="63" max="63" width="6.5703125" style="33" hidden="1" customWidth="1"/>
    <col min="64" max="64" width="6.5703125" style="33" customWidth="1"/>
    <col min="65" max="67" width="6.5703125" style="33" hidden="1" customWidth="1"/>
    <col min="68" max="68" width="6.5703125" style="33" customWidth="1"/>
    <col min="69" max="69" width="7.28515625" style="33" customWidth="1"/>
    <col min="70" max="70" width="7.28515625" style="33" hidden="1" customWidth="1"/>
    <col min="71" max="71" width="8.140625" style="33" customWidth="1"/>
    <col min="72" max="72" width="8.140625" style="33" hidden="1" customWidth="1"/>
    <col min="73" max="73" width="8.140625" style="33" customWidth="1"/>
    <col min="74" max="74" width="8.140625" style="33" hidden="1" customWidth="1"/>
    <col min="75" max="75" width="8.140625" style="33" customWidth="1"/>
    <col min="76" max="79" width="8.140625" style="33" hidden="1" customWidth="1"/>
    <col min="80" max="80" width="8.140625" style="33" customWidth="1"/>
    <col min="81" max="81" width="9.140625" style="33" customWidth="1"/>
    <col min="82" max="82" width="11" style="33" customWidth="1"/>
    <col min="83" max="85" width="8.7109375" style="33" hidden="1" customWidth="1"/>
    <col min="86" max="86" width="9" style="33" customWidth="1"/>
    <col min="87" max="96" width="6.42578125" style="33" hidden="1" customWidth="1"/>
    <col min="97" max="97" width="12.28515625" style="33" hidden="1" customWidth="1"/>
    <col min="98" max="104" width="10.28515625" style="33" hidden="1" customWidth="1"/>
    <col min="105" max="105" width="7.85546875" style="33" hidden="1" customWidth="1"/>
    <col min="106" max="113" width="9.7109375" style="33" hidden="1" customWidth="1"/>
    <col min="114" max="115" width="11.140625" style="33" hidden="1" customWidth="1"/>
    <col min="116" max="116" width="6.42578125" style="33" bestFit="1" customWidth="1"/>
    <col min="117" max="122" width="11.140625" style="33" hidden="1" customWidth="1"/>
    <col min="123" max="125" width="8.5703125" style="33" hidden="1" customWidth="1"/>
    <col min="126" max="126" width="7.7109375" style="33" bestFit="1" customWidth="1"/>
    <col min="127" max="127" width="13.28515625" style="32" bestFit="1" customWidth="1"/>
    <col min="128" max="151" width="255.7109375" style="33"/>
    <col min="152" max="16384" width="255.7109375" style="6"/>
  </cols>
  <sheetData>
    <row r="1" spans="1:151" ht="45.75" customHeight="1" x14ac:dyDescent="0.2">
      <c r="A1" s="8" t="s">
        <v>33</v>
      </c>
      <c r="B1" s="8" t="s">
        <v>6</v>
      </c>
      <c r="C1" s="106" t="s">
        <v>7</v>
      </c>
      <c r="D1" s="16" t="s">
        <v>41</v>
      </c>
      <c r="E1" s="13" t="s">
        <v>56</v>
      </c>
      <c r="F1" s="1" t="s">
        <v>8</v>
      </c>
      <c r="G1" s="44" t="s">
        <v>525</v>
      </c>
      <c r="H1" s="112" t="s">
        <v>63</v>
      </c>
      <c r="I1" s="112" t="s">
        <v>352</v>
      </c>
      <c r="J1" s="112" t="s">
        <v>388</v>
      </c>
      <c r="K1" s="112" t="s">
        <v>449</v>
      </c>
      <c r="L1" s="112" t="s">
        <v>449</v>
      </c>
      <c r="M1" s="112" t="s">
        <v>456</v>
      </c>
      <c r="N1" s="112" t="s">
        <v>456</v>
      </c>
      <c r="O1" s="112" t="s">
        <v>359</v>
      </c>
      <c r="P1" s="112" t="s">
        <v>388</v>
      </c>
      <c r="Q1" s="112" t="s">
        <v>359</v>
      </c>
      <c r="R1" s="112" t="s">
        <v>499</v>
      </c>
      <c r="S1" s="112" t="s">
        <v>566</v>
      </c>
      <c r="T1" s="112" t="s">
        <v>359</v>
      </c>
      <c r="U1" s="44" t="s">
        <v>335</v>
      </c>
      <c r="V1" s="70" t="s">
        <v>45</v>
      </c>
      <c r="W1" s="70" t="s">
        <v>86</v>
      </c>
      <c r="X1" s="70" t="s">
        <v>86</v>
      </c>
      <c r="Y1" s="70" t="s">
        <v>45</v>
      </c>
      <c r="Z1" s="70" t="s">
        <v>45</v>
      </c>
      <c r="AA1" s="70" t="s">
        <v>547</v>
      </c>
      <c r="AB1" s="70" t="s">
        <v>73</v>
      </c>
      <c r="AC1" s="70" t="s">
        <v>397</v>
      </c>
      <c r="AD1" s="70" t="s">
        <v>30</v>
      </c>
      <c r="AE1" s="70" t="s">
        <v>562</v>
      </c>
      <c r="AF1" s="70" t="s">
        <v>533</v>
      </c>
      <c r="AG1" s="70" t="s">
        <v>556</v>
      </c>
      <c r="AH1" s="70" t="s">
        <v>437</v>
      </c>
      <c r="AI1" s="70" t="s">
        <v>30</v>
      </c>
      <c r="AJ1" s="70" t="s">
        <v>278</v>
      </c>
      <c r="AK1" s="70" t="s">
        <v>278</v>
      </c>
      <c r="AL1" s="70" t="s">
        <v>278</v>
      </c>
      <c r="AM1" s="70" t="s">
        <v>140</v>
      </c>
      <c r="AN1" s="70" t="s">
        <v>55</v>
      </c>
      <c r="AO1" s="70" t="s">
        <v>55</v>
      </c>
      <c r="AP1" s="70" t="s">
        <v>55</v>
      </c>
      <c r="AQ1" s="70" t="s">
        <v>55</v>
      </c>
      <c r="AR1" s="70" t="s">
        <v>55</v>
      </c>
      <c r="AS1" s="70" t="s">
        <v>55</v>
      </c>
      <c r="AT1" s="70" t="s">
        <v>55</v>
      </c>
      <c r="AU1" s="70" t="s">
        <v>55</v>
      </c>
      <c r="AV1" s="70" t="s">
        <v>55</v>
      </c>
      <c r="AW1" s="70" t="s">
        <v>75</v>
      </c>
      <c r="AX1" s="70" t="s">
        <v>75</v>
      </c>
      <c r="AY1" s="70" t="s">
        <v>75</v>
      </c>
      <c r="AZ1" s="70" t="s">
        <v>534</v>
      </c>
      <c r="BA1" s="70" t="s">
        <v>534</v>
      </c>
      <c r="BB1" s="70" t="s">
        <v>75</v>
      </c>
      <c r="BC1" s="70" t="s">
        <v>137</v>
      </c>
      <c r="BD1" s="70" t="s">
        <v>558</v>
      </c>
      <c r="BE1" s="70" t="s">
        <v>565</v>
      </c>
      <c r="BF1" s="70" t="s">
        <v>532</v>
      </c>
      <c r="BG1" s="70" t="s">
        <v>87</v>
      </c>
      <c r="BH1" s="70" t="s">
        <v>444</v>
      </c>
      <c r="BI1" s="70" t="s">
        <v>444</v>
      </c>
      <c r="BJ1" s="70" t="s">
        <v>444</v>
      </c>
      <c r="BK1" s="70" t="s">
        <v>196</v>
      </c>
      <c r="BL1" s="70" t="s">
        <v>196</v>
      </c>
      <c r="BM1" s="70" t="s">
        <v>196</v>
      </c>
      <c r="BN1" s="70" t="s">
        <v>555</v>
      </c>
      <c r="BO1" s="70" t="s">
        <v>548</v>
      </c>
      <c r="BP1" s="70" t="s">
        <v>567</v>
      </c>
      <c r="BQ1" s="70" t="s">
        <v>279</v>
      </c>
      <c r="BR1" s="70" t="s">
        <v>344</v>
      </c>
      <c r="BS1" s="70" t="s">
        <v>344</v>
      </c>
      <c r="BT1" s="70" t="s">
        <v>88</v>
      </c>
      <c r="BU1" s="70" t="s">
        <v>88</v>
      </c>
      <c r="BV1" s="70" t="s">
        <v>131</v>
      </c>
      <c r="BW1" s="70" t="s">
        <v>131</v>
      </c>
      <c r="BX1" s="70" t="s">
        <v>331</v>
      </c>
      <c r="BY1" s="70" t="s">
        <v>331</v>
      </c>
      <c r="BZ1" s="70" t="s">
        <v>496</v>
      </c>
      <c r="CA1" s="70" t="s">
        <v>331</v>
      </c>
      <c r="CB1" s="70" t="s">
        <v>123</v>
      </c>
      <c r="CC1" s="112" t="s">
        <v>496</v>
      </c>
      <c r="CD1" s="112" t="s">
        <v>417</v>
      </c>
      <c r="CE1" s="112" t="s">
        <v>508</v>
      </c>
      <c r="CF1" s="112" t="s">
        <v>238</v>
      </c>
      <c r="CG1" s="112" t="s">
        <v>238</v>
      </c>
      <c r="CH1" s="112" t="s">
        <v>238</v>
      </c>
      <c r="CI1" s="112" t="s">
        <v>342</v>
      </c>
      <c r="CJ1" s="112" t="s">
        <v>526</v>
      </c>
      <c r="CK1" s="112" t="s">
        <v>282</v>
      </c>
      <c r="CL1" s="112" t="s">
        <v>282</v>
      </c>
      <c r="CM1" s="112" t="s">
        <v>75</v>
      </c>
      <c r="CN1" s="112" t="s">
        <v>397</v>
      </c>
      <c r="CO1" s="112" t="s">
        <v>533</v>
      </c>
      <c r="CP1" s="112" t="s">
        <v>534</v>
      </c>
      <c r="CQ1" s="112" t="s">
        <v>535</v>
      </c>
      <c r="CR1" s="112" t="s">
        <v>192</v>
      </c>
      <c r="CS1" s="112" t="s">
        <v>536</v>
      </c>
      <c r="CT1" s="112" t="s">
        <v>537</v>
      </c>
      <c r="CU1" s="112" t="s">
        <v>545</v>
      </c>
      <c r="CV1" s="112" t="s">
        <v>534</v>
      </c>
      <c r="CW1" s="112" t="s">
        <v>546</v>
      </c>
      <c r="CX1" s="112" t="s">
        <v>123</v>
      </c>
      <c r="CY1" s="112" t="s">
        <v>455</v>
      </c>
      <c r="CZ1" s="112" t="s">
        <v>552</v>
      </c>
      <c r="DA1" s="112" t="s">
        <v>534</v>
      </c>
      <c r="DB1" s="112" t="s">
        <v>536</v>
      </c>
      <c r="DC1" s="112" t="s">
        <v>335</v>
      </c>
      <c r="DD1" s="112" t="s">
        <v>556</v>
      </c>
      <c r="DE1" s="112" t="s">
        <v>557</v>
      </c>
      <c r="DF1" s="112" t="s">
        <v>558</v>
      </c>
      <c r="DG1" s="112" t="s">
        <v>561</v>
      </c>
      <c r="DH1" s="112" t="s">
        <v>192</v>
      </c>
      <c r="DI1" s="112" t="s">
        <v>282</v>
      </c>
      <c r="DJ1" s="112" t="s">
        <v>563</v>
      </c>
      <c r="DK1" s="112" t="s">
        <v>568</v>
      </c>
      <c r="DL1" s="112" t="s">
        <v>342</v>
      </c>
      <c r="DM1" s="112" t="s">
        <v>282</v>
      </c>
      <c r="DN1" s="112" t="s">
        <v>569</v>
      </c>
      <c r="DO1" s="112" t="s">
        <v>570</v>
      </c>
      <c r="DP1" s="112" t="s">
        <v>571</v>
      </c>
      <c r="DQ1" s="112" t="s">
        <v>536</v>
      </c>
      <c r="DR1" s="112" t="s">
        <v>174</v>
      </c>
      <c r="DS1" s="112" t="s">
        <v>508</v>
      </c>
      <c r="DT1" s="112" t="s">
        <v>569</v>
      </c>
      <c r="DU1" s="112" t="s">
        <v>569</v>
      </c>
      <c r="DV1" s="72" t="s">
        <v>189</v>
      </c>
      <c r="DW1" s="67" t="s">
        <v>23</v>
      </c>
      <c r="DX1" s="5"/>
    </row>
    <row r="2" spans="1:151" x14ac:dyDescent="0.2">
      <c r="A2" s="7" t="s">
        <v>9</v>
      </c>
      <c r="B2" s="9" t="s">
        <v>10</v>
      </c>
      <c r="C2" s="2" t="s">
        <v>10</v>
      </c>
      <c r="D2" s="16" t="s">
        <v>43</v>
      </c>
      <c r="E2" s="14" t="s">
        <v>57</v>
      </c>
      <c r="F2" s="2" t="s">
        <v>34</v>
      </c>
      <c r="G2" s="45"/>
      <c r="H2" s="71"/>
      <c r="I2" s="71">
        <v>44971</v>
      </c>
      <c r="J2" s="71">
        <v>44957</v>
      </c>
      <c r="K2" s="71">
        <v>44953</v>
      </c>
      <c r="L2" s="71">
        <v>44971</v>
      </c>
      <c r="M2" s="71">
        <v>44942</v>
      </c>
      <c r="N2" s="71">
        <v>44951</v>
      </c>
      <c r="O2" s="71">
        <v>44937</v>
      </c>
      <c r="P2" s="71">
        <v>44963</v>
      </c>
      <c r="Q2" s="71">
        <v>44970</v>
      </c>
      <c r="R2" s="71">
        <v>44953</v>
      </c>
      <c r="S2" s="71">
        <v>44963</v>
      </c>
      <c r="T2" s="71"/>
      <c r="U2" s="113"/>
      <c r="V2" s="71">
        <v>44944</v>
      </c>
      <c r="W2" s="71"/>
      <c r="X2" s="71">
        <v>44958</v>
      </c>
      <c r="Y2" s="71">
        <v>44959</v>
      </c>
      <c r="Z2" s="71"/>
      <c r="AA2" s="71">
        <v>44951</v>
      </c>
      <c r="AB2" s="71">
        <v>44959</v>
      </c>
      <c r="AC2" s="71">
        <v>44952</v>
      </c>
      <c r="AD2" s="71">
        <v>44950</v>
      </c>
      <c r="AE2" s="71">
        <v>44964</v>
      </c>
      <c r="AF2" s="71"/>
      <c r="AG2" s="71"/>
      <c r="AH2" s="71"/>
      <c r="AI2" s="71"/>
      <c r="AJ2" s="71">
        <v>44946</v>
      </c>
      <c r="AK2" s="71">
        <v>44958</v>
      </c>
      <c r="AL2" s="71"/>
      <c r="AM2" s="71">
        <v>44950</v>
      </c>
      <c r="AN2" s="71">
        <v>44937</v>
      </c>
      <c r="AO2" s="71">
        <v>44957</v>
      </c>
      <c r="AP2" s="71">
        <v>44957</v>
      </c>
      <c r="AQ2" s="71">
        <v>44957</v>
      </c>
      <c r="AR2" s="71">
        <v>44970</v>
      </c>
      <c r="AS2" s="71">
        <v>44970</v>
      </c>
      <c r="AT2" s="71">
        <v>44970</v>
      </c>
      <c r="AU2" s="71">
        <v>44970</v>
      </c>
      <c r="AV2" s="71"/>
      <c r="AW2" s="71">
        <v>44944</v>
      </c>
      <c r="AX2" s="71">
        <v>44950</v>
      </c>
      <c r="AY2" s="71">
        <v>44959</v>
      </c>
      <c r="AZ2" s="71">
        <v>44965</v>
      </c>
      <c r="BA2" s="71"/>
      <c r="BB2" s="71"/>
      <c r="BC2" s="71">
        <v>44960</v>
      </c>
      <c r="BD2" s="71">
        <v>44964</v>
      </c>
      <c r="BE2" s="71">
        <v>44964</v>
      </c>
      <c r="BF2" s="71">
        <v>44965</v>
      </c>
      <c r="BG2" s="71"/>
      <c r="BH2" s="71">
        <v>44946</v>
      </c>
      <c r="BI2" s="71">
        <v>44956</v>
      </c>
      <c r="BJ2" s="71"/>
      <c r="BK2" s="71">
        <v>44957</v>
      </c>
      <c r="BL2" s="71"/>
      <c r="BM2" s="71">
        <v>44570</v>
      </c>
      <c r="BN2" s="71">
        <v>44957</v>
      </c>
      <c r="BO2" s="71">
        <v>44957</v>
      </c>
      <c r="BP2" s="71"/>
      <c r="BQ2" s="71"/>
      <c r="BR2" s="71">
        <v>44959</v>
      </c>
      <c r="BS2" s="71"/>
      <c r="BT2" s="71">
        <v>44949</v>
      </c>
      <c r="BU2" s="71"/>
      <c r="BV2" s="71">
        <v>44965</v>
      </c>
      <c r="BW2" s="71"/>
      <c r="BX2" s="71">
        <v>44957</v>
      </c>
      <c r="BY2" s="71">
        <v>44957</v>
      </c>
      <c r="BZ2" s="71">
        <v>44939</v>
      </c>
      <c r="CA2" s="71">
        <v>44964</v>
      </c>
      <c r="CB2" s="71"/>
      <c r="CC2" s="71"/>
      <c r="CD2" s="71"/>
      <c r="CE2" s="71">
        <v>44956</v>
      </c>
      <c r="CF2" s="71">
        <v>44936</v>
      </c>
      <c r="CG2" s="71">
        <v>44965</v>
      </c>
      <c r="CH2" s="71"/>
      <c r="CI2" s="71">
        <v>44570</v>
      </c>
      <c r="CJ2" s="71">
        <v>44570</v>
      </c>
      <c r="CK2" s="71">
        <v>44936</v>
      </c>
      <c r="CL2" s="71">
        <v>44937</v>
      </c>
      <c r="CM2" s="71">
        <v>44937</v>
      </c>
      <c r="CN2" s="71">
        <v>44573</v>
      </c>
      <c r="CO2" s="71">
        <v>44945</v>
      </c>
      <c r="CP2" s="71">
        <v>44945</v>
      </c>
      <c r="CQ2" s="71">
        <v>44950</v>
      </c>
      <c r="CR2" s="71">
        <v>44945</v>
      </c>
      <c r="CS2" s="71">
        <v>44949</v>
      </c>
      <c r="CT2" s="71">
        <v>44949</v>
      </c>
      <c r="CU2" s="71">
        <v>44950</v>
      </c>
      <c r="CV2" s="71">
        <v>44950</v>
      </c>
      <c r="CW2" s="71">
        <v>44950</v>
      </c>
      <c r="CX2" s="71">
        <v>44950</v>
      </c>
      <c r="CY2" s="71">
        <v>44950</v>
      </c>
      <c r="CZ2" s="71">
        <v>44951</v>
      </c>
      <c r="DA2" s="71">
        <v>44958</v>
      </c>
      <c r="DB2" s="71">
        <v>44956</v>
      </c>
      <c r="DC2" s="71">
        <v>44957</v>
      </c>
      <c r="DD2" s="71">
        <v>44957</v>
      </c>
      <c r="DE2" s="71">
        <v>44957</v>
      </c>
      <c r="DF2" s="71">
        <v>44957</v>
      </c>
      <c r="DG2" s="71">
        <v>44958</v>
      </c>
      <c r="DH2" s="71">
        <v>44959</v>
      </c>
      <c r="DI2" s="71">
        <v>44960</v>
      </c>
      <c r="DJ2" s="71">
        <v>44963</v>
      </c>
      <c r="DK2" s="71">
        <v>44964</v>
      </c>
      <c r="DL2" s="71"/>
      <c r="DM2" s="71">
        <v>44965</v>
      </c>
      <c r="DN2" s="71">
        <v>44965</v>
      </c>
      <c r="DO2" s="71">
        <v>44967</v>
      </c>
      <c r="DP2" s="71">
        <v>44966</v>
      </c>
      <c r="DQ2" s="71">
        <v>44970</v>
      </c>
      <c r="DR2" s="71">
        <v>44970</v>
      </c>
      <c r="DS2" s="71">
        <v>44971</v>
      </c>
      <c r="DT2" s="71">
        <v>44971</v>
      </c>
      <c r="DU2" s="71">
        <v>44971</v>
      </c>
      <c r="DV2" s="71"/>
      <c r="DW2" s="68"/>
      <c r="DX2" s="5"/>
    </row>
    <row r="3" spans="1:151" x14ac:dyDescent="0.2">
      <c r="A3" s="92" t="s">
        <v>31</v>
      </c>
      <c r="B3" s="10"/>
      <c r="C3" s="3"/>
      <c r="D3" s="94" t="s">
        <v>31</v>
      </c>
      <c r="E3" s="93" t="s">
        <v>31</v>
      </c>
      <c r="F3" s="3" t="s">
        <v>39</v>
      </c>
      <c r="G3" s="43" t="s">
        <v>11</v>
      </c>
      <c r="H3" s="50"/>
      <c r="I3" s="50" t="s">
        <v>31</v>
      </c>
      <c r="J3" s="50" t="s">
        <v>31</v>
      </c>
      <c r="K3" s="50" t="s">
        <v>31</v>
      </c>
      <c r="L3" s="50" t="s">
        <v>31</v>
      </c>
      <c r="M3" s="50" t="s">
        <v>31</v>
      </c>
      <c r="N3" s="50" t="s">
        <v>31</v>
      </c>
      <c r="O3" s="50" t="s">
        <v>31</v>
      </c>
      <c r="P3" s="50" t="s">
        <v>31</v>
      </c>
      <c r="Q3" s="50" t="s">
        <v>31</v>
      </c>
      <c r="R3" s="50" t="s">
        <v>31</v>
      </c>
      <c r="S3" s="50" t="s">
        <v>31</v>
      </c>
      <c r="T3" s="50"/>
      <c r="U3" s="43"/>
      <c r="V3" s="50" t="s">
        <v>31</v>
      </c>
      <c r="W3" s="50"/>
      <c r="X3" s="50" t="s">
        <v>31</v>
      </c>
      <c r="Y3" s="50" t="s">
        <v>31</v>
      </c>
      <c r="Z3" s="50"/>
      <c r="AA3" s="50" t="s">
        <v>31</v>
      </c>
      <c r="AB3" s="50" t="s">
        <v>31</v>
      </c>
      <c r="AC3" s="50" t="s">
        <v>31</v>
      </c>
      <c r="AD3" s="50" t="s">
        <v>31</v>
      </c>
      <c r="AE3" s="50" t="s">
        <v>31</v>
      </c>
      <c r="AF3" s="50"/>
      <c r="AG3" s="50"/>
      <c r="AH3" s="50"/>
      <c r="AI3" s="50"/>
      <c r="AJ3" s="50" t="s">
        <v>31</v>
      </c>
      <c r="AK3" s="50" t="s">
        <v>31</v>
      </c>
      <c r="AL3" s="50"/>
      <c r="AM3" s="50" t="s">
        <v>31</v>
      </c>
      <c r="AN3" s="50" t="s">
        <v>31</v>
      </c>
      <c r="AO3" s="50" t="s">
        <v>31</v>
      </c>
      <c r="AP3" s="50" t="s">
        <v>31</v>
      </c>
      <c r="AQ3" s="50" t="s">
        <v>31</v>
      </c>
      <c r="AR3" s="50" t="s">
        <v>31</v>
      </c>
      <c r="AS3" s="50" t="s">
        <v>31</v>
      </c>
      <c r="AT3" s="50" t="s">
        <v>31</v>
      </c>
      <c r="AU3" s="50" t="s">
        <v>31</v>
      </c>
      <c r="AV3" s="50"/>
      <c r="AW3" s="50" t="s">
        <v>31</v>
      </c>
      <c r="AX3" s="50" t="s">
        <v>31</v>
      </c>
      <c r="AY3" s="50" t="s">
        <v>31</v>
      </c>
      <c r="AZ3" s="50" t="s">
        <v>31</v>
      </c>
      <c r="BA3" s="50"/>
      <c r="BB3" s="50"/>
      <c r="BC3" s="50" t="s">
        <v>31</v>
      </c>
      <c r="BD3" s="50" t="s">
        <v>31</v>
      </c>
      <c r="BE3" s="50" t="s">
        <v>31</v>
      </c>
      <c r="BF3" s="50" t="s">
        <v>31</v>
      </c>
      <c r="BG3" s="50"/>
      <c r="BH3" s="50" t="s">
        <v>31</v>
      </c>
      <c r="BI3" s="50" t="s">
        <v>31</v>
      </c>
      <c r="BJ3" s="50"/>
      <c r="BK3" s="50" t="s">
        <v>31</v>
      </c>
      <c r="BL3" s="50"/>
      <c r="BM3" s="50" t="s">
        <v>31</v>
      </c>
      <c r="BN3" s="50" t="s">
        <v>31</v>
      </c>
      <c r="BO3" s="50" t="s">
        <v>31</v>
      </c>
      <c r="BP3" s="50"/>
      <c r="BQ3" s="50"/>
      <c r="BR3" s="50" t="s">
        <v>31</v>
      </c>
      <c r="BS3" s="50"/>
      <c r="BT3" s="50" t="s">
        <v>31</v>
      </c>
      <c r="BU3" s="50"/>
      <c r="BV3" s="50" t="s">
        <v>31</v>
      </c>
      <c r="BW3" s="50"/>
      <c r="BX3" s="50" t="s">
        <v>31</v>
      </c>
      <c r="BY3" s="50" t="s">
        <v>31</v>
      </c>
      <c r="BZ3" s="50" t="s">
        <v>31</v>
      </c>
      <c r="CA3" s="50" t="s">
        <v>31</v>
      </c>
      <c r="CB3" s="50"/>
      <c r="CC3" s="50"/>
      <c r="CD3" s="50"/>
      <c r="CE3" s="50" t="s">
        <v>31</v>
      </c>
      <c r="CF3" s="50" t="s">
        <v>31</v>
      </c>
      <c r="CG3" s="50" t="s">
        <v>31</v>
      </c>
      <c r="CH3" s="35"/>
      <c r="CI3" s="50" t="s">
        <v>31</v>
      </c>
      <c r="CJ3" s="50" t="s">
        <v>31</v>
      </c>
      <c r="CK3" s="50" t="s">
        <v>31</v>
      </c>
      <c r="CL3" s="50" t="s">
        <v>31</v>
      </c>
      <c r="CM3" s="50" t="s">
        <v>31</v>
      </c>
      <c r="CN3" s="50" t="s">
        <v>31</v>
      </c>
      <c r="CO3" s="50" t="s">
        <v>31</v>
      </c>
      <c r="CP3" s="50" t="s">
        <v>31</v>
      </c>
      <c r="CQ3" s="50" t="s">
        <v>31</v>
      </c>
      <c r="CR3" s="50" t="s">
        <v>31</v>
      </c>
      <c r="CS3" s="50" t="s">
        <v>11</v>
      </c>
      <c r="CT3" s="50" t="s">
        <v>11</v>
      </c>
      <c r="CU3" s="50" t="s">
        <v>31</v>
      </c>
      <c r="CV3" s="50" t="s">
        <v>31</v>
      </c>
      <c r="CW3" s="50" t="s">
        <v>31</v>
      </c>
      <c r="CX3" s="50" t="s">
        <v>31</v>
      </c>
      <c r="CY3" s="50" t="s">
        <v>31</v>
      </c>
      <c r="CZ3" s="50" t="s">
        <v>31</v>
      </c>
      <c r="DA3" s="50" t="s">
        <v>31</v>
      </c>
      <c r="DB3" s="50" t="s">
        <v>11</v>
      </c>
      <c r="DC3" s="50" t="s">
        <v>31</v>
      </c>
      <c r="DD3" s="50" t="s">
        <v>31</v>
      </c>
      <c r="DE3" s="50" t="s">
        <v>31</v>
      </c>
      <c r="DF3" s="50" t="s">
        <v>31</v>
      </c>
      <c r="DG3" s="50" t="s">
        <v>31</v>
      </c>
      <c r="DH3" s="50" t="s">
        <v>31</v>
      </c>
      <c r="DI3" s="50" t="s">
        <v>31</v>
      </c>
      <c r="DJ3" s="50" t="s">
        <v>11</v>
      </c>
      <c r="DK3" s="50" t="s">
        <v>31</v>
      </c>
      <c r="DL3" s="50"/>
      <c r="DM3" s="50" t="s">
        <v>31</v>
      </c>
      <c r="DN3" s="50" t="s">
        <v>31</v>
      </c>
      <c r="DO3" s="50" t="s">
        <v>31</v>
      </c>
      <c r="DP3" s="50" t="s">
        <v>31</v>
      </c>
      <c r="DQ3" s="50" t="s">
        <v>11</v>
      </c>
      <c r="DR3" s="50" t="s">
        <v>31</v>
      </c>
      <c r="DS3" s="50" t="s">
        <v>31</v>
      </c>
      <c r="DT3" s="50" t="s">
        <v>31</v>
      </c>
      <c r="DU3" s="50" t="s">
        <v>31</v>
      </c>
      <c r="DV3" s="50"/>
      <c r="DW3" s="68" t="s">
        <v>31</v>
      </c>
      <c r="DX3" s="5"/>
    </row>
    <row r="4" spans="1:151" x14ac:dyDescent="0.2">
      <c r="A4" s="39" t="s">
        <v>74</v>
      </c>
      <c r="B4" s="60">
        <f t="shared" ref="B4:B67" si="0">SUMIF(G$3:DV$3,"прих",G4:DV4)-SUMIF(G$3:DV$3,"отгр",G4:DV4)</f>
        <v>90</v>
      </c>
      <c r="C4" s="52">
        <v>10</v>
      </c>
      <c r="D4" s="53">
        <v>44879</v>
      </c>
      <c r="E4" s="62">
        <v>37.659999999999997</v>
      </c>
      <c r="F4" s="62">
        <f>E4*B4</f>
        <v>3389.3999999999996</v>
      </c>
      <c r="G4" s="60">
        <v>190</v>
      </c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1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>
        <v>100</v>
      </c>
      <c r="AL4" s="35">
        <v>90</v>
      </c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28">
        <f t="shared" ref="DW4:DW67" si="1">$B4-SUMIF($G$3:$IK$3,"",$G4:$IK4)</f>
        <v>0</v>
      </c>
      <c r="DX4" s="5"/>
    </row>
    <row r="5" spans="1:151" x14ac:dyDescent="0.2">
      <c r="A5" s="39" t="s">
        <v>74</v>
      </c>
      <c r="B5" s="60">
        <f t="shared" si="0"/>
        <v>110</v>
      </c>
      <c r="C5" s="52">
        <v>10</v>
      </c>
      <c r="D5" s="53">
        <v>44924</v>
      </c>
      <c r="E5" s="62">
        <v>35.700000000000003</v>
      </c>
      <c r="F5" s="62">
        <f>E5*B5</f>
        <v>3927.0000000000005</v>
      </c>
      <c r="G5" s="60">
        <v>110</v>
      </c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1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>
        <v>110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28">
        <f t="shared" si="1"/>
        <v>0</v>
      </c>
      <c r="DX5" s="5"/>
    </row>
    <row r="6" spans="1:151" x14ac:dyDescent="0.2">
      <c r="A6" s="39" t="s">
        <v>84</v>
      </c>
      <c r="B6" s="60">
        <f t="shared" si="0"/>
        <v>90</v>
      </c>
      <c r="C6" s="52">
        <v>10</v>
      </c>
      <c r="D6" s="55">
        <v>44879</v>
      </c>
      <c r="E6" s="62">
        <v>31.01</v>
      </c>
      <c r="F6" s="62">
        <f t="shared" ref="F6:F80" si="2">E6*B6</f>
        <v>2790.9</v>
      </c>
      <c r="G6" s="60">
        <v>140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1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>
        <v>50</v>
      </c>
      <c r="AL6" s="35">
        <v>90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28">
        <f t="shared" si="1"/>
        <v>0</v>
      </c>
      <c r="DX6" s="5"/>
    </row>
    <row r="7" spans="1:151" x14ac:dyDescent="0.2">
      <c r="A7" s="39" t="s">
        <v>84</v>
      </c>
      <c r="B7" s="60">
        <f t="shared" si="0"/>
        <v>0</v>
      </c>
      <c r="C7" s="52">
        <v>10</v>
      </c>
      <c r="D7" s="54">
        <v>44897</v>
      </c>
      <c r="E7" s="62">
        <v>30.73</v>
      </c>
      <c r="F7" s="62">
        <f t="shared" si="2"/>
        <v>0</v>
      </c>
      <c r="G7" s="60">
        <v>50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1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>
        <v>50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28">
        <f t="shared" si="1"/>
        <v>0</v>
      </c>
      <c r="DX7" s="5"/>
    </row>
    <row r="8" spans="1:151" x14ac:dyDescent="0.2">
      <c r="A8" s="39" t="s">
        <v>84</v>
      </c>
      <c r="B8" s="60">
        <f t="shared" si="0"/>
        <v>110</v>
      </c>
      <c r="C8" s="52">
        <v>10</v>
      </c>
      <c r="D8" s="54">
        <v>44949</v>
      </c>
      <c r="E8" s="62">
        <v>29.55</v>
      </c>
      <c r="F8" s="62">
        <f t="shared" si="2"/>
        <v>3250.5</v>
      </c>
      <c r="G8" s="60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1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>
        <v>110</v>
      </c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>
        <v>20</v>
      </c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>
        <v>130</v>
      </c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28">
        <f t="shared" si="1"/>
        <v>0</v>
      </c>
      <c r="DX8" s="5"/>
    </row>
    <row r="9" spans="1:151" x14ac:dyDescent="0.2">
      <c r="A9" s="39" t="s">
        <v>179</v>
      </c>
      <c r="B9" s="60">
        <f t="shared" si="0"/>
        <v>0</v>
      </c>
      <c r="C9" s="52">
        <v>10</v>
      </c>
      <c r="D9" s="54">
        <v>44725</v>
      </c>
      <c r="E9" s="62">
        <v>41.81</v>
      </c>
      <c r="F9" s="62">
        <f t="shared" si="2"/>
        <v>0</v>
      </c>
      <c r="G9" s="60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1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28">
        <f t="shared" si="1"/>
        <v>0</v>
      </c>
      <c r="DX9" s="5"/>
    </row>
    <row r="10" spans="1:151" x14ac:dyDescent="0.2">
      <c r="A10" s="39" t="s">
        <v>179</v>
      </c>
      <c r="B10" s="60">
        <f t="shared" si="0"/>
        <v>0</v>
      </c>
      <c r="C10" s="52">
        <v>1</v>
      </c>
      <c r="D10" s="54">
        <v>44858</v>
      </c>
      <c r="E10" s="62">
        <v>53.66</v>
      </c>
      <c r="F10" s="62">
        <f t="shared" si="2"/>
        <v>0</v>
      </c>
      <c r="G10" s="60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1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28">
        <f t="shared" si="1"/>
        <v>0</v>
      </c>
      <c r="DX10" s="5"/>
    </row>
    <row r="11" spans="1:151" x14ac:dyDescent="0.2">
      <c r="A11" s="39" t="s">
        <v>168</v>
      </c>
      <c r="B11" s="60">
        <f t="shared" si="0"/>
        <v>0</v>
      </c>
      <c r="C11" s="52">
        <v>10</v>
      </c>
      <c r="D11" s="55">
        <v>44788</v>
      </c>
      <c r="E11" s="62">
        <v>35.11</v>
      </c>
      <c r="F11" s="62">
        <f t="shared" si="2"/>
        <v>0</v>
      </c>
      <c r="G11" s="60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1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28">
        <f t="shared" si="1"/>
        <v>0</v>
      </c>
      <c r="DX11" s="5"/>
    </row>
    <row r="12" spans="1:151" x14ac:dyDescent="0.2">
      <c r="A12" s="39" t="s">
        <v>168</v>
      </c>
      <c r="B12" s="60">
        <f t="shared" si="0"/>
        <v>0</v>
      </c>
      <c r="C12" s="52">
        <v>10</v>
      </c>
      <c r="D12" s="55">
        <v>44802</v>
      </c>
      <c r="E12" s="62">
        <v>34.729999999999997</v>
      </c>
      <c r="F12" s="62">
        <f t="shared" si="2"/>
        <v>0</v>
      </c>
      <c r="G12" s="60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1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28">
        <f t="shared" si="1"/>
        <v>0</v>
      </c>
      <c r="DX12" s="5"/>
    </row>
    <row r="13" spans="1:151" x14ac:dyDescent="0.2">
      <c r="A13" s="39" t="s">
        <v>216</v>
      </c>
      <c r="B13" s="60">
        <f t="shared" si="0"/>
        <v>10</v>
      </c>
      <c r="C13" s="52">
        <v>10</v>
      </c>
      <c r="D13" s="54">
        <v>44886</v>
      </c>
      <c r="E13" s="62">
        <v>30.73</v>
      </c>
      <c r="F13" s="62">
        <f t="shared" si="2"/>
        <v>307.3</v>
      </c>
      <c r="G13" s="60">
        <v>10</v>
      </c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1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>
        <v>10</v>
      </c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5"/>
      <c r="DK13" s="35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28">
        <f t="shared" si="1"/>
        <v>0</v>
      </c>
      <c r="DX13" s="5"/>
    </row>
    <row r="14" spans="1:151" x14ac:dyDescent="0.2">
      <c r="A14" s="39" t="s">
        <v>216</v>
      </c>
      <c r="B14" s="60">
        <f t="shared" si="0"/>
        <v>10</v>
      </c>
      <c r="C14" s="52">
        <v>10</v>
      </c>
      <c r="D14" s="54">
        <v>44924</v>
      </c>
      <c r="E14" s="62">
        <v>29.41</v>
      </c>
      <c r="F14" s="62">
        <f t="shared" si="2"/>
        <v>294.10000000000002</v>
      </c>
      <c r="G14" s="60">
        <v>10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1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>
        <v>10</v>
      </c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28">
        <f t="shared" si="1"/>
        <v>0</v>
      </c>
      <c r="DX14" s="5"/>
    </row>
    <row r="15" spans="1:151" x14ac:dyDescent="0.2">
      <c r="A15" s="39" t="s">
        <v>504</v>
      </c>
      <c r="B15" s="60">
        <f t="shared" si="0"/>
        <v>0</v>
      </c>
      <c r="C15" s="52">
        <v>1</v>
      </c>
      <c r="D15" s="54">
        <v>44781</v>
      </c>
      <c r="E15" s="62">
        <v>60.85</v>
      </c>
      <c r="F15" s="62">
        <f t="shared" si="2"/>
        <v>0</v>
      </c>
      <c r="G15" s="60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1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5"/>
      <c r="DK15" s="35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28">
        <f t="shared" si="1"/>
        <v>0</v>
      </c>
      <c r="DX15" s="5"/>
    </row>
    <row r="16" spans="1:151" x14ac:dyDescent="0.2">
      <c r="A16" s="39" t="s">
        <v>82</v>
      </c>
      <c r="B16" s="60">
        <f t="shared" si="0"/>
        <v>0</v>
      </c>
      <c r="C16" s="52">
        <v>0.8</v>
      </c>
      <c r="D16" s="54">
        <v>44956</v>
      </c>
      <c r="E16" s="62">
        <v>60.94</v>
      </c>
      <c r="F16" s="62">
        <f t="shared" si="2"/>
        <v>0</v>
      </c>
      <c r="G16" s="60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15"/>
      <c r="V16" s="35"/>
      <c r="W16" s="35"/>
      <c r="X16" s="35">
        <v>2.4</v>
      </c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>
        <v>2.4</v>
      </c>
      <c r="DC16" s="35"/>
      <c r="DD16" s="35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28">
        <f t="shared" si="1"/>
        <v>0</v>
      </c>
      <c r="DX16" s="5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</row>
    <row r="17" spans="1:151" x14ac:dyDescent="0.2">
      <c r="A17" s="39" t="s">
        <v>82</v>
      </c>
      <c r="B17" s="60">
        <f t="shared" si="0"/>
        <v>0</v>
      </c>
      <c r="C17" s="52">
        <v>8</v>
      </c>
      <c r="D17" s="54">
        <v>44651</v>
      </c>
      <c r="E17" s="62">
        <v>68.06</v>
      </c>
      <c r="F17" s="62">
        <f t="shared" si="2"/>
        <v>0</v>
      </c>
      <c r="G17" s="60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1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28">
        <f t="shared" si="1"/>
        <v>0</v>
      </c>
      <c r="DX17" s="5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</row>
    <row r="18" spans="1:151" x14ac:dyDescent="0.2">
      <c r="A18" s="39" t="s">
        <v>111</v>
      </c>
      <c r="B18" s="60">
        <f t="shared" si="0"/>
        <v>0</v>
      </c>
      <c r="C18" s="52">
        <v>0.8</v>
      </c>
      <c r="D18" s="54">
        <v>44879</v>
      </c>
      <c r="E18" s="62">
        <v>64.27</v>
      </c>
      <c r="F18" s="62">
        <f t="shared" si="2"/>
        <v>0</v>
      </c>
      <c r="G18" s="60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1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28">
        <f t="shared" si="1"/>
        <v>0</v>
      </c>
      <c r="DX18" s="5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</row>
    <row r="19" spans="1:151" x14ac:dyDescent="0.2">
      <c r="A19" s="39" t="s">
        <v>50</v>
      </c>
      <c r="B19" s="60">
        <f t="shared" si="0"/>
        <v>0</v>
      </c>
      <c r="C19" s="52">
        <v>0.8</v>
      </c>
      <c r="D19" s="55">
        <v>44781</v>
      </c>
      <c r="E19" s="88">
        <v>65.55</v>
      </c>
      <c r="F19" s="62">
        <f t="shared" si="2"/>
        <v>0</v>
      </c>
      <c r="G19" s="60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1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28">
        <f t="shared" si="1"/>
        <v>0</v>
      </c>
      <c r="DX19" s="5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</row>
    <row r="20" spans="1:151" x14ac:dyDescent="0.2">
      <c r="A20" s="47" t="s">
        <v>50</v>
      </c>
      <c r="B20" s="60">
        <f t="shared" si="0"/>
        <v>0</v>
      </c>
      <c r="C20" s="52">
        <v>8</v>
      </c>
      <c r="D20" s="55">
        <v>44949</v>
      </c>
      <c r="E20" s="62">
        <v>56.99</v>
      </c>
      <c r="F20" s="62">
        <f t="shared" si="2"/>
        <v>0</v>
      </c>
      <c r="G20" s="60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1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>
        <v>24</v>
      </c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>
        <v>24</v>
      </c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28">
        <f t="shared" si="1"/>
        <v>0</v>
      </c>
      <c r="DX20" s="5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</row>
    <row r="21" spans="1:151" x14ac:dyDescent="0.2">
      <c r="A21" s="47" t="s">
        <v>264</v>
      </c>
      <c r="B21" s="60">
        <f t="shared" si="0"/>
        <v>0</v>
      </c>
      <c r="C21" s="52">
        <v>8</v>
      </c>
      <c r="D21" s="54">
        <v>44924</v>
      </c>
      <c r="E21" s="62">
        <v>63.02</v>
      </c>
      <c r="F21" s="62">
        <f t="shared" si="2"/>
        <v>0</v>
      </c>
      <c r="G21" s="60">
        <v>16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1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>
        <v>8</v>
      </c>
      <c r="CG21" s="35">
        <v>8</v>
      </c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28">
        <f t="shared" si="1"/>
        <v>0</v>
      </c>
      <c r="DX21" s="5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</row>
    <row r="22" spans="1:151" x14ac:dyDescent="0.2">
      <c r="A22" s="47" t="s">
        <v>206</v>
      </c>
      <c r="B22" s="60">
        <f t="shared" si="0"/>
        <v>0</v>
      </c>
      <c r="C22" s="52">
        <v>1</v>
      </c>
      <c r="D22" s="54">
        <v>44956</v>
      </c>
      <c r="E22" s="62">
        <v>37.83</v>
      </c>
      <c r="F22" s="62">
        <f t="shared" si="2"/>
        <v>0</v>
      </c>
      <c r="G22" s="60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1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>
        <v>1</v>
      </c>
      <c r="DC22" s="35">
        <v>1</v>
      </c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28">
        <f t="shared" si="1"/>
        <v>0</v>
      </c>
      <c r="DX22" s="5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</row>
    <row r="23" spans="1:151" x14ac:dyDescent="0.2">
      <c r="A23" s="47" t="s">
        <v>206</v>
      </c>
      <c r="B23" s="60">
        <f t="shared" si="0"/>
        <v>0</v>
      </c>
      <c r="C23" s="52">
        <v>10</v>
      </c>
      <c r="D23" s="54">
        <v>44956</v>
      </c>
      <c r="E23" s="62">
        <v>33.619999999999997</v>
      </c>
      <c r="F23" s="62">
        <f t="shared" si="2"/>
        <v>0</v>
      </c>
      <c r="G23" s="60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1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>
        <v>10</v>
      </c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>
        <v>10</v>
      </c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28">
        <f t="shared" si="1"/>
        <v>0</v>
      </c>
      <c r="DX23" s="5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</row>
    <row r="24" spans="1:151" x14ac:dyDescent="0.2">
      <c r="A24" s="47" t="s">
        <v>218</v>
      </c>
      <c r="B24" s="60">
        <f t="shared" si="0"/>
        <v>30</v>
      </c>
      <c r="C24" s="52">
        <v>10</v>
      </c>
      <c r="D24" s="54">
        <v>44970</v>
      </c>
      <c r="E24" s="62">
        <v>29.32</v>
      </c>
      <c r="F24" s="62">
        <f t="shared" si="2"/>
        <v>879.6</v>
      </c>
      <c r="G24" s="60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15"/>
      <c r="V24" s="35"/>
      <c r="W24" s="35"/>
      <c r="X24" s="35"/>
      <c r="Y24" s="35"/>
      <c r="Z24" s="35"/>
      <c r="AA24" s="35">
        <v>1</v>
      </c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>
        <v>1</v>
      </c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/>
      <c r="DJ24" s="35"/>
      <c r="DK24" s="35"/>
      <c r="DL24" s="35"/>
      <c r="DM24" s="35"/>
      <c r="DN24" s="35"/>
      <c r="DO24" s="35"/>
      <c r="DP24" s="35"/>
      <c r="DQ24" s="35">
        <v>30</v>
      </c>
      <c r="DR24" s="35"/>
      <c r="DS24" s="35"/>
      <c r="DT24" s="35"/>
      <c r="DU24" s="35"/>
      <c r="DV24" s="35"/>
      <c r="DW24" s="28">
        <f t="shared" si="1"/>
        <v>30</v>
      </c>
      <c r="DX24" s="5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</row>
    <row r="25" spans="1:151" x14ac:dyDescent="0.2">
      <c r="A25" s="47" t="s">
        <v>573</v>
      </c>
      <c r="B25" s="60">
        <f t="shared" si="0"/>
        <v>1</v>
      </c>
      <c r="C25" s="52">
        <v>1</v>
      </c>
      <c r="D25" s="54">
        <v>44970</v>
      </c>
      <c r="E25" s="62">
        <v>31.4</v>
      </c>
      <c r="F25" s="62">
        <f t="shared" si="2"/>
        <v>31.4</v>
      </c>
      <c r="G25" s="60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1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/>
      <c r="DP25" s="35"/>
      <c r="DQ25" s="35">
        <v>1</v>
      </c>
      <c r="DR25" s="35"/>
      <c r="DS25" s="35"/>
      <c r="DT25" s="35"/>
      <c r="DU25" s="35"/>
      <c r="DV25" s="35"/>
      <c r="DW25" s="28">
        <f t="shared" si="1"/>
        <v>1</v>
      </c>
      <c r="DX25" s="5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</row>
    <row r="26" spans="1:151" x14ac:dyDescent="0.2">
      <c r="A26" s="47" t="s">
        <v>250</v>
      </c>
      <c r="B26" s="60">
        <f t="shared" si="0"/>
        <v>0</v>
      </c>
      <c r="C26" s="52">
        <v>1</v>
      </c>
      <c r="D26" s="54">
        <v>44914</v>
      </c>
      <c r="E26" s="62">
        <v>58.85</v>
      </c>
      <c r="F26" s="62">
        <f t="shared" si="2"/>
        <v>0</v>
      </c>
      <c r="G26" s="60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1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28">
        <f t="shared" si="1"/>
        <v>0</v>
      </c>
      <c r="DX26" s="5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</row>
    <row r="27" spans="1:151" x14ac:dyDescent="0.2">
      <c r="A27" s="39" t="s">
        <v>77</v>
      </c>
      <c r="B27" s="60">
        <f t="shared" si="0"/>
        <v>0</v>
      </c>
      <c r="C27" s="52">
        <v>10</v>
      </c>
      <c r="D27" s="54">
        <v>44816</v>
      </c>
      <c r="E27" s="62">
        <v>50.84</v>
      </c>
      <c r="F27" s="62">
        <f t="shared" si="2"/>
        <v>0</v>
      </c>
      <c r="G27" s="60">
        <v>30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1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>
        <v>10</v>
      </c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>
        <v>20</v>
      </c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  <c r="DU27" s="35"/>
      <c r="DV27" s="35"/>
      <c r="DW27" s="28">
        <f t="shared" si="1"/>
        <v>0</v>
      </c>
      <c r="DX27" s="5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</row>
    <row r="28" spans="1:151" x14ac:dyDescent="0.2">
      <c r="A28" s="39" t="s">
        <v>77</v>
      </c>
      <c r="B28" s="60">
        <f t="shared" si="0"/>
        <v>20</v>
      </c>
      <c r="C28" s="52">
        <v>10</v>
      </c>
      <c r="D28" s="54">
        <v>44956</v>
      </c>
      <c r="E28" s="62">
        <v>46.21</v>
      </c>
      <c r="F28" s="62">
        <f t="shared" si="2"/>
        <v>924.2</v>
      </c>
      <c r="G28" s="60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1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>
        <v>20</v>
      </c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>
        <v>40</v>
      </c>
      <c r="DC28" s="35"/>
      <c r="DD28" s="35"/>
      <c r="DE28" s="35">
        <v>20</v>
      </c>
      <c r="DF28" s="35"/>
      <c r="DG28" s="35"/>
      <c r="DH28" s="35"/>
      <c r="DI28" s="35"/>
      <c r="DJ28" s="35"/>
      <c r="DK28" s="35"/>
      <c r="DL28" s="35"/>
      <c r="DM28" s="35"/>
      <c r="DN28" s="35"/>
      <c r="DO28" s="35"/>
      <c r="DP28" s="35"/>
      <c r="DQ28" s="35"/>
      <c r="DR28" s="35"/>
      <c r="DS28" s="35"/>
      <c r="DT28" s="35"/>
      <c r="DU28" s="35"/>
      <c r="DV28" s="35"/>
      <c r="DW28" s="28">
        <f t="shared" si="1"/>
        <v>0</v>
      </c>
      <c r="DX28" s="5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</row>
    <row r="29" spans="1:151" x14ac:dyDescent="0.2">
      <c r="A29" s="39" t="s">
        <v>321</v>
      </c>
      <c r="B29" s="60">
        <f t="shared" si="0"/>
        <v>0</v>
      </c>
      <c r="C29" s="52">
        <v>9</v>
      </c>
      <c r="D29" s="54">
        <v>44816</v>
      </c>
      <c r="E29" s="62">
        <v>46.22</v>
      </c>
      <c r="F29" s="62">
        <f t="shared" si="2"/>
        <v>0</v>
      </c>
      <c r="G29" s="60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1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/>
      <c r="DP29" s="35"/>
      <c r="DQ29" s="35"/>
      <c r="DR29" s="35"/>
      <c r="DS29" s="35"/>
      <c r="DT29" s="35"/>
      <c r="DU29" s="35"/>
      <c r="DV29" s="35"/>
      <c r="DW29" s="28">
        <f t="shared" si="1"/>
        <v>0</v>
      </c>
      <c r="DX29" s="5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</row>
    <row r="30" spans="1:151" x14ac:dyDescent="0.2">
      <c r="A30" s="39" t="s">
        <v>494</v>
      </c>
      <c r="B30" s="60">
        <f t="shared" si="0"/>
        <v>0</v>
      </c>
      <c r="C30" s="52">
        <v>0.9</v>
      </c>
      <c r="D30" s="54">
        <v>44753</v>
      </c>
      <c r="E30" s="62">
        <v>45.68</v>
      </c>
      <c r="F30" s="62">
        <f t="shared" si="2"/>
        <v>0</v>
      </c>
      <c r="G30" s="60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1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/>
      <c r="DP30" s="35"/>
      <c r="DQ30" s="35"/>
      <c r="DR30" s="35"/>
      <c r="DS30" s="35"/>
      <c r="DT30" s="35"/>
      <c r="DU30" s="35"/>
      <c r="DV30" s="35"/>
      <c r="DW30" s="28">
        <f t="shared" si="1"/>
        <v>0</v>
      </c>
      <c r="DX30" s="5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</row>
    <row r="31" spans="1:151" s="33" customFormat="1" x14ac:dyDescent="0.2">
      <c r="A31" s="39" t="s">
        <v>105</v>
      </c>
      <c r="B31" s="60">
        <f t="shared" si="0"/>
        <v>27</v>
      </c>
      <c r="C31" s="52">
        <v>9</v>
      </c>
      <c r="D31" s="55">
        <v>44781</v>
      </c>
      <c r="E31" s="62">
        <v>35.119999999999997</v>
      </c>
      <c r="F31" s="62">
        <f t="shared" si="2"/>
        <v>948.2399999999999</v>
      </c>
      <c r="G31" s="60">
        <v>36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1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>
        <v>9</v>
      </c>
      <c r="BW31" s="35">
        <v>27</v>
      </c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5"/>
      <c r="DT31" s="35"/>
      <c r="DU31" s="35"/>
      <c r="DV31" s="35"/>
      <c r="DW31" s="28">
        <f t="shared" si="1"/>
        <v>0</v>
      </c>
      <c r="DX31" s="5"/>
    </row>
    <row r="32" spans="1:151" s="33" customFormat="1" x14ac:dyDescent="0.2">
      <c r="A32" s="39" t="s">
        <v>438</v>
      </c>
      <c r="B32" s="60">
        <f t="shared" si="0"/>
        <v>18</v>
      </c>
      <c r="C32" s="52">
        <v>9</v>
      </c>
      <c r="D32" s="55">
        <v>44970</v>
      </c>
      <c r="E32" s="62">
        <v>33.520000000000003</v>
      </c>
      <c r="F32" s="62">
        <f t="shared" si="2"/>
        <v>603.36</v>
      </c>
      <c r="G32" s="60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1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>
        <v>18</v>
      </c>
      <c r="DR32" s="35"/>
      <c r="DS32" s="35"/>
      <c r="DT32" s="35"/>
      <c r="DU32" s="35"/>
      <c r="DV32" s="35"/>
      <c r="DW32" s="28">
        <f t="shared" si="1"/>
        <v>18</v>
      </c>
      <c r="DX32" s="5"/>
    </row>
    <row r="33" spans="1:128" s="33" customFormat="1" x14ac:dyDescent="0.2">
      <c r="A33" s="39" t="s">
        <v>70</v>
      </c>
      <c r="B33" s="60">
        <f t="shared" si="0"/>
        <v>0</v>
      </c>
      <c r="C33" s="52">
        <v>0.9</v>
      </c>
      <c r="D33" s="54">
        <v>44897</v>
      </c>
      <c r="E33" s="62">
        <v>37.31</v>
      </c>
      <c r="F33" s="62">
        <f t="shared" si="2"/>
        <v>0</v>
      </c>
      <c r="G33" s="60">
        <v>3.6</v>
      </c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1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>
        <v>3.6</v>
      </c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35"/>
      <c r="DD33" s="35"/>
      <c r="DE33" s="35"/>
      <c r="DF33" s="35"/>
      <c r="DG33" s="35"/>
      <c r="DH33" s="35"/>
      <c r="DI33" s="35"/>
      <c r="DJ33" s="35"/>
      <c r="DK33" s="35"/>
      <c r="DL33" s="35"/>
      <c r="DM33" s="35"/>
      <c r="DN33" s="35"/>
      <c r="DO33" s="35"/>
      <c r="DP33" s="35"/>
      <c r="DQ33" s="35"/>
      <c r="DR33" s="35"/>
      <c r="DS33" s="35"/>
      <c r="DT33" s="35"/>
      <c r="DU33" s="35"/>
      <c r="DV33" s="35"/>
      <c r="DW33" s="28">
        <f t="shared" si="1"/>
        <v>0</v>
      </c>
      <c r="DX33" s="5"/>
    </row>
    <row r="34" spans="1:128" s="33" customFormat="1" x14ac:dyDescent="0.2">
      <c r="A34" s="39" t="s">
        <v>70</v>
      </c>
      <c r="B34" s="60">
        <f t="shared" si="0"/>
        <v>0</v>
      </c>
      <c r="C34" s="52">
        <v>0.9</v>
      </c>
      <c r="D34" s="54">
        <v>44956</v>
      </c>
      <c r="E34" s="62">
        <v>35.700000000000003</v>
      </c>
      <c r="F34" s="62">
        <f t="shared" si="2"/>
        <v>0</v>
      </c>
      <c r="G34" s="60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15"/>
      <c r="V34" s="35"/>
      <c r="W34" s="35"/>
      <c r="X34" s="35"/>
      <c r="Y34" s="35"/>
      <c r="Z34" s="35"/>
      <c r="AA34" s="35"/>
      <c r="AB34" s="35"/>
      <c r="AC34" s="35"/>
      <c r="AD34" s="35"/>
      <c r="AE34" s="35">
        <v>0.9</v>
      </c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5"/>
      <c r="CY34" s="35"/>
      <c r="CZ34" s="35"/>
      <c r="DA34" s="35"/>
      <c r="DB34" s="35">
        <v>0.9</v>
      </c>
      <c r="DC34" s="35"/>
      <c r="DD34" s="35"/>
      <c r="DE34" s="35"/>
      <c r="DF34" s="35"/>
      <c r="DG34" s="35"/>
      <c r="DH34" s="35"/>
      <c r="DI34" s="35"/>
      <c r="DJ34" s="35"/>
      <c r="DK34" s="35"/>
      <c r="DL34" s="35"/>
      <c r="DM34" s="35"/>
      <c r="DN34" s="35"/>
      <c r="DO34" s="35"/>
      <c r="DP34" s="35"/>
      <c r="DQ34" s="35"/>
      <c r="DR34" s="35"/>
      <c r="DS34" s="35"/>
      <c r="DT34" s="35"/>
      <c r="DU34" s="35"/>
      <c r="DV34" s="35"/>
      <c r="DW34" s="28">
        <f t="shared" si="1"/>
        <v>0</v>
      </c>
      <c r="DX34" s="5"/>
    </row>
    <row r="35" spans="1:128" s="33" customFormat="1" x14ac:dyDescent="0.2">
      <c r="A35" s="39" t="s">
        <v>70</v>
      </c>
      <c r="B35" s="60">
        <f t="shared" si="0"/>
        <v>45</v>
      </c>
      <c r="C35" s="52">
        <v>9</v>
      </c>
      <c r="D35" s="54">
        <v>44897</v>
      </c>
      <c r="E35" s="62">
        <v>32.909999999999997</v>
      </c>
      <c r="F35" s="62">
        <f t="shared" si="2"/>
        <v>1480.9499999999998</v>
      </c>
      <c r="G35" s="60">
        <v>45</v>
      </c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1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5"/>
      <c r="CY35" s="35"/>
      <c r="CZ35" s="35"/>
      <c r="DA35" s="35"/>
      <c r="DB35" s="35"/>
      <c r="DC35" s="35"/>
      <c r="DD35" s="35"/>
      <c r="DE35" s="35"/>
      <c r="DF35" s="35"/>
      <c r="DG35" s="35"/>
      <c r="DH35" s="35"/>
      <c r="DI35" s="35"/>
      <c r="DJ35" s="35"/>
      <c r="DK35" s="35"/>
      <c r="DL35" s="35"/>
      <c r="DM35" s="35"/>
      <c r="DN35" s="35"/>
      <c r="DO35" s="35"/>
      <c r="DP35" s="35"/>
      <c r="DQ35" s="35"/>
      <c r="DR35" s="35"/>
      <c r="DS35" s="35"/>
      <c r="DT35" s="35"/>
      <c r="DU35" s="35"/>
      <c r="DV35" s="35">
        <v>45</v>
      </c>
      <c r="DW35" s="28">
        <f t="shared" si="1"/>
        <v>0</v>
      </c>
      <c r="DX35" s="5"/>
    </row>
    <row r="36" spans="1:128" s="33" customFormat="1" x14ac:dyDescent="0.2">
      <c r="A36" s="39" t="s">
        <v>447</v>
      </c>
      <c r="B36" s="60">
        <f t="shared" si="0"/>
        <v>0</v>
      </c>
      <c r="C36" s="52">
        <v>1</v>
      </c>
      <c r="D36" s="54">
        <v>44753</v>
      </c>
      <c r="E36" s="62">
        <v>21.64</v>
      </c>
      <c r="F36" s="62">
        <f t="shared" si="2"/>
        <v>0</v>
      </c>
      <c r="G36" s="60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1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5"/>
      <c r="CY36" s="35"/>
      <c r="CZ36" s="35"/>
      <c r="DA36" s="35"/>
      <c r="DB36" s="35"/>
      <c r="DC36" s="35"/>
      <c r="DD36" s="35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/>
      <c r="DP36" s="35"/>
      <c r="DQ36" s="35"/>
      <c r="DR36" s="35"/>
      <c r="DS36" s="35"/>
      <c r="DT36" s="35"/>
      <c r="DU36" s="35"/>
      <c r="DV36" s="35"/>
      <c r="DW36" s="28">
        <f t="shared" si="1"/>
        <v>0</v>
      </c>
      <c r="DX36" s="5"/>
    </row>
    <row r="37" spans="1:128" s="33" customFormat="1" x14ac:dyDescent="0.2">
      <c r="A37" s="39" t="s">
        <v>160</v>
      </c>
      <c r="B37" s="60">
        <f t="shared" si="0"/>
        <v>10</v>
      </c>
      <c r="C37" s="52">
        <v>10</v>
      </c>
      <c r="D37" s="54">
        <v>44844</v>
      </c>
      <c r="E37" s="62">
        <v>32.03</v>
      </c>
      <c r="F37" s="62">
        <f t="shared" si="2"/>
        <v>320.3</v>
      </c>
      <c r="G37" s="60">
        <v>20</v>
      </c>
      <c r="H37" s="35"/>
      <c r="I37" s="35"/>
      <c r="J37" s="35">
        <v>10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1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>
        <v>10</v>
      </c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5"/>
      <c r="CY37" s="35"/>
      <c r="CZ37" s="35"/>
      <c r="DA37" s="35"/>
      <c r="DB37" s="35"/>
      <c r="DC37" s="35"/>
      <c r="DD37" s="35"/>
      <c r="DE37" s="35"/>
      <c r="DF37" s="35"/>
      <c r="DG37" s="35"/>
      <c r="DH37" s="35"/>
      <c r="DI37" s="35"/>
      <c r="DJ37" s="35"/>
      <c r="DK37" s="35"/>
      <c r="DL37" s="35"/>
      <c r="DM37" s="35"/>
      <c r="DN37" s="35"/>
      <c r="DO37" s="35"/>
      <c r="DP37" s="35"/>
      <c r="DQ37" s="35"/>
      <c r="DR37" s="35"/>
      <c r="DS37" s="35"/>
      <c r="DT37" s="35"/>
      <c r="DU37" s="35"/>
      <c r="DV37" s="35"/>
      <c r="DW37" s="28">
        <f t="shared" si="1"/>
        <v>0</v>
      </c>
      <c r="DX37" s="5"/>
    </row>
    <row r="38" spans="1:128" s="33" customFormat="1" x14ac:dyDescent="0.2">
      <c r="A38" s="39" t="s">
        <v>160</v>
      </c>
      <c r="B38" s="60">
        <f t="shared" si="0"/>
        <v>10</v>
      </c>
      <c r="C38" s="52">
        <v>10</v>
      </c>
      <c r="D38" s="54">
        <v>44893</v>
      </c>
      <c r="E38" s="62">
        <v>30.81</v>
      </c>
      <c r="F38" s="62">
        <f t="shared" si="2"/>
        <v>308.09999999999997</v>
      </c>
      <c r="G38" s="60">
        <v>10</v>
      </c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1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>
        <v>10</v>
      </c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5"/>
      <c r="CY38" s="35"/>
      <c r="CZ38" s="35"/>
      <c r="DA38" s="35"/>
      <c r="DB38" s="35"/>
      <c r="DC38" s="35"/>
      <c r="DD38" s="35"/>
      <c r="DE38" s="35"/>
      <c r="DF38" s="35"/>
      <c r="DG38" s="35"/>
      <c r="DH38" s="35"/>
      <c r="DI38" s="35"/>
      <c r="DJ38" s="35"/>
      <c r="DK38" s="35"/>
      <c r="DL38" s="35"/>
      <c r="DM38" s="35"/>
      <c r="DN38" s="35"/>
      <c r="DO38" s="35"/>
      <c r="DP38" s="35"/>
      <c r="DQ38" s="35"/>
      <c r="DR38" s="35"/>
      <c r="DS38" s="35"/>
      <c r="DT38" s="35"/>
      <c r="DU38" s="35"/>
      <c r="DV38" s="35"/>
      <c r="DW38" s="28">
        <f t="shared" si="1"/>
        <v>0</v>
      </c>
      <c r="DX38" s="5"/>
    </row>
    <row r="39" spans="1:128" s="33" customFormat="1" x14ac:dyDescent="0.2">
      <c r="A39" s="39" t="s">
        <v>505</v>
      </c>
      <c r="B39" s="60">
        <f t="shared" si="0"/>
        <v>0</v>
      </c>
      <c r="C39" s="52">
        <v>1</v>
      </c>
      <c r="D39" s="54">
        <v>44781</v>
      </c>
      <c r="E39" s="62">
        <v>53.84</v>
      </c>
      <c r="F39" s="62">
        <f t="shared" si="2"/>
        <v>0</v>
      </c>
      <c r="G39" s="60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1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5"/>
      <c r="CY39" s="35"/>
      <c r="CZ39" s="35"/>
      <c r="DA39" s="35"/>
      <c r="DB39" s="35"/>
      <c r="DC39" s="35"/>
      <c r="DD39" s="35"/>
      <c r="DE39" s="35"/>
      <c r="DF39" s="35"/>
      <c r="DG39" s="35"/>
      <c r="DH39" s="35"/>
      <c r="DI39" s="35"/>
      <c r="DJ39" s="35"/>
      <c r="DK39" s="35"/>
      <c r="DL39" s="35"/>
      <c r="DM39" s="35"/>
      <c r="DN39" s="35"/>
      <c r="DO39" s="35"/>
      <c r="DP39" s="35"/>
      <c r="DQ39" s="35"/>
      <c r="DR39" s="35"/>
      <c r="DS39" s="35"/>
      <c r="DT39" s="35"/>
      <c r="DU39" s="35"/>
      <c r="DV39" s="35"/>
      <c r="DW39" s="28">
        <f t="shared" si="1"/>
        <v>0</v>
      </c>
      <c r="DX39" s="5"/>
    </row>
    <row r="40" spans="1:128" s="33" customFormat="1" x14ac:dyDescent="0.2">
      <c r="A40" s="39" t="s">
        <v>240</v>
      </c>
      <c r="B40" s="60">
        <f t="shared" si="0"/>
        <v>9</v>
      </c>
      <c r="C40" s="52">
        <v>9</v>
      </c>
      <c r="D40" s="54">
        <v>44669</v>
      </c>
      <c r="E40" s="62">
        <v>37.74</v>
      </c>
      <c r="F40" s="62">
        <f t="shared" si="2"/>
        <v>339.66</v>
      </c>
      <c r="G40" s="60">
        <v>9</v>
      </c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>
        <v>9</v>
      </c>
      <c r="U40" s="1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5"/>
      <c r="CY40" s="35"/>
      <c r="CZ40" s="35"/>
      <c r="DA40" s="35"/>
      <c r="DB40" s="35"/>
      <c r="DC40" s="35"/>
      <c r="DD40" s="35"/>
      <c r="DE40" s="35"/>
      <c r="DF40" s="35"/>
      <c r="DG40" s="35"/>
      <c r="DH40" s="35"/>
      <c r="DI40" s="35"/>
      <c r="DJ40" s="35"/>
      <c r="DK40" s="35"/>
      <c r="DL40" s="35"/>
      <c r="DM40" s="35"/>
      <c r="DN40" s="35"/>
      <c r="DO40" s="35"/>
      <c r="DP40" s="35"/>
      <c r="DQ40" s="35"/>
      <c r="DR40" s="35"/>
      <c r="DS40" s="35"/>
      <c r="DT40" s="35"/>
      <c r="DU40" s="35"/>
      <c r="DV40" s="35"/>
      <c r="DW40" s="28">
        <f t="shared" si="1"/>
        <v>0</v>
      </c>
      <c r="DX40" s="5"/>
    </row>
    <row r="41" spans="1:128" s="33" customFormat="1" x14ac:dyDescent="0.2">
      <c r="A41" s="39" t="s">
        <v>305</v>
      </c>
      <c r="B41" s="60">
        <f t="shared" si="0"/>
        <v>0</v>
      </c>
      <c r="C41" s="52">
        <v>10</v>
      </c>
      <c r="D41" s="54">
        <v>44858</v>
      </c>
      <c r="E41" s="62">
        <v>40.26</v>
      </c>
      <c r="F41" s="62">
        <f t="shared" si="2"/>
        <v>0</v>
      </c>
      <c r="G41" s="60">
        <v>10</v>
      </c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1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>
        <v>10</v>
      </c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5"/>
      <c r="DD41" s="35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5"/>
      <c r="DU41" s="35"/>
      <c r="DV41" s="35"/>
      <c r="DW41" s="28">
        <f t="shared" si="1"/>
        <v>0</v>
      </c>
      <c r="DX41" s="5"/>
    </row>
    <row r="42" spans="1:128" s="33" customFormat="1" x14ac:dyDescent="0.2">
      <c r="A42" s="39" t="s">
        <v>343</v>
      </c>
      <c r="B42" s="60">
        <f t="shared" si="0"/>
        <v>30</v>
      </c>
      <c r="C42" s="52">
        <v>10</v>
      </c>
      <c r="D42" s="54">
        <v>44970</v>
      </c>
      <c r="E42" s="62">
        <v>37.72</v>
      </c>
      <c r="F42" s="62">
        <f>E42*B42</f>
        <v>1131.5999999999999</v>
      </c>
      <c r="G42" s="60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1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5"/>
      <c r="CY42" s="35"/>
      <c r="CZ42" s="35"/>
      <c r="DA42" s="35"/>
      <c r="DB42" s="35">
        <v>30</v>
      </c>
      <c r="DC42" s="35"/>
      <c r="DD42" s="35"/>
      <c r="DE42" s="35"/>
      <c r="DF42" s="35">
        <v>30</v>
      </c>
      <c r="DG42" s="35"/>
      <c r="DH42" s="35"/>
      <c r="DI42" s="35"/>
      <c r="DJ42" s="35"/>
      <c r="DK42" s="35"/>
      <c r="DL42" s="35"/>
      <c r="DM42" s="35"/>
      <c r="DN42" s="35"/>
      <c r="DO42" s="35"/>
      <c r="DP42" s="35"/>
      <c r="DQ42" s="35">
        <v>30</v>
      </c>
      <c r="DR42" s="35"/>
      <c r="DS42" s="35"/>
      <c r="DT42" s="35"/>
      <c r="DU42" s="35"/>
      <c r="DV42" s="35"/>
      <c r="DW42" s="28">
        <f t="shared" si="1"/>
        <v>30</v>
      </c>
      <c r="DX42" s="5"/>
    </row>
    <row r="43" spans="1:128" s="33" customFormat="1" x14ac:dyDescent="0.2">
      <c r="A43" s="39" t="s">
        <v>102</v>
      </c>
      <c r="B43" s="60">
        <f t="shared" si="0"/>
        <v>0</v>
      </c>
      <c r="C43" s="52">
        <v>10</v>
      </c>
      <c r="D43" s="54">
        <v>44802</v>
      </c>
      <c r="E43" s="62">
        <v>41.67</v>
      </c>
      <c r="F43" s="62">
        <f t="shared" si="2"/>
        <v>0</v>
      </c>
      <c r="G43" s="60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1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35"/>
      <c r="DF43" s="35"/>
      <c r="DG43" s="35"/>
      <c r="DH43" s="35"/>
      <c r="DI43" s="35"/>
      <c r="DJ43" s="35"/>
      <c r="DK43" s="35"/>
      <c r="DL43" s="35"/>
      <c r="DM43" s="35"/>
      <c r="DN43" s="35"/>
      <c r="DO43" s="35"/>
      <c r="DP43" s="35"/>
      <c r="DQ43" s="35"/>
      <c r="DR43" s="35"/>
      <c r="DS43" s="35"/>
      <c r="DT43" s="35"/>
      <c r="DU43" s="35"/>
      <c r="DV43" s="35"/>
      <c r="DW43" s="28">
        <f t="shared" si="1"/>
        <v>0</v>
      </c>
      <c r="DX43" s="5"/>
    </row>
    <row r="44" spans="1:128" s="33" customFormat="1" x14ac:dyDescent="0.2">
      <c r="A44" s="39" t="s">
        <v>524</v>
      </c>
      <c r="B44" s="60">
        <f t="shared" si="0"/>
        <v>0</v>
      </c>
      <c r="C44" s="52">
        <v>10</v>
      </c>
      <c r="D44" s="54">
        <v>44924</v>
      </c>
      <c r="E44" s="62">
        <v>22.29</v>
      </c>
      <c r="F44" s="62">
        <f t="shared" si="2"/>
        <v>0</v>
      </c>
      <c r="G44" s="60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1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5"/>
      <c r="DT44" s="35"/>
      <c r="DU44" s="35"/>
      <c r="DV44" s="35"/>
      <c r="DW44" s="28">
        <f t="shared" si="1"/>
        <v>0</v>
      </c>
      <c r="DX44" s="5"/>
    </row>
    <row r="45" spans="1:128" s="33" customFormat="1" x14ac:dyDescent="0.2">
      <c r="A45" s="39" t="s">
        <v>76</v>
      </c>
      <c r="B45" s="60">
        <f t="shared" si="0"/>
        <v>0</v>
      </c>
      <c r="C45" s="52">
        <v>10</v>
      </c>
      <c r="D45" s="55">
        <v>44914</v>
      </c>
      <c r="E45" s="62">
        <v>52.32</v>
      </c>
      <c r="F45" s="62">
        <f t="shared" si="2"/>
        <v>0</v>
      </c>
      <c r="G45" s="60">
        <v>20</v>
      </c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1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>
        <v>20</v>
      </c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35"/>
      <c r="DF45" s="35"/>
      <c r="DG45" s="35"/>
      <c r="DH45" s="35"/>
      <c r="DI45" s="35"/>
      <c r="DJ45" s="35"/>
      <c r="DK45" s="35"/>
      <c r="DL45" s="35"/>
      <c r="DM45" s="35"/>
      <c r="DN45" s="35"/>
      <c r="DO45" s="35"/>
      <c r="DP45" s="35"/>
      <c r="DQ45" s="35"/>
      <c r="DR45" s="35"/>
      <c r="DS45" s="35"/>
      <c r="DT45" s="35"/>
      <c r="DU45" s="35"/>
      <c r="DV45" s="35"/>
      <c r="DW45" s="28">
        <f t="shared" si="1"/>
        <v>0</v>
      </c>
      <c r="DX45" s="5"/>
    </row>
    <row r="46" spans="1:128" s="33" customFormat="1" x14ac:dyDescent="0.2">
      <c r="A46" s="39" t="s">
        <v>451</v>
      </c>
      <c r="B46" s="60">
        <f t="shared" si="0"/>
        <v>0</v>
      </c>
      <c r="C46" s="52">
        <v>10</v>
      </c>
      <c r="D46" s="55">
        <v>44704</v>
      </c>
      <c r="E46" s="62">
        <v>42.3</v>
      </c>
      <c r="F46" s="62">
        <f t="shared" si="2"/>
        <v>0</v>
      </c>
      <c r="G46" s="60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1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35"/>
      <c r="DF46" s="35"/>
      <c r="DG46" s="35"/>
      <c r="DH46" s="35"/>
      <c r="DI46" s="35"/>
      <c r="DJ46" s="35"/>
      <c r="DK46" s="35"/>
      <c r="DL46" s="35"/>
      <c r="DM46" s="35"/>
      <c r="DN46" s="35"/>
      <c r="DO46" s="35"/>
      <c r="DP46" s="35"/>
      <c r="DQ46" s="35"/>
      <c r="DR46" s="35"/>
      <c r="DS46" s="35"/>
      <c r="DT46" s="35"/>
      <c r="DU46" s="35"/>
      <c r="DV46" s="35"/>
      <c r="DW46" s="28">
        <f t="shared" si="1"/>
        <v>0</v>
      </c>
      <c r="DX46" s="5"/>
    </row>
    <row r="47" spans="1:128" s="33" customFormat="1" x14ac:dyDescent="0.2">
      <c r="A47" s="47" t="s">
        <v>12</v>
      </c>
      <c r="B47" s="60">
        <f t="shared" si="0"/>
        <v>30</v>
      </c>
      <c r="C47" s="52">
        <v>10</v>
      </c>
      <c r="D47" s="53">
        <v>44893</v>
      </c>
      <c r="E47" s="62">
        <v>24.21</v>
      </c>
      <c r="F47" s="62">
        <f t="shared" si="2"/>
        <v>726.30000000000007</v>
      </c>
      <c r="G47" s="60">
        <v>40</v>
      </c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1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>
        <v>10</v>
      </c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35"/>
      <c r="DF47" s="35"/>
      <c r="DG47" s="35"/>
      <c r="DH47" s="35"/>
      <c r="DI47" s="35"/>
      <c r="DJ47" s="35"/>
      <c r="DK47" s="35"/>
      <c r="DL47" s="35"/>
      <c r="DM47" s="35"/>
      <c r="DN47" s="35"/>
      <c r="DO47" s="35"/>
      <c r="DP47" s="35"/>
      <c r="DQ47" s="35"/>
      <c r="DR47" s="35"/>
      <c r="DS47" s="35"/>
      <c r="DT47" s="35"/>
      <c r="DU47" s="35"/>
      <c r="DV47" s="35">
        <v>30</v>
      </c>
      <c r="DW47" s="28">
        <f t="shared" si="1"/>
        <v>0</v>
      </c>
      <c r="DX47" s="5"/>
    </row>
    <row r="48" spans="1:128" s="33" customFormat="1" x14ac:dyDescent="0.2">
      <c r="A48" s="47" t="s">
        <v>12</v>
      </c>
      <c r="B48" s="60">
        <f t="shared" si="0"/>
        <v>0</v>
      </c>
      <c r="C48" s="52">
        <v>1</v>
      </c>
      <c r="D48" s="53">
        <v>44956</v>
      </c>
      <c r="E48" s="62">
        <v>27.32</v>
      </c>
      <c r="F48" s="62">
        <f t="shared" si="2"/>
        <v>0</v>
      </c>
      <c r="G48" s="60">
        <v>10</v>
      </c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1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>
        <v>10</v>
      </c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>
        <v>5</v>
      </c>
      <c r="DC48" s="35"/>
      <c r="DD48" s="35"/>
      <c r="DE48" s="35"/>
      <c r="DF48" s="35"/>
      <c r="DG48" s="35">
        <v>5</v>
      </c>
      <c r="DH48" s="35"/>
      <c r="DI48" s="35"/>
      <c r="DJ48" s="35"/>
      <c r="DK48" s="35"/>
      <c r="DL48" s="35"/>
      <c r="DM48" s="35"/>
      <c r="DN48" s="35"/>
      <c r="DO48" s="35"/>
      <c r="DP48" s="35"/>
      <c r="DQ48" s="35"/>
      <c r="DR48" s="35"/>
      <c r="DS48" s="35"/>
      <c r="DT48" s="35"/>
      <c r="DU48" s="35"/>
      <c r="DV48" s="35"/>
      <c r="DW48" s="28">
        <f t="shared" si="1"/>
        <v>0</v>
      </c>
      <c r="DX48" s="5"/>
    </row>
    <row r="49" spans="1:128" s="33" customFormat="1" x14ac:dyDescent="0.2">
      <c r="A49" s="47" t="s">
        <v>398</v>
      </c>
      <c r="B49" s="60">
        <f t="shared" si="0"/>
        <v>0</v>
      </c>
      <c r="C49" s="52">
        <v>10</v>
      </c>
      <c r="D49" s="53">
        <v>44680</v>
      </c>
      <c r="E49" s="62">
        <v>30.37</v>
      </c>
      <c r="F49" s="62">
        <f t="shared" si="2"/>
        <v>0</v>
      </c>
      <c r="G49" s="60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1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35"/>
      <c r="DF49" s="35"/>
      <c r="DG49" s="35"/>
      <c r="DH49" s="35"/>
      <c r="DI49" s="35"/>
      <c r="DJ49" s="35"/>
      <c r="DK49" s="35"/>
      <c r="DL49" s="35"/>
      <c r="DM49" s="35"/>
      <c r="DN49" s="35"/>
      <c r="DO49" s="35"/>
      <c r="DP49" s="35"/>
      <c r="DQ49" s="35"/>
      <c r="DR49" s="35"/>
      <c r="DS49" s="35"/>
      <c r="DT49" s="35"/>
      <c r="DU49" s="35"/>
      <c r="DV49" s="35"/>
      <c r="DW49" s="28">
        <f t="shared" si="1"/>
        <v>0</v>
      </c>
      <c r="DX49" s="5"/>
    </row>
    <row r="50" spans="1:128" s="33" customFormat="1" x14ac:dyDescent="0.2">
      <c r="A50" s="47" t="s">
        <v>54</v>
      </c>
      <c r="B50" s="60">
        <f t="shared" si="0"/>
        <v>0</v>
      </c>
      <c r="C50" s="52">
        <v>1</v>
      </c>
      <c r="D50" s="54">
        <v>44956</v>
      </c>
      <c r="E50" s="62">
        <v>52.51</v>
      </c>
      <c r="F50" s="62">
        <f t="shared" si="2"/>
        <v>0</v>
      </c>
      <c r="G50" s="60">
        <v>10</v>
      </c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1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>
        <v>10</v>
      </c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>
        <v>5</v>
      </c>
      <c r="DC50" s="35"/>
      <c r="DD50" s="35"/>
      <c r="DE50" s="35"/>
      <c r="DF50" s="35"/>
      <c r="DG50" s="35">
        <v>5</v>
      </c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28">
        <f t="shared" si="1"/>
        <v>0</v>
      </c>
      <c r="DX50" s="5"/>
    </row>
    <row r="51" spans="1:128" s="33" customFormat="1" x14ac:dyDescent="0.2">
      <c r="A51" s="47" t="s">
        <v>405</v>
      </c>
      <c r="B51" s="60">
        <f t="shared" si="0"/>
        <v>0</v>
      </c>
      <c r="C51" s="52">
        <v>1</v>
      </c>
      <c r="D51" s="54">
        <v>44753</v>
      </c>
      <c r="E51" s="62">
        <v>43.28</v>
      </c>
      <c r="F51" s="62">
        <f t="shared" si="2"/>
        <v>0</v>
      </c>
      <c r="G51" s="60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1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28">
        <f t="shared" si="1"/>
        <v>0</v>
      </c>
      <c r="DX51" s="5"/>
    </row>
    <row r="52" spans="1:128" s="33" customFormat="1" x14ac:dyDescent="0.2">
      <c r="A52" s="47" t="s">
        <v>141</v>
      </c>
      <c r="B52" s="60">
        <f t="shared" si="0"/>
        <v>0</v>
      </c>
      <c r="C52" s="52">
        <v>10</v>
      </c>
      <c r="D52" s="54">
        <v>44949</v>
      </c>
      <c r="E52" s="62">
        <v>31.64</v>
      </c>
      <c r="F52" s="62">
        <f t="shared" si="2"/>
        <v>0</v>
      </c>
      <c r="G52" s="60">
        <v>110</v>
      </c>
      <c r="H52" s="35"/>
      <c r="I52" s="35"/>
      <c r="J52" s="35"/>
      <c r="K52" s="35"/>
      <c r="L52" s="35"/>
      <c r="M52" s="35"/>
      <c r="N52" s="35"/>
      <c r="O52" s="35">
        <v>100</v>
      </c>
      <c r="P52" s="35"/>
      <c r="Q52" s="35">
        <v>90</v>
      </c>
      <c r="R52" s="35"/>
      <c r="S52" s="35"/>
      <c r="T52" s="35"/>
      <c r="U52" s="1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>
        <v>20</v>
      </c>
      <c r="CR52" s="35"/>
      <c r="CS52" s="35">
        <v>100</v>
      </c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28">
        <f t="shared" si="1"/>
        <v>0</v>
      </c>
      <c r="DX52" s="5"/>
    </row>
    <row r="53" spans="1:128" s="33" customFormat="1" x14ac:dyDescent="0.2">
      <c r="A53" s="47" t="s">
        <v>141</v>
      </c>
      <c r="B53" s="60">
        <f t="shared" si="0"/>
        <v>10</v>
      </c>
      <c r="C53" s="52">
        <v>10</v>
      </c>
      <c r="D53" s="54">
        <v>44956</v>
      </c>
      <c r="E53" s="62">
        <v>31.49</v>
      </c>
      <c r="F53" s="62">
        <f t="shared" si="2"/>
        <v>314.89999999999998</v>
      </c>
      <c r="G53" s="60"/>
      <c r="H53" s="35"/>
      <c r="I53" s="35"/>
      <c r="J53" s="35"/>
      <c r="K53" s="35"/>
      <c r="L53" s="35"/>
      <c r="M53" s="35"/>
      <c r="N53" s="35"/>
      <c r="O53" s="35"/>
      <c r="P53" s="35">
        <v>10</v>
      </c>
      <c r="Q53" s="35">
        <v>10</v>
      </c>
      <c r="R53" s="35"/>
      <c r="S53" s="35"/>
      <c r="T53" s="35"/>
      <c r="U53" s="15"/>
      <c r="V53" s="35"/>
      <c r="W53" s="35"/>
      <c r="X53" s="35"/>
      <c r="Y53" s="35"/>
      <c r="Z53" s="35"/>
      <c r="AA53" s="35"/>
      <c r="AB53" s="35"/>
      <c r="AC53" s="35"/>
      <c r="AD53" s="35"/>
      <c r="AE53" s="35">
        <v>30</v>
      </c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>
        <v>60</v>
      </c>
      <c r="DC53" s="35"/>
      <c r="DD53" s="35"/>
      <c r="DE53" s="35"/>
      <c r="DF53" s="35"/>
      <c r="DG53" s="35"/>
      <c r="DH53" s="35"/>
      <c r="DI53" s="35"/>
      <c r="DJ53" s="35"/>
      <c r="DK53" s="35"/>
      <c r="DL53" s="35">
        <v>10</v>
      </c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28">
        <f t="shared" si="1"/>
        <v>0</v>
      </c>
      <c r="DX53" s="5"/>
    </row>
    <row r="54" spans="1:128" s="33" customFormat="1" x14ac:dyDescent="0.2">
      <c r="A54" s="47" t="s">
        <v>169</v>
      </c>
      <c r="B54" s="60">
        <f t="shared" si="0"/>
        <v>10</v>
      </c>
      <c r="C54" s="52">
        <v>10</v>
      </c>
      <c r="D54" s="54">
        <v>44970</v>
      </c>
      <c r="E54" s="62">
        <v>31.4</v>
      </c>
      <c r="F54" s="62">
        <f t="shared" si="2"/>
        <v>314</v>
      </c>
      <c r="G54" s="60">
        <v>10</v>
      </c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1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>
        <v>10</v>
      </c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>
        <v>10</v>
      </c>
      <c r="DR54" s="35"/>
      <c r="DS54" s="35"/>
      <c r="DT54" s="35"/>
      <c r="DU54" s="35"/>
      <c r="DV54" s="35"/>
      <c r="DW54" s="28">
        <f t="shared" si="1"/>
        <v>10</v>
      </c>
      <c r="DX54" s="5"/>
    </row>
    <row r="55" spans="1:128" s="33" customFormat="1" x14ac:dyDescent="0.2">
      <c r="A55" s="47" t="s">
        <v>120</v>
      </c>
      <c r="B55" s="60">
        <f t="shared" si="0"/>
        <v>2</v>
      </c>
      <c r="C55" s="52">
        <v>1</v>
      </c>
      <c r="D55" s="55">
        <v>44767</v>
      </c>
      <c r="E55" s="62">
        <v>48.66</v>
      </c>
      <c r="F55" s="62">
        <f t="shared" si="2"/>
        <v>97.32</v>
      </c>
      <c r="G55" s="60">
        <v>2</v>
      </c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1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>
        <v>2</v>
      </c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28">
        <f t="shared" si="1"/>
        <v>0</v>
      </c>
      <c r="DX55" s="5"/>
    </row>
    <row r="56" spans="1:128" s="33" customFormat="1" x14ac:dyDescent="0.2">
      <c r="A56" s="47" t="s">
        <v>120</v>
      </c>
      <c r="B56" s="60">
        <f t="shared" si="0"/>
        <v>0</v>
      </c>
      <c r="C56" s="52">
        <v>10</v>
      </c>
      <c r="D56" s="55">
        <v>44949</v>
      </c>
      <c r="E56" s="62">
        <v>42.2</v>
      </c>
      <c r="F56" s="62">
        <f t="shared" si="2"/>
        <v>0</v>
      </c>
      <c r="G56" s="60"/>
      <c r="H56" s="35"/>
      <c r="I56" s="35"/>
      <c r="J56" s="35"/>
      <c r="K56" s="35">
        <v>200</v>
      </c>
      <c r="L56" s="35"/>
      <c r="M56" s="35"/>
      <c r="N56" s="35"/>
      <c r="O56" s="35"/>
      <c r="P56" s="35"/>
      <c r="Q56" s="35"/>
      <c r="R56" s="35"/>
      <c r="S56" s="35"/>
      <c r="T56" s="35"/>
      <c r="U56" s="1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>
        <v>200</v>
      </c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28">
        <f t="shared" si="1"/>
        <v>0</v>
      </c>
      <c r="DX56" s="5"/>
    </row>
    <row r="57" spans="1:128" s="33" customFormat="1" x14ac:dyDescent="0.2">
      <c r="A57" s="47" t="s">
        <v>249</v>
      </c>
      <c r="B57" s="60">
        <f t="shared" si="0"/>
        <v>0</v>
      </c>
      <c r="C57" s="52">
        <v>1</v>
      </c>
      <c r="D57" s="54">
        <v>44685</v>
      </c>
      <c r="E57" s="62">
        <v>44.97</v>
      </c>
      <c r="F57" s="62">
        <f t="shared" si="2"/>
        <v>0</v>
      </c>
      <c r="G57" s="60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1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28">
        <f t="shared" si="1"/>
        <v>0</v>
      </c>
      <c r="DX57" s="5"/>
    </row>
    <row r="58" spans="1:128" s="33" customFormat="1" x14ac:dyDescent="0.2">
      <c r="A58" s="47" t="s">
        <v>424</v>
      </c>
      <c r="B58" s="60">
        <f t="shared" si="0"/>
        <v>0</v>
      </c>
      <c r="C58" s="52">
        <v>5</v>
      </c>
      <c r="D58" s="54">
        <v>44924</v>
      </c>
      <c r="E58" s="62">
        <v>37.83</v>
      </c>
      <c r="F58" s="62">
        <f t="shared" si="2"/>
        <v>0</v>
      </c>
      <c r="G58" s="60">
        <v>10</v>
      </c>
      <c r="H58" s="35"/>
      <c r="I58" s="35"/>
      <c r="J58" s="35"/>
      <c r="K58" s="35"/>
      <c r="L58" s="35"/>
      <c r="M58" s="35">
        <v>10</v>
      </c>
      <c r="N58" s="35"/>
      <c r="O58" s="35"/>
      <c r="P58" s="35"/>
      <c r="Q58" s="35"/>
      <c r="R58" s="35"/>
      <c r="S58" s="35"/>
      <c r="T58" s="35"/>
      <c r="U58" s="1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28">
        <f t="shared" si="1"/>
        <v>0</v>
      </c>
      <c r="DX58" s="5"/>
    </row>
    <row r="59" spans="1:128" s="33" customFormat="1" x14ac:dyDescent="0.2">
      <c r="A59" s="39" t="s">
        <v>214</v>
      </c>
      <c r="B59" s="60">
        <f t="shared" si="0"/>
        <v>0</v>
      </c>
      <c r="C59" s="52">
        <v>10</v>
      </c>
      <c r="D59" s="55">
        <v>44732</v>
      </c>
      <c r="E59" s="62">
        <v>41.31</v>
      </c>
      <c r="F59" s="62">
        <f t="shared" si="2"/>
        <v>0</v>
      </c>
      <c r="G59" s="60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1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28">
        <f t="shared" si="1"/>
        <v>0</v>
      </c>
      <c r="DX59" s="5"/>
    </row>
    <row r="60" spans="1:128" s="33" customFormat="1" x14ac:dyDescent="0.2">
      <c r="A60" s="47" t="s">
        <v>231</v>
      </c>
      <c r="B60" s="60">
        <f t="shared" si="0"/>
        <v>0</v>
      </c>
      <c r="C60" s="52">
        <v>10</v>
      </c>
      <c r="D60" s="54">
        <v>44494</v>
      </c>
      <c r="E60" s="62">
        <v>17.93</v>
      </c>
      <c r="F60" s="62">
        <f t="shared" si="2"/>
        <v>0</v>
      </c>
      <c r="G60" s="60">
        <v>10</v>
      </c>
      <c r="H60" s="35"/>
      <c r="I60" s="35"/>
      <c r="J60" s="35">
        <v>10</v>
      </c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1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28">
        <f t="shared" si="1"/>
        <v>0</v>
      </c>
      <c r="DX60" s="5"/>
    </row>
    <row r="61" spans="1:128" s="33" customFormat="1" x14ac:dyDescent="0.2">
      <c r="A61" s="47" t="s">
        <v>265</v>
      </c>
      <c r="B61" s="60">
        <f t="shared" si="0"/>
        <v>10</v>
      </c>
      <c r="C61" s="52">
        <v>10</v>
      </c>
      <c r="D61" s="54">
        <v>44865</v>
      </c>
      <c r="E61" s="62">
        <v>31.01</v>
      </c>
      <c r="F61" s="62">
        <f t="shared" si="2"/>
        <v>310.10000000000002</v>
      </c>
      <c r="G61" s="60">
        <v>10</v>
      </c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1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>
        <v>10</v>
      </c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28">
        <f t="shared" si="1"/>
        <v>0</v>
      </c>
      <c r="DX61" s="5"/>
    </row>
    <row r="62" spans="1:128" s="33" customFormat="1" x14ac:dyDescent="0.2">
      <c r="A62" s="47" t="s">
        <v>265</v>
      </c>
      <c r="B62" s="60">
        <f t="shared" si="0"/>
        <v>0</v>
      </c>
      <c r="C62" s="52">
        <v>1</v>
      </c>
      <c r="D62" s="54">
        <v>44956</v>
      </c>
      <c r="E62" s="62">
        <v>33.619999999999997</v>
      </c>
      <c r="F62" s="62">
        <f t="shared" si="2"/>
        <v>0</v>
      </c>
      <c r="G62" s="60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1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>
        <v>4</v>
      </c>
      <c r="DC62" s="35"/>
      <c r="DD62" s="35"/>
      <c r="DE62" s="35"/>
      <c r="DF62" s="35">
        <v>4</v>
      </c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5"/>
      <c r="DU62" s="35"/>
      <c r="DV62" s="35"/>
      <c r="DW62" s="28">
        <f t="shared" si="1"/>
        <v>0</v>
      </c>
      <c r="DX62" s="5"/>
    </row>
    <row r="63" spans="1:128" s="33" customFormat="1" x14ac:dyDescent="0.2">
      <c r="A63" s="47" t="s">
        <v>265</v>
      </c>
      <c r="B63" s="60">
        <f t="shared" si="0"/>
        <v>20</v>
      </c>
      <c r="C63" s="52">
        <v>10</v>
      </c>
      <c r="D63" s="54">
        <v>44956</v>
      </c>
      <c r="E63" s="62">
        <v>29.41</v>
      </c>
      <c r="F63" s="62">
        <f t="shared" si="2"/>
        <v>588.20000000000005</v>
      </c>
      <c r="G63" s="60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1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>
        <v>20</v>
      </c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>
        <v>20</v>
      </c>
      <c r="DC63" s="35"/>
      <c r="DD63" s="35"/>
      <c r="DE63" s="35"/>
      <c r="DF63" s="35"/>
      <c r="DG63" s="35"/>
      <c r="DH63" s="35"/>
      <c r="DI63" s="35"/>
      <c r="DJ63" s="35"/>
      <c r="DK63" s="35"/>
      <c r="DL63" s="35"/>
      <c r="DM63" s="35"/>
      <c r="DN63" s="35"/>
      <c r="DO63" s="35"/>
      <c r="DP63" s="35"/>
      <c r="DQ63" s="35"/>
      <c r="DR63" s="35"/>
      <c r="DS63" s="35"/>
      <c r="DT63" s="35"/>
      <c r="DU63" s="35"/>
      <c r="DV63" s="35"/>
      <c r="DW63" s="28">
        <f t="shared" si="1"/>
        <v>0</v>
      </c>
      <c r="DX63" s="5"/>
    </row>
    <row r="64" spans="1:128" s="33" customFormat="1" x14ac:dyDescent="0.2">
      <c r="A64" s="47" t="s">
        <v>482</v>
      </c>
      <c r="B64" s="60">
        <f t="shared" si="0"/>
        <v>12</v>
      </c>
      <c r="C64" s="52">
        <v>12</v>
      </c>
      <c r="D64" s="54">
        <v>44725</v>
      </c>
      <c r="E64" s="62">
        <v>17.52</v>
      </c>
      <c r="F64" s="62">
        <f t="shared" si="2"/>
        <v>210.24</v>
      </c>
      <c r="G64" s="60">
        <v>12</v>
      </c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1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>
        <v>12</v>
      </c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35"/>
      <c r="DF64" s="35"/>
      <c r="DG64" s="35"/>
      <c r="DH64" s="35"/>
      <c r="DI64" s="35"/>
      <c r="DJ64" s="35"/>
      <c r="DK64" s="35"/>
      <c r="DL64" s="35"/>
      <c r="DM64" s="35"/>
      <c r="DN64" s="35"/>
      <c r="DO64" s="35"/>
      <c r="DP64" s="35"/>
      <c r="DQ64" s="35"/>
      <c r="DR64" s="35"/>
      <c r="DS64" s="35"/>
      <c r="DT64" s="35"/>
      <c r="DU64" s="35"/>
      <c r="DV64" s="35"/>
      <c r="DW64" s="28">
        <f t="shared" si="1"/>
        <v>0</v>
      </c>
      <c r="DX64" s="5"/>
    </row>
    <row r="65" spans="1:128" s="33" customFormat="1" x14ac:dyDescent="0.2">
      <c r="A65" s="47" t="s">
        <v>419</v>
      </c>
      <c r="B65" s="60">
        <f t="shared" si="0"/>
        <v>0</v>
      </c>
      <c r="C65" s="52">
        <v>12</v>
      </c>
      <c r="D65" s="54">
        <v>44865</v>
      </c>
      <c r="E65" s="62">
        <v>19.93</v>
      </c>
      <c r="F65" s="62">
        <f t="shared" si="2"/>
        <v>0</v>
      </c>
      <c r="G65" s="60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1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35"/>
      <c r="DF65" s="35"/>
      <c r="DG65" s="35"/>
      <c r="DH65" s="35"/>
      <c r="DI65" s="35"/>
      <c r="DJ65" s="35"/>
      <c r="DK65" s="35"/>
      <c r="DL65" s="35"/>
      <c r="DM65" s="35"/>
      <c r="DN65" s="35"/>
      <c r="DO65" s="35"/>
      <c r="DP65" s="35"/>
      <c r="DQ65" s="35"/>
      <c r="DR65" s="35"/>
      <c r="DS65" s="35"/>
      <c r="DT65" s="35"/>
      <c r="DU65" s="35"/>
      <c r="DV65" s="35"/>
      <c r="DW65" s="28">
        <f t="shared" si="1"/>
        <v>0</v>
      </c>
      <c r="DX65" s="5"/>
    </row>
    <row r="66" spans="1:128" s="33" customFormat="1" x14ac:dyDescent="0.2">
      <c r="A66" s="47" t="s">
        <v>459</v>
      </c>
      <c r="B66" s="60">
        <f t="shared" si="0"/>
        <v>0</v>
      </c>
      <c r="C66" s="52">
        <v>1</v>
      </c>
      <c r="D66" s="54">
        <v>44711</v>
      </c>
      <c r="E66" s="62">
        <v>47.01</v>
      </c>
      <c r="F66" s="62">
        <f t="shared" si="2"/>
        <v>0</v>
      </c>
      <c r="G66" s="60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1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  <c r="AY66" s="35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35"/>
      <c r="DF66" s="35"/>
      <c r="DG66" s="35"/>
      <c r="DH66" s="35"/>
      <c r="DI66" s="35"/>
      <c r="DJ66" s="35"/>
      <c r="DK66" s="35"/>
      <c r="DL66" s="35"/>
      <c r="DM66" s="35"/>
      <c r="DN66" s="35"/>
      <c r="DO66" s="35"/>
      <c r="DP66" s="35"/>
      <c r="DQ66" s="35"/>
      <c r="DR66" s="35"/>
      <c r="DS66" s="35"/>
      <c r="DT66" s="35"/>
      <c r="DU66" s="35"/>
      <c r="DV66" s="35"/>
      <c r="DW66" s="28">
        <f t="shared" si="1"/>
        <v>0</v>
      </c>
      <c r="DX66" s="5"/>
    </row>
    <row r="67" spans="1:128" s="33" customFormat="1" ht="13.5" customHeight="1" x14ac:dyDescent="0.2">
      <c r="A67" s="47" t="s">
        <v>66</v>
      </c>
      <c r="B67" s="60">
        <f t="shared" si="0"/>
        <v>180</v>
      </c>
      <c r="C67" s="52">
        <v>10</v>
      </c>
      <c r="D67" s="55">
        <v>44781</v>
      </c>
      <c r="E67" s="62">
        <v>32.86</v>
      </c>
      <c r="F67" s="62">
        <f t="shared" si="2"/>
        <v>5914.8</v>
      </c>
      <c r="G67" s="60">
        <v>200</v>
      </c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1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>
        <v>20</v>
      </c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35"/>
      <c r="DF67" s="35"/>
      <c r="DG67" s="35"/>
      <c r="DH67" s="35"/>
      <c r="DI67" s="35"/>
      <c r="DJ67" s="35"/>
      <c r="DK67" s="35"/>
      <c r="DL67" s="35"/>
      <c r="DM67" s="35"/>
      <c r="DN67" s="35"/>
      <c r="DO67" s="35"/>
      <c r="DP67" s="35"/>
      <c r="DQ67" s="35"/>
      <c r="DR67" s="35"/>
      <c r="DS67" s="35"/>
      <c r="DT67" s="35"/>
      <c r="DU67" s="35"/>
      <c r="DV67" s="35">
        <v>180</v>
      </c>
      <c r="DW67" s="28">
        <f t="shared" si="1"/>
        <v>0</v>
      </c>
      <c r="DX67" s="5"/>
    </row>
    <row r="68" spans="1:128" s="33" customFormat="1" ht="13.5" customHeight="1" x14ac:dyDescent="0.2">
      <c r="A68" s="47" t="s">
        <v>66</v>
      </c>
      <c r="B68" s="60">
        <f t="shared" ref="B68:B131" si="3">SUMIF(G$3:DV$3,"прих",G68:DV68)-SUMIF(G$3:DV$3,"отгр",G68:DV68)</f>
        <v>0</v>
      </c>
      <c r="C68" s="52">
        <v>10</v>
      </c>
      <c r="D68" s="55">
        <v>44775</v>
      </c>
      <c r="E68" s="62">
        <v>33.47</v>
      </c>
      <c r="F68" s="62">
        <f t="shared" si="2"/>
        <v>0</v>
      </c>
      <c r="G68" s="60">
        <v>50</v>
      </c>
      <c r="H68" s="35"/>
      <c r="I68" s="35"/>
      <c r="J68" s="35">
        <v>10</v>
      </c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1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>
        <v>40</v>
      </c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35"/>
      <c r="DF68" s="35"/>
      <c r="DG68" s="35"/>
      <c r="DH68" s="35"/>
      <c r="DI68" s="35"/>
      <c r="DJ68" s="35"/>
      <c r="DK68" s="35"/>
      <c r="DL68" s="35"/>
      <c r="DM68" s="35"/>
      <c r="DN68" s="35"/>
      <c r="DO68" s="35"/>
      <c r="DP68" s="35"/>
      <c r="DQ68" s="35"/>
      <c r="DR68" s="35"/>
      <c r="DS68" s="35"/>
      <c r="DT68" s="35"/>
      <c r="DU68" s="35"/>
      <c r="DV68" s="35"/>
      <c r="DW68" s="28">
        <f t="shared" ref="DW68:DW131" si="4">$B68-SUMIF($G$3:$IK$3,"",$G68:$IK68)</f>
        <v>0</v>
      </c>
      <c r="DX68" s="5"/>
    </row>
    <row r="69" spans="1:128" s="33" customFormat="1" ht="13.5" customHeight="1" x14ac:dyDescent="0.2">
      <c r="A69" s="47" t="s">
        <v>446</v>
      </c>
      <c r="B69" s="60">
        <f t="shared" si="3"/>
        <v>0</v>
      </c>
      <c r="C69" s="52">
        <v>1</v>
      </c>
      <c r="D69" s="55">
        <v>44753</v>
      </c>
      <c r="E69" s="62">
        <v>21.65</v>
      </c>
      <c r="F69" s="62">
        <f t="shared" si="2"/>
        <v>0</v>
      </c>
      <c r="G69" s="60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1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35"/>
      <c r="DF69" s="35"/>
      <c r="DG69" s="35"/>
      <c r="DH69" s="35"/>
      <c r="DI69" s="35"/>
      <c r="DJ69" s="35"/>
      <c r="DK69" s="35"/>
      <c r="DL69" s="35"/>
      <c r="DM69" s="35"/>
      <c r="DN69" s="35"/>
      <c r="DO69" s="35"/>
      <c r="DP69" s="35"/>
      <c r="DQ69" s="35"/>
      <c r="DR69" s="35"/>
      <c r="DS69" s="35"/>
      <c r="DT69" s="35"/>
      <c r="DU69" s="35"/>
      <c r="DV69" s="35"/>
      <c r="DW69" s="28">
        <f t="shared" si="4"/>
        <v>0</v>
      </c>
      <c r="DX69" s="5"/>
    </row>
    <row r="70" spans="1:128" s="33" customFormat="1" ht="13.5" customHeight="1" x14ac:dyDescent="0.2">
      <c r="A70" s="47" t="s">
        <v>366</v>
      </c>
      <c r="B70" s="60">
        <f t="shared" si="3"/>
        <v>0</v>
      </c>
      <c r="C70" s="52">
        <v>10</v>
      </c>
      <c r="D70" s="55">
        <v>44851</v>
      </c>
      <c r="E70" s="62">
        <v>43.81</v>
      </c>
      <c r="F70" s="62">
        <f t="shared" si="2"/>
        <v>0</v>
      </c>
      <c r="G70" s="60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1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35"/>
      <c r="DF70" s="35"/>
      <c r="DG70" s="35"/>
      <c r="DH70" s="35"/>
      <c r="DI70" s="35"/>
      <c r="DJ70" s="35"/>
      <c r="DK70" s="35"/>
      <c r="DL70" s="35"/>
      <c r="DM70" s="35"/>
      <c r="DN70" s="35"/>
      <c r="DO70" s="35"/>
      <c r="DP70" s="35"/>
      <c r="DQ70" s="35"/>
      <c r="DR70" s="35"/>
      <c r="DS70" s="35"/>
      <c r="DT70" s="35"/>
      <c r="DU70" s="35"/>
      <c r="DV70" s="35"/>
      <c r="DW70" s="28">
        <f t="shared" si="4"/>
        <v>0</v>
      </c>
      <c r="DX70" s="5"/>
    </row>
    <row r="71" spans="1:128" s="33" customFormat="1" ht="13.5" customHeight="1" x14ac:dyDescent="0.2">
      <c r="A71" s="47" t="s">
        <v>337</v>
      </c>
      <c r="B71" s="60">
        <f t="shared" si="3"/>
        <v>90</v>
      </c>
      <c r="C71" s="52">
        <v>10</v>
      </c>
      <c r="D71" s="55">
        <v>44879</v>
      </c>
      <c r="E71" s="62">
        <v>46.54</v>
      </c>
      <c r="F71" s="62">
        <f t="shared" si="2"/>
        <v>4188.6000000000004</v>
      </c>
      <c r="G71" s="60">
        <v>200</v>
      </c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1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>
        <v>20</v>
      </c>
      <c r="AK71" s="35">
        <v>60</v>
      </c>
      <c r="AL71" s="35">
        <v>90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>
        <v>30</v>
      </c>
      <c r="CV71" s="35"/>
      <c r="CW71" s="35"/>
      <c r="CX71" s="35"/>
      <c r="CY71" s="35"/>
      <c r="CZ71" s="35"/>
      <c r="DA71" s="35"/>
      <c r="DB71" s="35"/>
      <c r="DC71" s="35"/>
      <c r="DD71" s="35"/>
      <c r="DE71" s="35"/>
      <c r="DF71" s="35"/>
      <c r="DG71" s="35"/>
      <c r="DH71" s="35"/>
      <c r="DI71" s="35"/>
      <c r="DJ71" s="35"/>
      <c r="DK71" s="35"/>
      <c r="DL71" s="35"/>
      <c r="DM71" s="35"/>
      <c r="DN71" s="35"/>
      <c r="DO71" s="35"/>
      <c r="DP71" s="35"/>
      <c r="DQ71" s="35"/>
      <c r="DR71" s="35"/>
      <c r="DS71" s="35"/>
      <c r="DT71" s="35"/>
      <c r="DU71" s="35"/>
      <c r="DV71" s="35"/>
      <c r="DW71" s="28">
        <f t="shared" si="4"/>
        <v>0</v>
      </c>
      <c r="DX71" s="5"/>
    </row>
    <row r="72" spans="1:128" s="33" customFormat="1" ht="13.5" customHeight="1" x14ac:dyDescent="0.2">
      <c r="A72" s="47" t="s">
        <v>337</v>
      </c>
      <c r="B72" s="60">
        <f t="shared" si="3"/>
        <v>50</v>
      </c>
      <c r="C72" s="52">
        <v>10</v>
      </c>
      <c r="D72" s="55">
        <v>44949</v>
      </c>
      <c r="E72" s="62">
        <v>44.13</v>
      </c>
      <c r="F72" s="62">
        <f t="shared" si="2"/>
        <v>2206.5</v>
      </c>
      <c r="G72" s="60">
        <v>40</v>
      </c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1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>
        <v>50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>
        <v>10</v>
      </c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35"/>
      <c r="DF72" s="35"/>
      <c r="DG72" s="35"/>
      <c r="DH72" s="35"/>
      <c r="DI72" s="35"/>
      <c r="DJ72" s="35"/>
      <c r="DK72" s="35"/>
      <c r="DL72" s="35"/>
      <c r="DM72" s="35"/>
      <c r="DN72" s="35"/>
      <c r="DO72" s="35"/>
      <c r="DP72" s="35"/>
      <c r="DQ72" s="35"/>
      <c r="DR72" s="35"/>
      <c r="DS72" s="35"/>
      <c r="DT72" s="35"/>
      <c r="DU72" s="35"/>
      <c r="DV72" s="35"/>
      <c r="DW72" s="28">
        <f t="shared" si="4"/>
        <v>0</v>
      </c>
      <c r="DX72" s="5"/>
    </row>
    <row r="73" spans="1:128" s="33" customFormat="1" ht="13.5" customHeight="1" x14ac:dyDescent="0.2">
      <c r="A73" s="47" t="s">
        <v>337</v>
      </c>
      <c r="B73" s="60">
        <f t="shared" si="3"/>
        <v>2</v>
      </c>
      <c r="C73" s="52">
        <v>1</v>
      </c>
      <c r="D73" s="55">
        <v>44970</v>
      </c>
      <c r="E73" s="62">
        <v>46.08</v>
      </c>
      <c r="F73" s="62">
        <f t="shared" si="2"/>
        <v>92.16</v>
      </c>
      <c r="G73" s="60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1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>
        <v>2</v>
      </c>
      <c r="DR73" s="35"/>
      <c r="DS73" s="35"/>
      <c r="DT73" s="35"/>
      <c r="DU73" s="35"/>
      <c r="DV73" s="35"/>
      <c r="DW73" s="28">
        <f t="shared" si="4"/>
        <v>2</v>
      </c>
      <c r="DX73" s="5"/>
    </row>
    <row r="74" spans="1:128" s="33" customFormat="1" ht="13.5" customHeight="1" x14ac:dyDescent="0.2">
      <c r="A74" s="47" t="s">
        <v>462</v>
      </c>
      <c r="B74" s="60">
        <f t="shared" si="3"/>
        <v>0</v>
      </c>
      <c r="C74" s="52">
        <v>1</v>
      </c>
      <c r="D74" s="55">
        <v>44753</v>
      </c>
      <c r="E74" s="62">
        <v>55.3</v>
      </c>
      <c r="F74" s="62">
        <f t="shared" si="2"/>
        <v>0</v>
      </c>
      <c r="G74" s="60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1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  <c r="AY74" s="35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  <c r="DT74" s="35"/>
      <c r="DU74" s="35"/>
      <c r="DV74" s="35"/>
      <c r="DW74" s="28">
        <f t="shared" si="4"/>
        <v>0</v>
      </c>
      <c r="DX74" s="5"/>
    </row>
    <row r="75" spans="1:128" s="33" customFormat="1" ht="13.5" customHeight="1" x14ac:dyDescent="0.2">
      <c r="A75" s="47" t="s">
        <v>336</v>
      </c>
      <c r="B75" s="60">
        <f t="shared" si="3"/>
        <v>30</v>
      </c>
      <c r="C75" s="52">
        <v>10</v>
      </c>
      <c r="D75" s="55">
        <v>44732</v>
      </c>
      <c r="E75" s="62">
        <v>14.6</v>
      </c>
      <c r="F75" s="62">
        <f t="shared" si="2"/>
        <v>438</v>
      </c>
      <c r="G75" s="60">
        <v>30</v>
      </c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1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  <c r="AY75" s="35"/>
      <c r="AZ75" s="35"/>
      <c r="BA75" s="35"/>
      <c r="BB75" s="35">
        <v>30</v>
      </c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  <c r="DT75" s="35"/>
      <c r="DU75" s="35"/>
      <c r="DV75" s="35"/>
      <c r="DW75" s="28">
        <f t="shared" si="4"/>
        <v>0</v>
      </c>
      <c r="DX75" s="5"/>
    </row>
    <row r="76" spans="1:128" s="33" customFormat="1" ht="13.5" customHeight="1" x14ac:dyDescent="0.2">
      <c r="A76" s="47" t="s">
        <v>200</v>
      </c>
      <c r="B76" s="60">
        <f t="shared" si="3"/>
        <v>170</v>
      </c>
      <c r="C76" s="52">
        <v>10</v>
      </c>
      <c r="D76" s="55">
        <v>44897</v>
      </c>
      <c r="E76" s="62">
        <v>39.54</v>
      </c>
      <c r="F76" s="62">
        <f t="shared" si="2"/>
        <v>6721.8</v>
      </c>
      <c r="G76" s="60">
        <v>190</v>
      </c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1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>
        <v>20</v>
      </c>
      <c r="AK76" s="35"/>
      <c r="AL76" s="35">
        <v>170</v>
      </c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  <c r="DT76" s="35"/>
      <c r="DU76" s="35"/>
      <c r="DV76" s="35"/>
      <c r="DW76" s="28">
        <f t="shared" si="4"/>
        <v>0</v>
      </c>
      <c r="DX76" s="5"/>
    </row>
    <row r="77" spans="1:128" s="33" customFormat="1" ht="13.5" customHeight="1" x14ac:dyDescent="0.2">
      <c r="A77" s="47" t="s">
        <v>200</v>
      </c>
      <c r="B77" s="60">
        <f t="shared" si="3"/>
        <v>0</v>
      </c>
      <c r="C77" s="52">
        <v>10</v>
      </c>
      <c r="D77" s="55">
        <v>44924</v>
      </c>
      <c r="E77" s="62">
        <v>37.83</v>
      </c>
      <c r="F77" s="62">
        <f t="shared" si="2"/>
        <v>0</v>
      </c>
      <c r="G77" s="60">
        <v>60</v>
      </c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1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>
        <v>60</v>
      </c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28">
        <f t="shared" si="4"/>
        <v>0</v>
      </c>
      <c r="DX77" s="5"/>
    </row>
    <row r="78" spans="1:128" s="33" customFormat="1" x14ac:dyDescent="0.2">
      <c r="A78" s="47" t="s">
        <v>237</v>
      </c>
      <c r="B78" s="60">
        <f t="shared" si="3"/>
        <v>0</v>
      </c>
      <c r="C78" s="89">
        <v>1.1000000000000001</v>
      </c>
      <c r="D78" s="54">
        <v>44781</v>
      </c>
      <c r="E78" s="62">
        <v>53.83</v>
      </c>
      <c r="F78" s="62">
        <f t="shared" si="2"/>
        <v>0</v>
      </c>
      <c r="G78" s="60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1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5"/>
      <c r="DU78" s="35"/>
      <c r="DV78" s="35"/>
      <c r="DW78" s="28">
        <f t="shared" si="4"/>
        <v>0</v>
      </c>
      <c r="DX78" s="5"/>
    </row>
    <row r="79" spans="1:128" s="33" customFormat="1" x14ac:dyDescent="0.2">
      <c r="A79" s="47" t="s">
        <v>212</v>
      </c>
      <c r="B79" s="60">
        <f t="shared" si="3"/>
        <v>0</v>
      </c>
      <c r="C79" s="89">
        <v>1</v>
      </c>
      <c r="D79" s="54">
        <v>44753</v>
      </c>
      <c r="E79" s="62">
        <v>45.7</v>
      </c>
      <c r="F79" s="62">
        <f t="shared" si="2"/>
        <v>0</v>
      </c>
      <c r="G79" s="60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1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  <c r="DT79" s="35"/>
      <c r="DU79" s="35"/>
      <c r="DV79" s="35"/>
      <c r="DW79" s="28">
        <f t="shared" si="4"/>
        <v>0</v>
      </c>
      <c r="DX79" s="5"/>
    </row>
    <row r="80" spans="1:128" s="33" customFormat="1" x14ac:dyDescent="0.2">
      <c r="A80" s="47" t="s">
        <v>486</v>
      </c>
      <c r="B80" s="60">
        <f t="shared" si="3"/>
        <v>0</v>
      </c>
      <c r="C80" s="89">
        <v>1.1000000000000001</v>
      </c>
      <c r="D80" s="54">
        <v>44851</v>
      </c>
      <c r="E80" s="62">
        <v>145.25</v>
      </c>
      <c r="F80" s="62">
        <f t="shared" si="2"/>
        <v>0</v>
      </c>
      <c r="G80" s="60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1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  <c r="DT80" s="35"/>
      <c r="DU80" s="35"/>
      <c r="DV80" s="35"/>
      <c r="DW80" s="28">
        <f t="shared" si="4"/>
        <v>0</v>
      </c>
      <c r="DX80" s="5"/>
    </row>
    <row r="81" spans="1:128" s="33" customFormat="1" ht="12" customHeight="1" x14ac:dyDescent="0.2">
      <c r="A81" s="47" t="s">
        <v>117</v>
      </c>
      <c r="B81" s="60">
        <f t="shared" si="3"/>
        <v>60</v>
      </c>
      <c r="C81" s="52">
        <v>10</v>
      </c>
      <c r="D81" s="55">
        <v>44886</v>
      </c>
      <c r="E81" s="62">
        <v>31.85</v>
      </c>
      <c r="F81" s="62">
        <f t="shared" ref="F81:F161" si="5">E81*B81</f>
        <v>1911</v>
      </c>
      <c r="G81" s="60">
        <v>440</v>
      </c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1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>
        <v>60</v>
      </c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  <c r="CD81" s="35"/>
      <c r="CE81" s="35"/>
      <c r="CF81" s="35"/>
      <c r="CG81" s="35"/>
      <c r="CH81" s="35"/>
      <c r="CI81" s="35"/>
      <c r="CJ81" s="35"/>
      <c r="CK81" s="35">
        <v>140</v>
      </c>
      <c r="CL81" s="35"/>
      <c r="CM81" s="35"/>
      <c r="CN81" s="35"/>
      <c r="CO81" s="35"/>
      <c r="CP81" s="35"/>
      <c r="CQ81" s="35"/>
      <c r="CR81" s="35">
        <v>100</v>
      </c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>
        <v>80</v>
      </c>
      <c r="DI81" s="35"/>
      <c r="DJ81" s="35"/>
      <c r="DK81" s="35"/>
      <c r="DL81" s="35"/>
      <c r="DM81" s="35">
        <v>60</v>
      </c>
      <c r="DN81" s="35"/>
      <c r="DO81" s="35"/>
      <c r="DP81" s="35"/>
      <c r="DQ81" s="35"/>
      <c r="DR81" s="35"/>
      <c r="DS81" s="35"/>
      <c r="DT81" s="35"/>
      <c r="DU81" s="35"/>
      <c r="DV81" s="35"/>
      <c r="DW81" s="28">
        <f t="shared" si="4"/>
        <v>0</v>
      </c>
      <c r="DX81" s="5"/>
    </row>
    <row r="82" spans="1:128" s="33" customFormat="1" ht="12" customHeight="1" x14ac:dyDescent="0.2">
      <c r="A82" s="47" t="s">
        <v>117</v>
      </c>
      <c r="B82" s="60">
        <f t="shared" si="3"/>
        <v>90</v>
      </c>
      <c r="C82" s="52">
        <v>10</v>
      </c>
      <c r="D82" s="55">
        <v>44949</v>
      </c>
      <c r="E82" s="62">
        <v>31.64</v>
      </c>
      <c r="F82" s="62">
        <f t="shared" si="5"/>
        <v>2847.6</v>
      </c>
      <c r="G82" s="60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1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>
        <v>100</v>
      </c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>
        <v>10</v>
      </c>
      <c r="DN82" s="35"/>
      <c r="DO82" s="35"/>
      <c r="DP82" s="35"/>
      <c r="DQ82" s="35"/>
      <c r="DR82" s="35"/>
      <c r="DS82" s="35"/>
      <c r="DT82" s="35"/>
      <c r="DU82" s="35"/>
      <c r="DV82" s="35">
        <v>90</v>
      </c>
      <c r="DW82" s="28">
        <f t="shared" si="4"/>
        <v>0</v>
      </c>
      <c r="DX82" s="5"/>
    </row>
    <row r="83" spans="1:128" s="33" customFormat="1" ht="12" customHeight="1" x14ac:dyDescent="0.2">
      <c r="A83" s="47" t="s">
        <v>117</v>
      </c>
      <c r="B83" s="60">
        <f t="shared" si="3"/>
        <v>370</v>
      </c>
      <c r="C83" s="52">
        <v>10</v>
      </c>
      <c r="D83" s="55">
        <v>44970</v>
      </c>
      <c r="E83" s="62">
        <v>30.39</v>
      </c>
      <c r="F83" s="62">
        <f t="shared" si="5"/>
        <v>11244.300000000001</v>
      </c>
      <c r="G83" s="60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1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>
        <v>370</v>
      </c>
      <c r="DR83" s="35"/>
      <c r="DS83" s="35"/>
      <c r="DT83" s="35"/>
      <c r="DU83" s="35"/>
      <c r="DV83" s="35"/>
      <c r="DW83" s="28">
        <f t="shared" si="4"/>
        <v>370</v>
      </c>
      <c r="DX83" s="5"/>
    </row>
    <row r="84" spans="1:128" s="33" customFormat="1" ht="12" customHeight="1" x14ac:dyDescent="0.2">
      <c r="A84" s="47" t="s">
        <v>235</v>
      </c>
      <c r="B84" s="60">
        <f t="shared" si="3"/>
        <v>0</v>
      </c>
      <c r="C84" s="52">
        <v>1</v>
      </c>
      <c r="D84" s="55">
        <v>44858</v>
      </c>
      <c r="E84" s="62">
        <v>53.66</v>
      </c>
      <c r="F84" s="62">
        <f t="shared" si="5"/>
        <v>0</v>
      </c>
      <c r="G84" s="60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1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  <c r="CD84" s="35"/>
      <c r="CE84" s="35"/>
      <c r="CF84" s="35"/>
      <c r="CG84" s="35"/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  <c r="DT84" s="35"/>
      <c r="DU84" s="35"/>
      <c r="DV84" s="35"/>
      <c r="DW84" s="28">
        <f t="shared" si="4"/>
        <v>0</v>
      </c>
      <c r="DX84" s="5"/>
    </row>
    <row r="85" spans="1:128" s="33" customFormat="1" ht="12" customHeight="1" x14ac:dyDescent="0.2">
      <c r="A85" s="47" t="s">
        <v>436</v>
      </c>
      <c r="B85" s="60">
        <f t="shared" si="3"/>
        <v>0</v>
      </c>
      <c r="C85" s="52">
        <v>0.8</v>
      </c>
      <c r="D85" s="55">
        <v>44970</v>
      </c>
      <c r="E85" s="62">
        <v>69.12</v>
      </c>
      <c r="F85" s="62">
        <f t="shared" si="5"/>
        <v>0</v>
      </c>
      <c r="G85" s="60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1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>
        <v>0.8</v>
      </c>
      <c r="AT85" s="35"/>
      <c r="AU85" s="35"/>
      <c r="AV85" s="35"/>
      <c r="AW85" s="35"/>
      <c r="AX85" s="35"/>
      <c r="AY85" s="35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  <c r="CD85" s="35"/>
      <c r="CE85" s="35"/>
      <c r="CF85" s="35"/>
      <c r="CG85" s="35"/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>
        <v>0.8</v>
      </c>
      <c r="DR85" s="35"/>
      <c r="DS85" s="35"/>
      <c r="DT85" s="35"/>
      <c r="DU85" s="35"/>
      <c r="DV85" s="35"/>
      <c r="DW85" s="28">
        <f t="shared" si="4"/>
        <v>0</v>
      </c>
      <c r="DX85" s="5"/>
    </row>
    <row r="86" spans="1:128" s="33" customFormat="1" ht="12" customHeight="1" x14ac:dyDescent="0.2">
      <c r="A86" s="47" t="s">
        <v>497</v>
      </c>
      <c r="B86" s="60">
        <f t="shared" si="3"/>
        <v>0</v>
      </c>
      <c r="C86" s="52">
        <v>9</v>
      </c>
      <c r="D86" s="55">
        <v>44775</v>
      </c>
      <c r="E86" s="62">
        <v>62.16</v>
      </c>
      <c r="F86" s="62">
        <f t="shared" si="5"/>
        <v>0</v>
      </c>
      <c r="G86" s="60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1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  <c r="CD86" s="35"/>
      <c r="CE86" s="35"/>
      <c r="CF86" s="35"/>
      <c r="CG86" s="35"/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  <c r="DT86" s="35"/>
      <c r="DU86" s="35"/>
      <c r="DV86" s="35"/>
      <c r="DW86" s="28">
        <f t="shared" si="4"/>
        <v>0</v>
      </c>
      <c r="DX86" s="5"/>
    </row>
    <row r="87" spans="1:128" s="33" customFormat="1" ht="12" customHeight="1" x14ac:dyDescent="0.2">
      <c r="A87" s="47" t="s">
        <v>464</v>
      </c>
      <c r="B87" s="60">
        <f t="shared" si="3"/>
        <v>0</v>
      </c>
      <c r="C87" s="52">
        <v>0.9</v>
      </c>
      <c r="D87" s="55">
        <v>44949</v>
      </c>
      <c r="E87" s="62">
        <v>101.29</v>
      </c>
      <c r="F87" s="62">
        <f t="shared" si="5"/>
        <v>0</v>
      </c>
      <c r="G87" s="60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1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>
        <v>2.7</v>
      </c>
      <c r="BZ87" s="35"/>
      <c r="CA87" s="35"/>
      <c r="CB87" s="35"/>
      <c r="CC87" s="35"/>
      <c r="CD87" s="35"/>
      <c r="CE87" s="35"/>
      <c r="CF87" s="35"/>
      <c r="CG87" s="35"/>
      <c r="CH87" s="35"/>
      <c r="CI87" s="35"/>
      <c r="CJ87" s="35"/>
      <c r="CK87" s="35"/>
      <c r="CL87" s="35"/>
      <c r="CM87" s="35"/>
      <c r="CN87" s="35"/>
      <c r="CO87" s="35"/>
      <c r="CP87" s="35"/>
      <c r="CQ87" s="35"/>
      <c r="CR87" s="35"/>
      <c r="CS87" s="35">
        <v>2.7</v>
      </c>
      <c r="CT87" s="35"/>
      <c r="CU87" s="35"/>
      <c r="CV87" s="35"/>
      <c r="CW87" s="35"/>
      <c r="CX87" s="35"/>
      <c r="CY87" s="35"/>
      <c r="CZ87" s="35"/>
      <c r="DA87" s="35"/>
      <c r="DB87" s="35"/>
      <c r="DC87" s="35"/>
      <c r="DD87" s="35"/>
      <c r="DE87" s="35"/>
      <c r="DF87" s="35"/>
      <c r="DG87" s="35"/>
      <c r="DH87" s="35"/>
      <c r="DI87" s="35"/>
      <c r="DJ87" s="35"/>
      <c r="DK87" s="35"/>
      <c r="DL87" s="35"/>
      <c r="DM87" s="35"/>
      <c r="DN87" s="35"/>
      <c r="DO87" s="35"/>
      <c r="DP87" s="35"/>
      <c r="DQ87" s="35"/>
      <c r="DR87" s="35"/>
      <c r="DS87" s="35"/>
      <c r="DT87" s="35"/>
      <c r="DU87" s="35"/>
      <c r="DV87" s="35"/>
      <c r="DW87" s="28">
        <f t="shared" si="4"/>
        <v>0</v>
      </c>
      <c r="DX87" s="5"/>
    </row>
    <row r="88" spans="1:128" s="33" customFormat="1" x14ac:dyDescent="0.2">
      <c r="A88" s="47" t="s">
        <v>13</v>
      </c>
      <c r="B88" s="60">
        <f t="shared" si="3"/>
        <v>306</v>
      </c>
      <c r="C88" s="52">
        <v>9</v>
      </c>
      <c r="D88" s="54">
        <v>44914</v>
      </c>
      <c r="E88" s="65">
        <v>29.63</v>
      </c>
      <c r="F88" s="62">
        <f t="shared" si="5"/>
        <v>9066.7799999999988</v>
      </c>
      <c r="G88" s="60">
        <v>351</v>
      </c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1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>
        <v>45</v>
      </c>
      <c r="AZ88" s="35"/>
      <c r="BA88" s="35"/>
      <c r="BB88" s="35">
        <v>306</v>
      </c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  <c r="CD88" s="35"/>
      <c r="CE88" s="35"/>
      <c r="CF88" s="35"/>
      <c r="CG88" s="35"/>
      <c r="CH88" s="35"/>
      <c r="CI88" s="35"/>
      <c r="CJ88" s="35"/>
      <c r="CK88" s="35"/>
      <c r="CL88" s="35"/>
      <c r="CM88" s="35"/>
      <c r="CN88" s="35"/>
      <c r="CO88" s="35"/>
      <c r="CP88" s="35"/>
      <c r="CQ88" s="35"/>
      <c r="CR88" s="35"/>
      <c r="CS88" s="35"/>
      <c r="CT88" s="35"/>
      <c r="CU88" s="35"/>
      <c r="CV88" s="35"/>
      <c r="CW88" s="35"/>
      <c r="CX88" s="35"/>
      <c r="CY88" s="35"/>
      <c r="CZ88" s="35"/>
      <c r="DA88" s="35"/>
      <c r="DB88" s="35"/>
      <c r="DC88" s="35"/>
      <c r="DD88" s="35"/>
      <c r="DE88" s="35"/>
      <c r="DF88" s="35"/>
      <c r="DG88" s="35"/>
      <c r="DH88" s="35"/>
      <c r="DI88" s="35"/>
      <c r="DJ88" s="35"/>
      <c r="DK88" s="35"/>
      <c r="DL88" s="35"/>
      <c r="DM88" s="35"/>
      <c r="DN88" s="35"/>
      <c r="DO88" s="35"/>
      <c r="DP88" s="35"/>
      <c r="DQ88" s="35"/>
      <c r="DR88" s="35"/>
      <c r="DS88" s="35"/>
      <c r="DT88" s="35"/>
      <c r="DU88" s="35"/>
      <c r="DV88" s="35"/>
      <c r="DW88" s="28">
        <f t="shared" si="4"/>
        <v>0</v>
      </c>
      <c r="DX88" s="5"/>
    </row>
    <row r="89" spans="1:128" s="33" customFormat="1" x14ac:dyDescent="0.2">
      <c r="A89" s="47" t="s">
        <v>244</v>
      </c>
      <c r="B89" s="60">
        <f t="shared" si="3"/>
        <v>0</v>
      </c>
      <c r="C89" s="52">
        <v>1</v>
      </c>
      <c r="D89" s="54">
        <v>44949</v>
      </c>
      <c r="E89" s="65">
        <v>35.869999999999997</v>
      </c>
      <c r="F89" s="62">
        <f t="shared" si="5"/>
        <v>0</v>
      </c>
      <c r="G89" s="60"/>
      <c r="H89" s="35"/>
      <c r="I89" s="35"/>
      <c r="J89" s="35"/>
      <c r="K89" s="35">
        <v>5</v>
      </c>
      <c r="L89" s="35"/>
      <c r="M89" s="35"/>
      <c r="N89" s="35"/>
      <c r="O89" s="35"/>
      <c r="P89" s="35"/>
      <c r="Q89" s="35"/>
      <c r="R89" s="35"/>
      <c r="S89" s="35"/>
      <c r="T89" s="35"/>
      <c r="U89" s="1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  <c r="CD89" s="35"/>
      <c r="CE89" s="35"/>
      <c r="CF89" s="35"/>
      <c r="CG89" s="35"/>
      <c r="CH89" s="35"/>
      <c r="CI89" s="35"/>
      <c r="CJ89" s="35"/>
      <c r="CK89" s="35"/>
      <c r="CL89" s="35"/>
      <c r="CM89" s="35"/>
      <c r="CN89" s="35"/>
      <c r="CO89" s="35"/>
      <c r="CP89" s="35"/>
      <c r="CQ89" s="35"/>
      <c r="CR89" s="35"/>
      <c r="CS89" s="35">
        <v>5</v>
      </c>
      <c r="CT89" s="35"/>
      <c r="CU89" s="35"/>
      <c r="CV89" s="35"/>
      <c r="CW89" s="35"/>
      <c r="CX89" s="35"/>
      <c r="CY89" s="35"/>
      <c r="CZ89" s="35"/>
      <c r="DA89" s="35"/>
      <c r="DB89" s="35"/>
      <c r="DC89" s="35"/>
      <c r="DD89" s="35"/>
      <c r="DE89" s="35"/>
      <c r="DF89" s="35"/>
      <c r="DG89" s="35"/>
      <c r="DH89" s="35"/>
      <c r="DI89" s="35"/>
      <c r="DJ89" s="35"/>
      <c r="DK89" s="35"/>
      <c r="DL89" s="35"/>
      <c r="DM89" s="35"/>
      <c r="DN89" s="35"/>
      <c r="DO89" s="35"/>
      <c r="DP89" s="35"/>
      <c r="DQ89" s="35"/>
      <c r="DR89" s="35"/>
      <c r="DS89" s="35"/>
      <c r="DT89" s="35"/>
      <c r="DU89" s="35"/>
      <c r="DV89" s="35"/>
      <c r="DW89" s="28">
        <f t="shared" si="4"/>
        <v>0</v>
      </c>
      <c r="DX89" s="5"/>
    </row>
    <row r="90" spans="1:128" s="33" customFormat="1" x14ac:dyDescent="0.2">
      <c r="A90" s="47" t="s">
        <v>257</v>
      </c>
      <c r="B90" s="60">
        <f t="shared" si="3"/>
        <v>10</v>
      </c>
      <c r="C90" s="52">
        <v>10</v>
      </c>
      <c r="D90" s="55">
        <v>44893</v>
      </c>
      <c r="E90" s="65">
        <v>31.16</v>
      </c>
      <c r="F90" s="62">
        <f t="shared" si="5"/>
        <v>311.60000000000002</v>
      </c>
      <c r="G90" s="60">
        <v>10</v>
      </c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1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35"/>
      <c r="BB90" s="35">
        <v>10</v>
      </c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5"/>
      <c r="CM90" s="35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5"/>
      <c r="DD90" s="35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5"/>
      <c r="DU90" s="35"/>
      <c r="DV90" s="35"/>
      <c r="DW90" s="28">
        <f t="shared" si="4"/>
        <v>0</v>
      </c>
      <c r="DX90" s="5"/>
    </row>
    <row r="91" spans="1:128" s="33" customFormat="1" x14ac:dyDescent="0.2">
      <c r="A91" s="47" t="s">
        <v>498</v>
      </c>
      <c r="B91" s="60">
        <f t="shared" si="3"/>
        <v>0</v>
      </c>
      <c r="C91" s="52">
        <v>1</v>
      </c>
      <c r="D91" s="54">
        <v>44775</v>
      </c>
      <c r="E91" s="65">
        <v>45.44</v>
      </c>
      <c r="F91" s="62">
        <f t="shared" si="5"/>
        <v>0</v>
      </c>
      <c r="G91" s="60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1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  <c r="CD91" s="35"/>
      <c r="CE91" s="35"/>
      <c r="CF91" s="35"/>
      <c r="CG91" s="35"/>
      <c r="CH91" s="35"/>
      <c r="CI91" s="35"/>
      <c r="CJ91" s="35"/>
      <c r="CK91" s="35"/>
      <c r="CL91" s="35"/>
      <c r="CM91" s="35"/>
      <c r="CN91" s="35"/>
      <c r="CO91" s="35"/>
      <c r="CP91" s="35"/>
      <c r="CQ91" s="35"/>
      <c r="CR91" s="35"/>
      <c r="CS91" s="35"/>
      <c r="CT91" s="35"/>
      <c r="CU91" s="35"/>
      <c r="CV91" s="35"/>
      <c r="CW91" s="35"/>
      <c r="CX91" s="35"/>
      <c r="CY91" s="35"/>
      <c r="CZ91" s="35"/>
      <c r="DA91" s="35"/>
      <c r="DB91" s="35"/>
      <c r="DC91" s="35"/>
      <c r="DD91" s="35"/>
      <c r="DE91" s="35"/>
      <c r="DF91" s="35"/>
      <c r="DG91" s="35"/>
      <c r="DH91" s="35"/>
      <c r="DI91" s="35"/>
      <c r="DJ91" s="35"/>
      <c r="DK91" s="35"/>
      <c r="DL91" s="35"/>
      <c r="DM91" s="35"/>
      <c r="DN91" s="35"/>
      <c r="DO91" s="35"/>
      <c r="DP91" s="35"/>
      <c r="DQ91" s="35"/>
      <c r="DR91" s="35"/>
      <c r="DS91" s="35"/>
      <c r="DT91" s="35"/>
      <c r="DU91" s="35"/>
      <c r="DV91" s="35"/>
      <c r="DW91" s="28">
        <f t="shared" si="4"/>
        <v>0</v>
      </c>
      <c r="DX91" s="5"/>
    </row>
    <row r="92" spans="1:128" s="33" customFormat="1" x14ac:dyDescent="0.2">
      <c r="A92" s="47" t="s">
        <v>538</v>
      </c>
      <c r="B92" s="60">
        <f t="shared" si="3"/>
        <v>0</v>
      </c>
      <c r="C92" s="52">
        <v>1</v>
      </c>
      <c r="D92" s="54">
        <v>44949</v>
      </c>
      <c r="E92" s="65">
        <v>38.01</v>
      </c>
      <c r="F92" s="62">
        <f t="shared" si="5"/>
        <v>0</v>
      </c>
      <c r="G92" s="60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1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  <c r="CD92" s="35"/>
      <c r="CE92" s="35"/>
      <c r="CF92" s="35"/>
      <c r="CG92" s="35"/>
      <c r="CH92" s="35"/>
      <c r="CI92" s="35"/>
      <c r="CJ92" s="35"/>
      <c r="CK92" s="35"/>
      <c r="CL92" s="35"/>
      <c r="CM92" s="35"/>
      <c r="CN92" s="35"/>
      <c r="CO92" s="35"/>
      <c r="CP92" s="35"/>
      <c r="CQ92" s="35"/>
      <c r="CR92" s="35"/>
      <c r="CS92" s="35">
        <v>3</v>
      </c>
      <c r="CT92" s="35"/>
      <c r="CU92" s="35"/>
      <c r="CV92" s="35"/>
      <c r="CW92" s="35">
        <v>3</v>
      </c>
      <c r="CX92" s="35"/>
      <c r="CY92" s="35"/>
      <c r="CZ92" s="35"/>
      <c r="DA92" s="35"/>
      <c r="DB92" s="35"/>
      <c r="DC92" s="35"/>
      <c r="DD92" s="35"/>
      <c r="DE92" s="35"/>
      <c r="DF92" s="35"/>
      <c r="DG92" s="35"/>
      <c r="DH92" s="35"/>
      <c r="DI92" s="35"/>
      <c r="DJ92" s="35"/>
      <c r="DK92" s="35"/>
      <c r="DL92" s="35"/>
      <c r="DM92" s="35"/>
      <c r="DN92" s="35"/>
      <c r="DO92" s="35"/>
      <c r="DP92" s="35"/>
      <c r="DQ92" s="35"/>
      <c r="DR92" s="35"/>
      <c r="DS92" s="35"/>
      <c r="DT92" s="35"/>
      <c r="DU92" s="35"/>
      <c r="DV92" s="35"/>
      <c r="DW92" s="28">
        <f t="shared" si="4"/>
        <v>0</v>
      </c>
      <c r="DX92" s="5"/>
    </row>
    <row r="93" spans="1:128" s="33" customFormat="1" x14ac:dyDescent="0.2">
      <c r="A93" s="39" t="s">
        <v>135</v>
      </c>
      <c r="B93" s="60">
        <f t="shared" si="3"/>
        <v>0</v>
      </c>
      <c r="C93" s="52">
        <v>1</v>
      </c>
      <c r="D93" s="55">
        <v>44897</v>
      </c>
      <c r="E93" s="65">
        <v>39.54</v>
      </c>
      <c r="F93" s="62">
        <f t="shared" si="5"/>
        <v>0</v>
      </c>
      <c r="G93" s="60">
        <v>5</v>
      </c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1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  <c r="AZ93" s="35">
        <v>5</v>
      </c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  <c r="CD93" s="35"/>
      <c r="CE93" s="35"/>
      <c r="CF93" s="35"/>
      <c r="CG93" s="35"/>
      <c r="CH93" s="35"/>
      <c r="CI93" s="35"/>
      <c r="CJ93" s="35"/>
      <c r="CK93" s="35"/>
      <c r="CL93" s="35"/>
      <c r="CM93" s="35"/>
      <c r="CN93" s="35"/>
      <c r="CO93" s="35"/>
      <c r="CP93" s="35"/>
      <c r="CQ93" s="35"/>
      <c r="CR93" s="35"/>
      <c r="CS93" s="35"/>
      <c r="CT93" s="35"/>
      <c r="CU93" s="35"/>
      <c r="CV93" s="35"/>
      <c r="CW93" s="35"/>
      <c r="CX93" s="35"/>
      <c r="CY93" s="35"/>
      <c r="CZ93" s="35"/>
      <c r="DA93" s="35"/>
      <c r="DB93" s="35"/>
      <c r="DC93" s="35"/>
      <c r="DD93" s="35"/>
      <c r="DE93" s="35"/>
      <c r="DF93" s="35"/>
      <c r="DG93" s="35"/>
      <c r="DH93" s="35"/>
      <c r="DI93" s="35"/>
      <c r="DJ93" s="35"/>
      <c r="DK93" s="35"/>
      <c r="DL93" s="35"/>
      <c r="DM93" s="35"/>
      <c r="DN93" s="35"/>
      <c r="DO93" s="35"/>
      <c r="DP93" s="35"/>
      <c r="DQ93" s="35"/>
      <c r="DR93" s="35"/>
      <c r="DS93" s="35"/>
      <c r="DT93" s="35"/>
      <c r="DU93" s="35"/>
      <c r="DV93" s="35"/>
      <c r="DW93" s="28">
        <f t="shared" si="4"/>
        <v>0</v>
      </c>
      <c r="DX93" s="5"/>
    </row>
    <row r="94" spans="1:128" s="33" customFormat="1" x14ac:dyDescent="0.2">
      <c r="A94" s="39" t="s">
        <v>495</v>
      </c>
      <c r="B94" s="60">
        <f t="shared" si="3"/>
        <v>0</v>
      </c>
      <c r="C94" s="52">
        <v>1.1000000000000001</v>
      </c>
      <c r="D94" s="55">
        <v>44753</v>
      </c>
      <c r="E94" s="65">
        <v>74.540000000000006</v>
      </c>
      <c r="F94" s="62">
        <f t="shared" si="5"/>
        <v>0</v>
      </c>
      <c r="G94" s="60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1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  <c r="CD94" s="35"/>
      <c r="CE94" s="35"/>
      <c r="CF94" s="35"/>
      <c r="CG94" s="35"/>
      <c r="CH94" s="35"/>
      <c r="CI94" s="35"/>
      <c r="CJ94" s="35"/>
      <c r="CK94" s="35"/>
      <c r="CL94" s="35"/>
      <c r="CM94" s="35"/>
      <c r="CN94" s="35"/>
      <c r="CO94" s="35"/>
      <c r="CP94" s="35"/>
      <c r="CQ94" s="35"/>
      <c r="CR94" s="35"/>
      <c r="CS94" s="35"/>
      <c r="CT94" s="35"/>
      <c r="CU94" s="35"/>
      <c r="CV94" s="35"/>
      <c r="CW94" s="35"/>
      <c r="CX94" s="35"/>
      <c r="CY94" s="35"/>
      <c r="CZ94" s="35"/>
      <c r="DA94" s="35"/>
      <c r="DB94" s="35"/>
      <c r="DC94" s="35"/>
      <c r="DD94" s="35"/>
      <c r="DE94" s="35"/>
      <c r="DF94" s="35"/>
      <c r="DG94" s="35"/>
      <c r="DH94" s="35"/>
      <c r="DI94" s="35"/>
      <c r="DJ94" s="35"/>
      <c r="DK94" s="35"/>
      <c r="DL94" s="35"/>
      <c r="DM94" s="35"/>
      <c r="DN94" s="35"/>
      <c r="DO94" s="35"/>
      <c r="DP94" s="35"/>
      <c r="DQ94" s="35"/>
      <c r="DR94" s="35"/>
      <c r="DS94" s="35"/>
      <c r="DT94" s="35"/>
      <c r="DU94" s="35"/>
      <c r="DV94" s="35"/>
      <c r="DW94" s="28">
        <f t="shared" si="4"/>
        <v>0</v>
      </c>
      <c r="DX94" s="5"/>
    </row>
    <row r="95" spans="1:128" s="33" customFormat="1" x14ac:dyDescent="0.2">
      <c r="A95" s="39" t="s">
        <v>78</v>
      </c>
      <c r="B95" s="60">
        <f t="shared" si="3"/>
        <v>0</v>
      </c>
      <c r="C95" s="52">
        <v>1</v>
      </c>
      <c r="D95" s="55">
        <v>44956</v>
      </c>
      <c r="E95" s="65">
        <v>37.83</v>
      </c>
      <c r="F95" s="62">
        <f t="shared" si="5"/>
        <v>0</v>
      </c>
      <c r="G95" s="60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15"/>
      <c r="V95" s="35"/>
      <c r="W95" s="35"/>
      <c r="X95" s="35">
        <v>2</v>
      </c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  <c r="CD95" s="35"/>
      <c r="CE95" s="35"/>
      <c r="CF95" s="35"/>
      <c r="CG95" s="35"/>
      <c r="CH95" s="35"/>
      <c r="CI95" s="35"/>
      <c r="CJ95" s="35"/>
      <c r="CK95" s="35"/>
      <c r="CL95" s="35"/>
      <c r="CM95" s="35"/>
      <c r="CN95" s="35"/>
      <c r="CO95" s="35"/>
      <c r="CP95" s="35"/>
      <c r="CQ95" s="35"/>
      <c r="CR95" s="35"/>
      <c r="CS95" s="35"/>
      <c r="CT95" s="35"/>
      <c r="CU95" s="35"/>
      <c r="CV95" s="35"/>
      <c r="CW95" s="35"/>
      <c r="CX95" s="35"/>
      <c r="CY95" s="35"/>
      <c r="CZ95" s="35"/>
      <c r="DA95" s="35"/>
      <c r="DB95" s="35">
        <v>2</v>
      </c>
      <c r="DC95" s="35"/>
      <c r="DD95" s="35"/>
      <c r="DE95" s="35"/>
      <c r="DF95" s="35"/>
      <c r="DG95" s="35"/>
      <c r="DH95" s="35"/>
      <c r="DI95" s="35"/>
      <c r="DJ95" s="35"/>
      <c r="DK95" s="35"/>
      <c r="DL95" s="35"/>
      <c r="DM95" s="35"/>
      <c r="DN95" s="35"/>
      <c r="DO95" s="35"/>
      <c r="DP95" s="35"/>
      <c r="DQ95" s="35"/>
      <c r="DR95" s="35"/>
      <c r="DS95" s="35"/>
      <c r="DT95" s="35"/>
      <c r="DU95" s="35"/>
      <c r="DV95" s="35"/>
      <c r="DW95" s="28">
        <f t="shared" si="4"/>
        <v>0</v>
      </c>
      <c r="DX95" s="5"/>
    </row>
    <row r="96" spans="1:128" s="33" customFormat="1" x14ac:dyDescent="0.2">
      <c r="A96" s="39" t="s">
        <v>106</v>
      </c>
      <c r="B96" s="60">
        <f t="shared" si="3"/>
        <v>0</v>
      </c>
      <c r="C96" s="52">
        <v>0.9</v>
      </c>
      <c r="D96" s="55">
        <v>44732</v>
      </c>
      <c r="E96" s="65">
        <v>33.85</v>
      </c>
      <c r="F96" s="62">
        <f t="shared" si="5"/>
        <v>0</v>
      </c>
      <c r="G96" s="60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1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  <c r="CD96" s="35"/>
      <c r="CE96" s="35"/>
      <c r="CF96" s="35"/>
      <c r="CG96" s="35"/>
      <c r="CH96" s="35"/>
      <c r="CI96" s="35"/>
      <c r="CJ96" s="35"/>
      <c r="CK96" s="35"/>
      <c r="CL96" s="35"/>
      <c r="CM96" s="35"/>
      <c r="CN96" s="35"/>
      <c r="CO96" s="35"/>
      <c r="CP96" s="35"/>
      <c r="CQ96" s="35"/>
      <c r="CR96" s="35"/>
      <c r="CS96" s="35"/>
      <c r="CT96" s="35"/>
      <c r="CU96" s="35"/>
      <c r="CV96" s="35"/>
      <c r="CW96" s="35"/>
      <c r="CX96" s="35"/>
      <c r="CY96" s="35"/>
      <c r="CZ96" s="35"/>
      <c r="DA96" s="35"/>
      <c r="DB96" s="35"/>
      <c r="DC96" s="35"/>
      <c r="DD96" s="35"/>
      <c r="DE96" s="35"/>
      <c r="DF96" s="35"/>
      <c r="DG96" s="35"/>
      <c r="DH96" s="35"/>
      <c r="DI96" s="35"/>
      <c r="DJ96" s="35"/>
      <c r="DK96" s="35"/>
      <c r="DL96" s="35"/>
      <c r="DM96" s="35"/>
      <c r="DN96" s="35"/>
      <c r="DO96" s="35"/>
      <c r="DP96" s="35"/>
      <c r="DQ96" s="35"/>
      <c r="DR96" s="35"/>
      <c r="DS96" s="35"/>
      <c r="DT96" s="35"/>
      <c r="DU96" s="35"/>
      <c r="DV96" s="35"/>
      <c r="DW96" s="28">
        <f t="shared" si="4"/>
        <v>0</v>
      </c>
      <c r="DX96" s="5"/>
    </row>
    <row r="97" spans="1:128" s="33" customFormat="1" x14ac:dyDescent="0.2">
      <c r="A97" s="39" t="s">
        <v>324</v>
      </c>
      <c r="B97" s="60">
        <f t="shared" si="3"/>
        <v>0</v>
      </c>
      <c r="C97" s="52">
        <v>1</v>
      </c>
      <c r="D97" s="55">
        <v>44760</v>
      </c>
      <c r="E97" s="65">
        <v>51.23</v>
      </c>
      <c r="F97" s="62">
        <f t="shared" si="5"/>
        <v>0</v>
      </c>
      <c r="G97" s="60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1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  <c r="CD97" s="35"/>
      <c r="CE97" s="35"/>
      <c r="CF97" s="35"/>
      <c r="CG97" s="35"/>
      <c r="CH97" s="35"/>
      <c r="CI97" s="35"/>
      <c r="CJ97" s="35"/>
      <c r="CK97" s="35"/>
      <c r="CL97" s="35"/>
      <c r="CM97" s="35"/>
      <c r="CN97" s="35"/>
      <c r="CO97" s="35"/>
      <c r="CP97" s="35"/>
      <c r="CQ97" s="35"/>
      <c r="CR97" s="35"/>
      <c r="CS97" s="35"/>
      <c r="CT97" s="35"/>
      <c r="CU97" s="35"/>
      <c r="CV97" s="35"/>
      <c r="CW97" s="35"/>
      <c r="CX97" s="35"/>
      <c r="CY97" s="35"/>
      <c r="CZ97" s="35"/>
      <c r="DA97" s="35"/>
      <c r="DB97" s="35"/>
      <c r="DC97" s="35"/>
      <c r="DD97" s="35"/>
      <c r="DE97" s="35"/>
      <c r="DF97" s="35"/>
      <c r="DG97" s="35"/>
      <c r="DH97" s="35"/>
      <c r="DI97" s="35"/>
      <c r="DJ97" s="35"/>
      <c r="DK97" s="35"/>
      <c r="DL97" s="35"/>
      <c r="DM97" s="35"/>
      <c r="DN97" s="35"/>
      <c r="DO97" s="35"/>
      <c r="DP97" s="35"/>
      <c r="DQ97" s="35"/>
      <c r="DR97" s="35"/>
      <c r="DS97" s="35"/>
      <c r="DT97" s="35"/>
      <c r="DU97" s="35"/>
      <c r="DV97" s="35"/>
      <c r="DW97" s="28">
        <f t="shared" si="4"/>
        <v>0</v>
      </c>
      <c r="DX97" s="5"/>
    </row>
    <row r="98" spans="1:128" s="33" customFormat="1" x14ac:dyDescent="0.2">
      <c r="A98" s="39" t="s">
        <v>256</v>
      </c>
      <c r="B98" s="60">
        <f t="shared" si="3"/>
        <v>30</v>
      </c>
      <c r="C98" s="52">
        <v>10</v>
      </c>
      <c r="D98" s="55">
        <v>44949</v>
      </c>
      <c r="E98" s="65">
        <v>35.869999999999997</v>
      </c>
      <c r="F98" s="62">
        <f t="shared" si="5"/>
        <v>1076.0999999999999</v>
      </c>
      <c r="G98" s="60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1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>
        <v>50</v>
      </c>
      <c r="BW98" s="35">
        <v>30</v>
      </c>
      <c r="BX98" s="35"/>
      <c r="BY98" s="35"/>
      <c r="BZ98" s="35"/>
      <c r="CA98" s="35"/>
      <c r="CB98" s="35"/>
      <c r="CC98" s="35"/>
      <c r="CD98" s="35"/>
      <c r="CE98" s="35">
        <v>10</v>
      </c>
      <c r="CF98" s="35"/>
      <c r="CG98" s="35"/>
      <c r="CH98" s="35"/>
      <c r="CI98" s="35"/>
      <c r="CJ98" s="35"/>
      <c r="CK98" s="35"/>
      <c r="CL98" s="35"/>
      <c r="CM98" s="35"/>
      <c r="CN98" s="35"/>
      <c r="CO98" s="35"/>
      <c r="CP98" s="35"/>
      <c r="CQ98" s="35"/>
      <c r="CR98" s="35"/>
      <c r="CS98" s="35">
        <v>90</v>
      </c>
      <c r="CT98" s="35"/>
      <c r="CU98" s="35"/>
      <c r="CV98" s="35"/>
      <c r="CW98" s="35"/>
      <c r="CX98" s="35"/>
      <c r="CY98" s="35"/>
      <c r="CZ98" s="35"/>
      <c r="DA98" s="35"/>
      <c r="DB98" s="35"/>
      <c r="DC98" s="35"/>
      <c r="DD98" s="35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5"/>
      <c r="DU98" s="35"/>
      <c r="DV98" s="35"/>
      <c r="DW98" s="28">
        <f t="shared" si="4"/>
        <v>0</v>
      </c>
      <c r="DX98" s="5"/>
    </row>
    <row r="99" spans="1:128" s="33" customFormat="1" x14ac:dyDescent="0.2">
      <c r="A99" s="39" t="s">
        <v>220</v>
      </c>
      <c r="B99" s="60">
        <f t="shared" si="3"/>
        <v>0</v>
      </c>
      <c r="C99" s="52">
        <v>10</v>
      </c>
      <c r="D99" s="54">
        <v>44760</v>
      </c>
      <c r="E99" s="65">
        <v>27.94</v>
      </c>
      <c r="F99" s="62">
        <f t="shared" si="5"/>
        <v>0</v>
      </c>
      <c r="G99" s="60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1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  <c r="CD99" s="35"/>
      <c r="CE99" s="35"/>
      <c r="CF99" s="35"/>
      <c r="CG99" s="35"/>
      <c r="CH99" s="35"/>
      <c r="CI99" s="35"/>
      <c r="CJ99" s="35"/>
      <c r="CK99" s="35"/>
      <c r="CL99" s="35"/>
      <c r="CM99" s="35"/>
      <c r="CN99" s="35"/>
      <c r="CO99" s="35"/>
      <c r="CP99" s="35"/>
      <c r="CQ99" s="35"/>
      <c r="CR99" s="35"/>
      <c r="CS99" s="35"/>
      <c r="CT99" s="35"/>
      <c r="CU99" s="35"/>
      <c r="CV99" s="35"/>
      <c r="CW99" s="35"/>
      <c r="CX99" s="35"/>
      <c r="CY99" s="35"/>
      <c r="CZ99" s="35"/>
      <c r="DA99" s="35"/>
      <c r="DB99" s="35"/>
      <c r="DC99" s="35"/>
      <c r="DD99" s="35"/>
      <c r="DE99" s="35"/>
      <c r="DF99" s="35"/>
      <c r="DG99" s="35"/>
      <c r="DH99" s="35"/>
      <c r="DI99" s="35"/>
      <c r="DJ99" s="35"/>
      <c r="DK99" s="35"/>
      <c r="DL99" s="35"/>
      <c r="DM99" s="35"/>
      <c r="DN99" s="35"/>
      <c r="DO99" s="35"/>
      <c r="DP99" s="35"/>
      <c r="DQ99" s="35"/>
      <c r="DR99" s="35"/>
      <c r="DS99" s="35"/>
      <c r="DT99" s="35"/>
      <c r="DU99" s="35"/>
      <c r="DV99" s="35"/>
      <c r="DW99" s="28">
        <f t="shared" si="4"/>
        <v>0</v>
      </c>
      <c r="DX99" s="5"/>
    </row>
    <row r="100" spans="1:128" s="33" customFormat="1" ht="13.5" customHeight="1" x14ac:dyDescent="0.2">
      <c r="A100" s="39" t="s">
        <v>80</v>
      </c>
      <c r="B100" s="60">
        <f t="shared" si="3"/>
        <v>20</v>
      </c>
      <c r="C100" s="52">
        <v>10</v>
      </c>
      <c r="D100" s="54">
        <v>44651</v>
      </c>
      <c r="E100" s="65">
        <v>30.87</v>
      </c>
      <c r="F100" s="62">
        <f t="shared" si="5"/>
        <v>617.4</v>
      </c>
      <c r="G100" s="60">
        <v>20</v>
      </c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1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>
        <v>20</v>
      </c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  <c r="AY100" s="35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  <c r="CD100" s="35"/>
      <c r="CE100" s="35"/>
      <c r="CF100" s="35"/>
      <c r="CG100" s="35"/>
      <c r="CH100" s="35"/>
      <c r="CI100" s="35"/>
      <c r="CJ100" s="35"/>
      <c r="CK100" s="35"/>
      <c r="CL100" s="35"/>
      <c r="CM100" s="35"/>
      <c r="CN100" s="35"/>
      <c r="CO100" s="35"/>
      <c r="CP100" s="35"/>
      <c r="CQ100" s="35"/>
      <c r="CR100" s="35"/>
      <c r="CS100" s="35"/>
      <c r="CT100" s="35"/>
      <c r="CU100" s="35"/>
      <c r="CV100" s="35"/>
      <c r="CW100" s="35"/>
      <c r="CX100" s="35"/>
      <c r="CY100" s="35"/>
      <c r="CZ100" s="35"/>
      <c r="DA100" s="35"/>
      <c r="DB100" s="35"/>
      <c r="DC100" s="35"/>
      <c r="DD100" s="35"/>
      <c r="DE100" s="35"/>
      <c r="DF100" s="35"/>
      <c r="DG100" s="35"/>
      <c r="DH100" s="35"/>
      <c r="DI100" s="35"/>
      <c r="DJ100" s="35"/>
      <c r="DK100" s="35"/>
      <c r="DL100" s="35"/>
      <c r="DM100" s="35"/>
      <c r="DN100" s="35"/>
      <c r="DO100" s="35"/>
      <c r="DP100" s="35"/>
      <c r="DQ100" s="35"/>
      <c r="DR100" s="35"/>
      <c r="DS100" s="35"/>
      <c r="DT100" s="35"/>
      <c r="DU100" s="35"/>
      <c r="DV100" s="35"/>
      <c r="DW100" s="28">
        <f t="shared" si="4"/>
        <v>0</v>
      </c>
      <c r="DX100" s="5"/>
    </row>
    <row r="101" spans="1:128" s="33" customFormat="1" x14ac:dyDescent="0.2">
      <c r="A101" s="39" t="s">
        <v>489</v>
      </c>
      <c r="B101" s="60">
        <f t="shared" si="3"/>
        <v>0</v>
      </c>
      <c r="C101" s="52">
        <v>1</v>
      </c>
      <c r="D101" s="54">
        <v>44753</v>
      </c>
      <c r="E101" s="65">
        <v>79.349999999999994</v>
      </c>
      <c r="F101" s="62">
        <f t="shared" si="5"/>
        <v>0</v>
      </c>
      <c r="G101" s="60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1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  <c r="AY101" s="35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  <c r="CD101" s="35"/>
      <c r="CE101" s="35"/>
      <c r="CF101" s="35"/>
      <c r="CG101" s="35"/>
      <c r="CH101" s="35"/>
      <c r="CI101" s="35"/>
      <c r="CJ101" s="35"/>
      <c r="CK101" s="35"/>
      <c r="CL101" s="35"/>
      <c r="CM101" s="35"/>
      <c r="CN101" s="35"/>
      <c r="CO101" s="35"/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5"/>
      <c r="DD101" s="35"/>
      <c r="DE101" s="35"/>
      <c r="DF101" s="35"/>
      <c r="DG101" s="35"/>
      <c r="DH101" s="35"/>
      <c r="DI101" s="35"/>
      <c r="DJ101" s="35"/>
      <c r="DK101" s="35"/>
      <c r="DL101" s="35"/>
      <c r="DM101" s="35"/>
      <c r="DN101" s="35"/>
      <c r="DO101" s="35"/>
      <c r="DP101" s="35"/>
      <c r="DQ101" s="35"/>
      <c r="DR101" s="35"/>
      <c r="DS101" s="35"/>
      <c r="DT101" s="35"/>
      <c r="DU101" s="35"/>
      <c r="DV101" s="35"/>
      <c r="DW101" s="28">
        <f t="shared" si="4"/>
        <v>0</v>
      </c>
      <c r="DX101" s="5"/>
    </row>
    <row r="102" spans="1:128" s="33" customFormat="1" x14ac:dyDescent="0.2">
      <c r="A102" s="39" t="s">
        <v>162</v>
      </c>
      <c r="B102" s="60">
        <f t="shared" si="3"/>
        <v>0</v>
      </c>
      <c r="C102" s="52">
        <v>1</v>
      </c>
      <c r="D102" s="54">
        <v>44732</v>
      </c>
      <c r="E102" s="65">
        <v>43.48</v>
      </c>
      <c r="F102" s="62">
        <f t="shared" si="5"/>
        <v>0</v>
      </c>
      <c r="G102" s="60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1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  <c r="CD102" s="35"/>
      <c r="CE102" s="35"/>
      <c r="CF102" s="35"/>
      <c r="CG102" s="35"/>
      <c r="CH102" s="35"/>
      <c r="CI102" s="35"/>
      <c r="CJ102" s="35"/>
      <c r="CK102" s="35"/>
      <c r="CL102" s="35"/>
      <c r="CM102" s="35"/>
      <c r="CN102" s="35"/>
      <c r="CO102" s="35"/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5"/>
      <c r="DD102" s="35"/>
      <c r="DE102" s="35"/>
      <c r="DF102" s="35"/>
      <c r="DG102" s="35"/>
      <c r="DH102" s="35"/>
      <c r="DI102" s="35"/>
      <c r="DJ102" s="35"/>
      <c r="DK102" s="35"/>
      <c r="DL102" s="35"/>
      <c r="DM102" s="35"/>
      <c r="DN102" s="35"/>
      <c r="DO102" s="35"/>
      <c r="DP102" s="35"/>
      <c r="DQ102" s="35"/>
      <c r="DR102" s="35"/>
      <c r="DS102" s="35"/>
      <c r="DT102" s="35"/>
      <c r="DU102" s="35"/>
      <c r="DV102" s="35"/>
      <c r="DW102" s="28">
        <f t="shared" si="4"/>
        <v>0</v>
      </c>
      <c r="DX102" s="5"/>
    </row>
    <row r="103" spans="1:128" s="33" customFormat="1" x14ac:dyDescent="0.2">
      <c r="A103" s="39" t="s">
        <v>490</v>
      </c>
      <c r="B103" s="60">
        <f t="shared" si="3"/>
        <v>0</v>
      </c>
      <c r="C103" s="52">
        <v>0.9</v>
      </c>
      <c r="D103" s="54">
        <v>44753</v>
      </c>
      <c r="E103" s="65">
        <v>105.8</v>
      </c>
      <c r="F103" s="62">
        <f t="shared" si="5"/>
        <v>0</v>
      </c>
      <c r="G103" s="60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1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  <c r="CD103" s="35"/>
      <c r="CE103" s="35"/>
      <c r="CF103" s="35"/>
      <c r="CG103" s="35"/>
      <c r="CH103" s="35"/>
      <c r="CI103" s="35"/>
      <c r="CJ103" s="35"/>
      <c r="CK103" s="35"/>
      <c r="CL103" s="35"/>
      <c r="CM103" s="35"/>
      <c r="CN103" s="35"/>
      <c r="CO103" s="35"/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5"/>
      <c r="DD103" s="35"/>
      <c r="DE103" s="35"/>
      <c r="DF103" s="35"/>
      <c r="DG103" s="35"/>
      <c r="DH103" s="35"/>
      <c r="DI103" s="35"/>
      <c r="DJ103" s="35"/>
      <c r="DK103" s="35"/>
      <c r="DL103" s="35"/>
      <c r="DM103" s="35"/>
      <c r="DN103" s="35"/>
      <c r="DO103" s="35"/>
      <c r="DP103" s="35"/>
      <c r="DQ103" s="35"/>
      <c r="DR103" s="35"/>
      <c r="DS103" s="35"/>
      <c r="DT103" s="35"/>
      <c r="DU103" s="35"/>
      <c r="DV103" s="35"/>
      <c r="DW103" s="28">
        <f t="shared" si="4"/>
        <v>0</v>
      </c>
      <c r="DX103" s="5"/>
    </row>
    <row r="104" spans="1:128" s="33" customFormat="1" x14ac:dyDescent="0.2">
      <c r="A104" s="47" t="s">
        <v>60</v>
      </c>
      <c r="B104" s="60">
        <f t="shared" si="3"/>
        <v>2.7000000000000006</v>
      </c>
      <c r="C104" s="52">
        <v>0.9</v>
      </c>
      <c r="D104" s="55">
        <v>44970</v>
      </c>
      <c r="E104" s="66">
        <v>73.319999999999993</v>
      </c>
      <c r="F104" s="62">
        <f t="shared" si="5"/>
        <v>197.96400000000003</v>
      </c>
      <c r="G104" s="60">
        <v>3.6</v>
      </c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15"/>
      <c r="V104" s="35"/>
      <c r="W104" s="35"/>
      <c r="X104" s="35"/>
      <c r="Y104" s="35"/>
      <c r="Z104" s="35"/>
      <c r="AA104" s="35"/>
      <c r="AB104" s="35">
        <v>3.6</v>
      </c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  <c r="AY104" s="35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  <c r="CD104" s="35"/>
      <c r="CE104" s="35"/>
      <c r="CF104" s="35"/>
      <c r="CG104" s="35"/>
      <c r="CH104" s="35"/>
      <c r="CI104" s="35"/>
      <c r="CJ104" s="35"/>
      <c r="CK104" s="35"/>
      <c r="CL104" s="35"/>
      <c r="CM104" s="35"/>
      <c r="CN104" s="35"/>
      <c r="CO104" s="35"/>
      <c r="CP104" s="35"/>
      <c r="CQ104" s="35"/>
      <c r="CR104" s="35"/>
      <c r="CS104" s="35"/>
      <c r="CT104" s="35"/>
      <c r="CU104" s="35"/>
      <c r="CV104" s="35"/>
      <c r="CW104" s="35"/>
      <c r="CX104" s="35"/>
      <c r="CY104" s="35"/>
      <c r="CZ104" s="35"/>
      <c r="DA104" s="35"/>
      <c r="DB104" s="35"/>
      <c r="DC104" s="35"/>
      <c r="DD104" s="35"/>
      <c r="DE104" s="35"/>
      <c r="DF104" s="35"/>
      <c r="DG104" s="35"/>
      <c r="DH104" s="35"/>
      <c r="DI104" s="35"/>
      <c r="DJ104" s="35"/>
      <c r="DK104" s="35"/>
      <c r="DL104" s="35"/>
      <c r="DM104" s="35"/>
      <c r="DN104" s="35"/>
      <c r="DO104" s="35"/>
      <c r="DP104" s="35"/>
      <c r="DQ104" s="35">
        <v>2.7</v>
      </c>
      <c r="DR104" s="35"/>
      <c r="DS104" s="35"/>
      <c r="DT104" s="35"/>
      <c r="DU104" s="35"/>
      <c r="DV104" s="35"/>
      <c r="DW104" s="28">
        <f t="shared" si="4"/>
        <v>2.7000000000000006</v>
      </c>
      <c r="DX104" s="5"/>
    </row>
    <row r="105" spans="1:128" s="33" customFormat="1" x14ac:dyDescent="0.2">
      <c r="A105" s="47" t="s">
        <v>60</v>
      </c>
      <c r="B105" s="60">
        <f t="shared" si="3"/>
        <v>0</v>
      </c>
      <c r="C105" s="52">
        <v>9</v>
      </c>
      <c r="D105" s="55">
        <v>44956</v>
      </c>
      <c r="E105" s="66">
        <v>69.319999999999993</v>
      </c>
      <c r="F105" s="62">
        <f t="shared" si="5"/>
        <v>0</v>
      </c>
      <c r="G105" s="60">
        <v>18</v>
      </c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1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  <c r="AY105" s="35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>
        <v>18</v>
      </c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>
        <v>27</v>
      </c>
      <c r="BY105" s="35"/>
      <c r="BZ105" s="35"/>
      <c r="CA105" s="35"/>
      <c r="CB105" s="35"/>
      <c r="CC105" s="35"/>
      <c r="CD105" s="35"/>
      <c r="CE105" s="35"/>
      <c r="CF105" s="35"/>
      <c r="CG105" s="35"/>
      <c r="CH105" s="35"/>
      <c r="CI105" s="35"/>
      <c r="CJ105" s="35"/>
      <c r="CK105" s="35"/>
      <c r="CL105" s="35"/>
      <c r="CM105" s="35"/>
      <c r="CN105" s="35"/>
      <c r="CO105" s="35"/>
      <c r="CP105" s="35"/>
      <c r="CQ105" s="35"/>
      <c r="CR105" s="35"/>
      <c r="CS105" s="35"/>
      <c r="CT105" s="35"/>
      <c r="CU105" s="35"/>
      <c r="CV105" s="35"/>
      <c r="CW105" s="35"/>
      <c r="CX105" s="35"/>
      <c r="CY105" s="35"/>
      <c r="CZ105" s="35"/>
      <c r="DA105" s="35"/>
      <c r="DB105" s="35">
        <v>27</v>
      </c>
      <c r="DC105" s="35"/>
      <c r="DD105" s="35"/>
      <c r="DE105" s="35"/>
      <c r="DF105" s="35"/>
      <c r="DG105" s="35"/>
      <c r="DH105" s="35"/>
      <c r="DI105" s="35"/>
      <c r="DJ105" s="35"/>
      <c r="DK105" s="35"/>
      <c r="DL105" s="35"/>
      <c r="DM105" s="35"/>
      <c r="DN105" s="35"/>
      <c r="DO105" s="35"/>
      <c r="DP105" s="35"/>
      <c r="DQ105" s="35"/>
      <c r="DR105" s="35"/>
      <c r="DS105" s="35"/>
      <c r="DT105" s="35"/>
      <c r="DU105" s="35"/>
      <c r="DV105" s="35"/>
      <c r="DW105" s="28">
        <f t="shared" si="4"/>
        <v>0</v>
      </c>
      <c r="DX105" s="5"/>
    </row>
    <row r="106" spans="1:128" s="33" customFormat="1" x14ac:dyDescent="0.2">
      <c r="A106" s="47" t="s">
        <v>27</v>
      </c>
      <c r="B106" s="60">
        <f t="shared" si="3"/>
        <v>0</v>
      </c>
      <c r="C106" s="52">
        <v>1</v>
      </c>
      <c r="D106" s="54">
        <v>44956</v>
      </c>
      <c r="E106" s="62">
        <v>33.619999999999997</v>
      </c>
      <c r="F106" s="62">
        <f t="shared" si="5"/>
        <v>0</v>
      </c>
      <c r="G106" s="60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15"/>
      <c r="V106" s="35"/>
      <c r="W106" s="35"/>
      <c r="X106" s="35">
        <v>2</v>
      </c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  <c r="AY106" s="35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  <c r="CD106" s="35"/>
      <c r="CE106" s="35"/>
      <c r="CF106" s="35"/>
      <c r="CG106" s="35"/>
      <c r="CH106" s="35"/>
      <c r="CI106" s="35"/>
      <c r="CJ106" s="35"/>
      <c r="CK106" s="35"/>
      <c r="CL106" s="35"/>
      <c r="CM106" s="35"/>
      <c r="CN106" s="35"/>
      <c r="CO106" s="35"/>
      <c r="CP106" s="35"/>
      <c r="CQ106" s="35"/>
      <c r="CR106" s="35"/>
      <c r="CS106" s="35"/>
      <c r="CT106" s="35"/>
      <c r="CU106" s="35"/>
      <c r="CV106" s="35"/>
      <c r="CW106" s="35"/>
      <c r="CX106" s="35"/>
      <c r="CY106" s="35"/>
      <c r="CZ106" s="35"/>
      <c r="DA106" s="35"/>
      <c r="DB106" s="35">
        <v>2</v>
      </c>
      <c r="DC106" s="35"/>
      <c r="DD106" s="35"/>
      <c r="DE106" s="35"/>
      <c r="DF106" s="35"/>
      <c r="DG106" s="35"/>
      <c r="DH106" s="35"/>
      <c r="DI106" s="35"/>
      <c r="DJ106" s="35"/>
      <c r="DK106" s="35"/>
      <c r="DL106" s="35"/>
      <c r="DM106" s="35"/>
      <c r="DN106" s="35"/>
      <c r="DO106" s="35"/>
      <c r="DP106" s="35"/>
      <c r="DQ106" s="35"/>
      <c r="DR106" s="35"/>
      <c r="DS106" s="35"/>
      <c r="DT106" s="35"/>
      <c r="DU106" s="35"/>
      <c r="DV106" s="35"/>
      <c r="DW106" s="28">
        <f t="shared" si="4"/>
        <v>0</v>
      </c>
      <c r="DX106" s="5"/>
    </row>
    <row r="107" spans="1:128" s="33" customFormat="1" x14ac:dyDescent="0.2">
      <c r="A107" s="47" t="s">
        <v>207</v>
      </c>
      <c r="B107" s="60">
        <f t="shared" si="3"/>
        <v>20</v>
      </c>
      <c r="C107" s="52">
        <v>10</v>
      </c>
      <c r="D107" s="54">
        <v>44893</v>
      </c>
      <c r="E107" s="62">
        <v>39.630000000000003</v>
      </c>
      <c r="F107" s="62">
        <f t="shared" si="5"/>
        <v>792.6</v>
      </c>
      <c r="G107" s="60">
        <v>20</v>
      </c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1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  <c r="AY107" s="35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  <c r="CD107" s="35"/>
      <c r="CE107" s="35"/>
      <c r="CF107" s="35"/>
      <c r="CG107" s="35"/>
      <c r="CH107" s="35">
        <v>20</v>
      </c>
      <c r="CI107" s="35"/>
      <c r="CJ107" s="35"/>
      <c r="CK107" s="35"/>
      <c r="CL107" s="35"/>
      <c r="CM107" s="35"/>
      <c r="CN107" s="35"/>
      <c r="CO107" s="35"/>
      <c r="CP107" s="35"/>
      <c r="CQ107" s="35"/>
      <c r="CR107" s="35"/>
      <c r="CS107" s="35"/>
      <c r="CT107" s="35"/>
      <c r="CU107" s="35"/>
      <c r="CV107" s="35"/>
      <c r="CW107" s="35"/>
      <c r="CX107" s="35"/>
      <c r="CY107" s="35"/>
      <c r="CZ107" s="35"/>
      <c r="DA107" s="35"/>
      <c r="DB107" s="35"/>
      <c r="DC107" s="35"/>
      <c r="DD107" s="35"/>
      <c r="DE107" s="35"/>
      <c r="DF107" s="35"/>
      <c r="DG107" s="35"/>
      <c r="DH107" s="35"/>
      <c r="DI107" s="35"/>
      <c r="DJ107" s="35"/>
      <c r="DK107" s="35"/>
      <c r="DL107" s="35"/>
      <c r="DM107" s="35"/>
      <c r="DN107" s="35"/>
      <c r="DO107" s="35"/>
      <c r="DP107" s="35"/>
      <c r="DQ107" s="35"/>
      <c r="DR107" s="35"/>
      <c r="DS107" s="35"/>
      <c r="DT107" s="35"/>
      <c r="DU107" s="35"/>
      <c r="DV107" s="35"/>
      <c r="DW107" s="28">
        <f t="shared" si="4"/>
        <v>0</v>
      </c>
    </row>
    <row r="108" spans="1:128" s="33" customFormat="1" x14ac:dyDescent="0.2">
      <c r="A108" s="47" t="s">
        <v>207</v>
      </c>
      <c r="B108" s="60">
        <f t="shared" si="3"/>
        <v>0</v>
      </c>
      <c r="C108" s="52">
        <v>1</v>
      </c>
      <c r="D108" s="54">
        <v>44956</v>
      </c>
      <c r="E108" s="62">
        <v>39.92</v>
      </c>
      <c r="F108" s="62">
        <f t="shared" si="5"/>
        <v>0</v>
      </c>
      <c r="G108" s="60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1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>
        <v>1</v>
      </c>
      <c r="AR108" s="35"/>
      <c r="AS108" s="35"/>
      <c r="AT108" s="35"/>
      <c r="AU108" s="35"/>
      <c r="AV108" s="35"/>
      <c r="AW108" s="35"/>
      <c r="AX108" s="35"/>
      <c r="AY108" s="35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  <c r="CD108" s="35"/>
      <c r="CE108" s="35"/>
      <c r="CF108" s="35"/>
      <c r="CG108" s="35"/>
      <c r="CH108" s="35"/>
      <c r="CI108" s="35"/>
      <c r="CJ108" s="35"/>
      <c r="CK108" s="35"/>
      <c r="CL108" s="35"/>
      <c r="CM108" s="35"/>
      <c r="CN108" s="35"/>
      <c r="CO108" s="35"/>
      <c r="CP108" s="35"/>
      <c r="CQ108" s="35"/>
      <c r="CR108" s="35"/>
      <c r="CS108" s="35"/>
      <c r="CT108" s="35"/>
      <c r="CU108" s="35"/>
      <c r="CV108" s="35"/>
      <c r="CW108" s="35"/>
      <c r="CX108" s="35"/>
      <c r="CY108" s="35"/>
      <c r="CZ108" s="35"/>
      <c r="DA108" s="35"/>
      <c r="DB108" s="35">
        <v>1</v>
      </c>
      <c r="DC108" s="35"/>
      <c r="DD108" s="35"/>
      <c r="DE108" s="35"/>
      <c r="DF108" s="35"/>
      <c r="DG108" s="35"/>
      <c r="DH108" s="35"/>
      <c r="DI108" s="35"/>
      <c r="DJ108" s="35"/>
      <c r="DK108" s="35"/>
      <c r="DL108" s="35"/>
      <c r="DM108" s="35"/>
      <c r="DN108" s="35"/>
      <c r="DO108" s="35"/>
      <c r="DP108" s="35"/>
      <c r="DQ108" s="35"/>
      <c r="DR108" s="35"/>
      <c r="DS108" s="35"/>
      <c r="DT108" s="35"/>
      <c r="DU108" s="35"/>
      <c r="DV108" s="35"/>
      <c r="DW108" s="28">
        <f t="shared" si="4"/>
        <v>0</v>
      </c>
    </row>
    <row r="109" spans="1:128" s="33" customFormat="1" x14ac:dyDescent="0.2">
      <c r="A109" s="39" t="s">
        <v>71</v>
      </c>
      <c r="B109" s="60">
        <f t="shared" si="3"/>
        <v>70</v>
      </c>
      <c r="C109" s="52">
        <v>10</v>
      </c>
      <c r="D109" s="54">
        <v>44669</v>
      </c>
      <c r="E109" s="62">
        <v>37.74</v>
      </c>
      <c r="F109" s="62">
        <f t="shared" si="5"/>
        <v>2641.8</v>
      </c>
      <c r="G109" s="60">
        <v>70</v>
      </c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1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  <c r="CD109" s="35"/>
      <c r="CE109" s="35"/>
      <c r="CF109" s="35"/>
      <c r="CG109" s="35"/>
      <c r="CH109" s="35"/>
      <c r="CI109" s="35"/>
      <c r="CJ109" s="35"/>
      <c r="CK109" s="35"/>
      <c r="CL109" s="35"/>
      <c r="CM109" s="35"/>
      <c r="CN109" s="35"/>
      <c r="CO109" s="35"/>
      <c r="CP109" s="35"/>
      <c r="CQ109" s="35"/>
      <c r="CR109" s="35"/>
      <c r="CS109" s="35"/>
      <c r="CT109" s="35"/>
      <c r="CU109" s="35"/>
      <c r="CV109" s="35"/>
      <c r="CW109" s="35"/>
      <c r="CX109" s="35"/>
      <c r="CY109" s="35"/>
      <c r="CZ109" s="35"/>
      <c r="DA109" s="35"/>
      <c r="DB109" s="35"/>
      <c r="DC109" s="35"/>
      <c r="DD109" s="35"/>
      <c r="DE109" s="35"/>
      <c r="DF109" s="35"/>
      <c r="DG109" s="35"/>
      <c r="DH109" s="35"/>
      <c r="DI109" s="35"/>
      <c r="DJ109" s="35"/>
      <c r="DK109" s="35"/>
      <c r="DL109" s="35"/>
      <c r="DM109" s="35"/>
      <c r="DN109" s="35"/>
      <c r="DO109" s="35"/>
      <c r="DP109" s="35"/>
      <c r="DQ109" s="35"/>
      <c r="DR109" s="35"/>
      <c r="DS109" s="35"/>
      <c r="DT109" s="35"/>
      <c r="DU109" s="35"/>
      <c r="DV109" s="35">
        <v>70</v>
      </c>
      <c r="DW109" s="28">
        <f t="shared" si="4"/>
        <v>0</v>
      </c>
      <c r="DX109" s="5"/>
    </row>
    <row r="110" spans="1:128" s="33" customFormat="1" x14ac:dyDescent="0.2">
      <c r="A110" s="39" t="s">
        <v>71</v>
      </c>
      <c r="B110" s="60">
        <f t="shared" si="3"/>
        <v>0</v>
      </c>
      <c r="C110" s="52">
        <v>1</v>
      </c>
      <c r="D110" s="54">
        <v>44924</v>
      </c>
      <c r="E110" s="62">
        <v>42</v>
      </c>
      <c r="F110" s="62">
        <f t="shared" si="5"/>
        <v>0</v>
      </c>
      <c r="G110" s="60">
        <v>1</v>
      </c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1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  <c r="AY110" s="35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>
        <v>1</v>
      </c>
      <c r="BW110" s="35"/>
      <c r="BX110" s="35"/>
      <c r="BY110" s="35"/>
      <c r="BZ110" s="35"/>
      <c r="CA110" s="35"/>
      <c r="CB110" s="35"/>
      <c r="CC110" s="35"/>
      <c r="CD110" s="35"/>
      <c r="CE110" s="35"/>
      <c r="CF110" s="35"/>
      <c r="CG110" s="35"/>
      <c r="CH110" s="35"/>
      <c r="CI110" s="35"/>
      <c r="CJ110" s="35"/>
      <c r="CK110" s="35"/>
      <c r="CL110" s="35"/>
      <c r="CM110" s="35"/>
      <c r="CN110" s="35"/>
      <c r="CO110" s="35"/>
      <c r="CP110" s="35"/>
      <c r="CQ110" s="35"/>
      <c r="CR110" s="35"/>
      <c r="CS110" s="35"/>
      <c r="CT110" s="35"/>
      <c r="CU110" s="35"/>
      <c r="CV110" s="35"/>
      <c r="CW110" s="35"/>
      <c r="CX110" s="35"/>
      <c r="CY110" s="35"/>
      <c r="CZ110" s="35"/>
      <c r="DA110" s="35"/>
      <c r="DB110" s="35"/>
      <c r="DC110" s="35"/>
      <c r="DD110" s="35"/>
      <c r="DE110" s="35"/>
      <c r="DF110" s="35"/>
      <c r="DG110" s="35"/>
      <c r="DH110" s="35"/>
      <c r="DI110" s="35"/>
      <c r="DJ110" s="35"/>
      <c r="DK110" s="35"/>
      <c r="DL110" s="35"/>
      <c r="DM110" s="35"/>
      <c r="DN110" s="35"/>
      <c r="DO110" s="35"/>
      <c r="DP110" s="35"/>
      <c r="DQ110" s="35"/>
      <c r="DR110" s="35"/>
      <c r="DS110" s="35"/>
      <c r="DT110" s="35"/>
      <c r="DU110" s="35"/>
      <c r="DV110" s="35"/>
      <c r="DW110" s="28">
        <f t="shared" si="4"/>
        <v>0</v>
      </c>
      <c r="DX110" s="5"/>
    </row>
    <row r="111" spans="1:128" s="33" customFormat="1" x14ac:dyDescent="0.2">
      <c r="A111" s="39" t="s">
        <v>118</v>
      </c>
      <c r="B111" s="60">
        <f t="shared" si="3"/>
        <v>0</v>
      </c>
      <c r="C111" s="52">
        <v>1</v>
      </c>
      <c r="D111" s="54">
        <v>44760</v>
      </c>
      <c r="E111" s="62">
        <v>51.23</v>
      </c>
      <c r="F111" s="62">
        <f t="shared" si="5"/>
        <v>0</v>
      </c>
      <c r="G111" s="60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1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  <c r="AY111" s="35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  <c r="CD111" s="35"/>
      <c r="CE111" s="35"/>
      <c r="CF111" s="35"/>
      <c r="CG111" s="35"/>
      <c r="CH111" s="35"/>
      <c r="CI111" s="35"/>
      <c r="CJ111" s="35"/>
      <c r="CK111" s="35"/>
      <c r="CL111" s="35"/>
      <c r="CM111" s="35"/>
      <c r="CN111" s="35"/>
      <c r="CO111" s="35"/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  <c r="DE111" s="35"/>
      <c r="DF111" s="35"/>
      <c r="DG111" s="35"/>
      <c r="DH111" s="35"/>
      <c r="DI111" s="35"/>
      <c r="DJ111" s="35"/>
      <c r="DK111" s="35"/>
      <c r="DL111" s="35"/>
      <c r="DM111" s="35"/>
      <c r="DN111" s="35"/>
      <c r="DO111" s="35"/>
      <c r="DP111" s="35"/>
      <c r="DQ111" s="35"/>
      <c r="DR111" s="35"/>
      <c r="DS111" s="35"/>
      <c r="DT111" s="35"/>
      <c r="DU111" s="35"/>
      <c r="DV111" s="35"/>
      <c r="DW111" s="28">
        <f t="shared" si="4"/>
        <v>0</v>
      </c>
      <c r="DX111" s="5"/>
    </row>
    <row r="112" spans="1:128" s="33" customFormat="1" x14ac:dyDescent="0.2">
      <c r="A112" s="39" t="s">
        <v>356</v>
      </c>
      <c r="B112" s="60">
        <f t="shared" si="3"/>
        <v>0</v>
      </c>
      <c r="C112" s="52">
        <v>1</v>
      </c>
      <c r="D112" s="54">
        <v>44886</v>
      </c>
      <c r="E112" s="62">
        <v>50.48</v>
      </c>
      <c r="F112" s="62">
        <f t="shared" si="5"/>
        <v>0</v>
      </c>
      <c r="G112" s="60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1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  <c r="AY112" s="35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  <c r="CD112" s="35"/>
      <c r="CE112" s="35"/>
      <c r="CF112" s="35"/>
      <c r="CG112" s="35"/>
      <c r="CH112" s="35"/>
      <c r="CI112" s="35"/>
      <c r="CJ112" s="35"/>
      <c r="CK112" s="35"/>
      <c r="CL112" s="35"/>
      <c r="CM112" s="35"/>
      <c r="CN112" s="35"/>
      <c r="CO112" s="35"/>
      <c r="CP112" s="35"/>
      <c r="CQ112" s="35"/>
      <c r="CR112" s="35"/>
      <c r="CS112" s="35"/>
      <c r="CT112" s="35"/>
      <c r="CU112" s="35"/>
      <c r="CV112" s="35"/>
      <c r="CW112" s="35"/>
      <c r="CX112" s="35"/>
      <c r="CY112" s="35"/>
      <c r="CZ112" s="35"/>
      <c r="DA112" s="35"/>
      <c r="DB112" s="35"/>
      <c r="DC112" s="35"/>
      <c r="DD112" s="35"/>
      <c r="DE112" s="35"/>
      <c r="DF112" s="35"/>
      <c r="DG112" s="35"/>
      <c r="DH112" s="35"/>
      <c r="DI112" s="35"/>
      <c r="DJ112" s="35"/>
      <c r="DK112" s="35"/>
      <c r="DL112" s="35"/>
      <c r="DM112" s="35"/>
      <c r="DN112" s="35"/>
      <c r="DO112" s="35"/>
      <c r="DP112" s="35"/>
      <c r="DQ112" s="35"/>
      <c r="DR112" s="35"/>
      <c r="DS112" s="35"/>
      <c r="DT112" s="35"/>
      <c r="DU112" s="35"/>
      <c r="DV112" s="35"/>
      <c r="DW112" s="28">
        <f t="shared" si="4"/>
        <v>0</v>
      </c>
      <c r="DX112" s="5"/>
    </row>
    <row r="113" spans="1:128" s="33" customFormat="1" x14ac:dyDescent="0.2">
      <c r="A113" s="39" t="s">
        <v>233</v>
      </c>
      <c r="B113" s="60">
        <f t="shared" si="3"/>
        <v>10</v>
      </c>
      <c r="C113" s="52">
        <v>10</v>
      </c>
      <c r="D113" s="55">
        <v>44651</v>
      </c>
      <c r="E113" s="62">
        <v>55.39</v>
      </c>
      <c r="F113" s="62">
        <f t="shared" si="5"/>
        <v>553.9</v>
      </c>
      <c r="G113" s="60">
        <v>10</v>
      </c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1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  <c r="AY113" s="35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  <c r="CD113" s="35"/>
      <c r="CE113" s="35"/>
      <c r="CF113" s="35"/>
      <c r="CG113" s="35"/>
      <c r="CH113" s="35"/>
      <c r="CI113" s="35"/>
      <c r="CJ113" s="35"/>
      <c r="CK113" s="35"/>
      <c r="CL113" s="35"/>
      <c r="CM113" s="35"/>
      <c r="CN113" s="35"/>
      <c r="CO113" s="35"/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  <c r="DE113" s="35"/>
      <c r="DF113" s="35"/>
      <c r="DG113" s="35"/>
      <c r="DH113" s="35"/>
      <c r="DI113" s="35"/>
      <c r="DJ113" s="35"/>
      <c r="DK113" s="35"/>
      <c r="DL113" s="35"/>
      <c r="DM113" s="35"/>
      <c r="DN113" s="35"/>
      <c r="DO113" s="35"/>
      <c r="DP113" s="35"/>
      <c r="DQ113" s="35"/>
      <c r="DR113" s="35"/>
      <c r="DS113" s="35"/>
      <c r="DT113" s="35"/>
      <c r="DU113" s="35"/>
      <c r="DV113" s="35">
        <v>10</v>
      </c>
      <c r="DW113" s="28">
        <f t="shared" si="4"/>
        <v>0</v>
      </c>
      <c r="DX113" s="5"/>
    </row>
    <row r="114" spans="1:128" s="33" customFormat="1" x14ac:dyDescent="0.2">
      <c r="A114" s="39" t="s">
        <v>448</v>
      </c>
      <c r="B114" s="60">
        <f t="shared" si="3"/>
        <v>0</v>
      </c>
      <c r="C114" s="52">
        <v>5</v>
      </c>
      <c r="D114" s="55">
        <v>44956</v>
      </c>
      <c r="E114" s="62">
        <v>16.809999999999999</v>
      </c>
      <c r="F114" s="62">
        <f t="shared" si="5"/>
        <v>0</v>
      </c>
      <c r="G114" s="60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1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  <c r="AY114" s="35"/>
      <c r="AZ114" s="35"/>
      <c r="BA114" s="35"/>
      <c r="BB114" s="35"/>
      <c r="BC114" s="35"/>
      <c r="BD114" s="35"/>
      <c r="BE114" s="35"/>
      <c r="BF114" s="35">
        <v>5</v>
      </c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  <c r="CD114" s="35"/>
      <c r="CE114" s="35"/>
      <c r="CF114" s="35"/>
      <c r="CG114" s="35"/>
      <c r="CH114" s="35"/>
      <c r="CI114" s="35"/>
      <c r="CJ114" s="35"/>
      <c r="CK114" s="35"/>
      <c r="CL114" s="35"/>
      <c r="CM114" s="35"/>
      <c r="CN114" s="35"/>
      <c r="CO114" s="35"/>
      <c r="CP114" s="35"/>
      <c r="CQ114" s="35"/>
      <c r="CR114" s="35"/>
      <c r="CS114" s="35"/>
      <c r="CT114" s="35"/>
      <c r="CU114" s="35"/>
      <c r="CV114" s="35"/>
      <c r="CW114" s="35"/>
      <c r="CX114" s="35"/>
      <c r="CY114" s="35"/>
      <c r="CZ114" s="35"/>
      <c r="DA114" s="35"/>
      <c r="DB114" s="35">
        <v>5</v>
      </c>
      <c r="DC114" s="35"/>
      <c r="DD114" s="35"/>
      <c r="DE114" s="35"/>
      <c r="DF114" s="35"/>
      <c r="DG114" s="35"/>
      <c r="DH114" s="35"/>
      <c r="DI114" s="35"/>
      <c r="DJ114" s="35"/>
      <c r="DK114" s="35"/>
      <c r="DL114" s="35"/>
      <c r="DM114" s="35"/>
      <c r="DN114" s="35"/>
      <c r="DO114" s="35"/>
      <c r="DP114" s="35"/>
      <c r="DQ114" s="35"/>
      <c r="DR114" s="35"/>
      <c r="DS114" s="35"/>
      <c r="DT114" s="35"/>
      <c r="DU114" s="35"/>
      <c r="DV114" s="35"/>
      <c r="DW114" s="28">
        <f t="shared" si="4"/>
        <v>0</v>
      </c>
      <c r="DX114" s="5"/>
    </row>
    <row r="115" spans="1:128" s="33" customFormat="1" x14ac:dyDescent="0.2">
      <c r="A115" s="39" t="s">
        <v>164</v>
      </c>
      <c r="B115" s="60">
        <f t="shared" si="3"/>
        <v>0</v>
      </c>
      <c r="C115" s="52">
        <v>10</v>
      </c>
      <c r="D115" s="55">
        <v>44851</v>
      </c>
      <c r="E115" s="62">
        <v>50.73</v>
      </c>
      <c r="F115" s="62">
        <f t="shared" si="5"/>
        <v>0</v>
      </c>
      <c r="G115" s="60">
        <v>10</v>
      </c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1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  <c r="AY115" s="35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  <c r="CD115" s="35"/>
      <c r="CE115" s="35">
        <v>10</v>
      </c>
      <c r="CF115" s="35"/>
      <c r="CG115" s="35"/>
      <c r="CH115" s="35"/>
      <c r="CI115" s="35"/>
      <c r="CJ115" s="35"/>
      <c r="CK115" s="35"/>
      <c r="CL115" s="35"/>
      <c r="CM115" s="35"/>
      <c r="CN115" s="35"/>
      <c r="CO115" s="35"/>
      <c r="CP115" s="35"/>
      <c r="CQ115" s="35"/>
      <c r="CR115" s="35"/>
      <c r="CS115" s="35"/>
      <c r="CT115" s="35"/>
      <c r="CU115" s="35"/>
      <c r="CV115" s="35"/>
      <c r="CW115" s="35"/>
      <c r="CX115" s="35"/>
      <c r="CY115" s="35"/>
      <c r="CZ115" s="35"/>
      <c r="DA115" s="35"/>
      <c r="DB115" s="35"/>
      <c r="DC115" s="35"/>
      <c r="DD115" s="35"/>
      <c r="DE115" s="35"/>
      <c r="DF115" s="35"/>
      <c r="DG115" s="35"/>
      <c r="DH115" s="35"/>
      <c r="DI115" s="35"/>
      <c r="DJ115" s="35"/>
      <c r="DK115" s="35"/>
      <c r="DL115" s="35"/>
      <c r="DM115" s="35"/>
      <c r="DN115" s="35"/>
      <c r="DO115" s="35"/>
      <c r="DP115" s="35"/>
      <c r="DQ115" s="35"/>
      <c r="DR115" s="35"/>
      <c r="DS115" s="35"/>
      <c r="DT115" s="35"/>
      <c r="DU115" s="35"/>
      <c r="DV115" s="35"/>
      <c r="DW115" s="28">
        <f t="shared" si="4"/>
        <v>0</v>
      </c>
      <c r="DX115" s="5"/>
    </row>
    <row r="116" spans="1:128" s="33" customFormat="1" x14ac:dyDescent="0.2">
      <c r="A116" s="47" t="s">
        <v>53</v>
      </c>
      <c r="B116" s="60">
        <f t="shared" si="3"/>
        <v>10</v>
      </c>
      <c r="C116" s="52">
        <v>10</v>
      </c>
      <c r="D116" s="54">
        <v>44858</v>
      </c>
      <c r="E116" s="62">
        <v>64.84</v>
      </c>
      <c r="F116" s="62">
        <f t="shared" si="5"/>
        <v>648.40000000000009</v>
      </c>
      <c r="G116" s="60">
        <v>20</v>
      </c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1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  <c r="AY116" s="35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  <c r="CD116" s="35"/>
      <c r="CE116" s="35"/>
      <c r="CF116" s="35"/>
      <c r="CG116" s="35"/>
      <c r="CH116" s="35"/>
      <c r="CI116" s="35"/>
      <c r="CJ116" s="35"/>
      <c r="CK116" s="35"/>
      <c r="CL116" s="35"/>
      <c r="CM116" s="35"/>
      <c r="CN116" s="35"/>
      <c r="CO116" s="35"/>
      <c r="CP116" s="35"/>
      <c r="CQ116" s="35"/>
      <c r="CR116" s="35"/>
      <c r="CS116" s="35"/>
      <c r="CT116" s="35"/>
      <c r="CU116" s="35"/>
      <c r="CV116" s="35"/>
      <c r="CW116" s="35"/>
      <c r="CX116" s="35"/>
      <c r="CY116" s="35"/>
      <c r="CZ116" s="35"/>
      <c r="DA116" s="35"/>
      <c r="DB116" s="35"/>
      <c r="DC116" s="35"/>
      <c r="DD116" s="35"/>
      <c r="DE116" s="35">
        <v>10</v>
      </c>
      <c r="DF116" s="35"/>
      <c r="DG116" s="35"/>
      <c r="DH116" s="35"/>
      <c r="DI116" s="35"/>
      <c r="DJ116" s="35"/>
      <c r="DK116" s="35"/>
      <c r="DL116" s="35"/>
      <c r="DM116" s="35"/>
      <c r="DN116" s="35"/>
      <c r="DO116" s="35"/>
      <c r="DP116" s="35"/>
      <c r="DQ116" s="35"/>
      <c r="DR116" s="35"/>
      <c r="DS116" s="35"/>
      <c r="DT116" s="35"/>
      <c r="DU116" s="35"/>
      <c r="DV116" s="35">
        <v>10</v>
      </c>
      <c r="DW116" s="28">
        <f t="shared" si="4"/>
        <v>0</v>
      </c>
      <c r="DX116" s="5"/>
    </row>
    <row r="117" spans="1:128" s="33" customFormat="1" x14ac:dyDescent="0.2">
      <c r="A117" s="47" t="s">
        <v>53</v>
      </c>
      <c r="B117" s="60">
        <f t="shared" si="3"/>
        <v>40</v>
      </c>
      <c r="C117" s="52">
        <v>10</v>
      </c>
      <c r="D117" s="55" t="s">
        <v>574</v>
      </c>
      <c r="E117" s="62">
        <v>60.94</v>
      </c>
      <c r="F117" s="62">
        <f t="shared" si="5"/>
        <v>2437.6</v>
      </c>
      <c r="G117" s="60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1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  <c r="AY117" s="35"/>
      <c r="AZ117" s="35"/>
      <c r="BA117" s="35"/>
      <c r="BB117" s="35">
        <v>20</v>
      </c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  <c r="CD117" s="35"/>
      <c r="CE117" s="35"/>
      <c r="CF117" s="35"/>
      <c r="CG117" s="35"/>
      <c r="CH117" s="35"/>
      <c r="CI117" s="35"/>
      <c r="CJ117" s="35"/>
      <c r="CK117" s="35"/>
      <c r="CL117" s="35"/>
      <c r="CM117" s="35"/>
      <c r="CN117" s="35"/>
      <c r="CO117" s="35"/>
      <c r="CP117" s="35"/>
      <c r="CQ117" s="35"/>
      <c r="CR117" s="35"/>
      <c r="CS117" s="35"/>
      <c r="CT117" s="35"/>
      <c r="CU117" s="35"/>
      <c r="CV117" s="35"/>
      <c r="CW117" s="35"/>
      <c r="CX117" s="35"/>
      <c r="CY117" s="35"/>
      <c r="CZ117" s="35"/>
      <c r="DA117" s="35"/>
      <c r="DB117" s="35">
        <v>30</v>
      </c>
      <c r="DC117" s="35"/>
      <c r="DD117" s="35"/>
      <c r="DE117" s="35"/>
      <c r="DF117" s="35"/>
      <c r="DG117" s="35"/>
      <c r="DH117" s="35"/>
      <c r="DI117" s="35"/>
      <c r="DJ117" s="35"/>
      <c r="DK117" s="35"/>
      <c r="DL117" s="35"/>
      <c r="DM117" s="35"/>
      <c r="DN117" s="35"/>
      <c r="DO117" s="35"/>
      <c r="DP117" s="35"/>
      <c r="DQ117" s="35">
        <v>10</v>
      </c>
      <c r="DR117" s="35"/>
      <c r="DS117" s="35"/>
      <c r="DT117" s="35"/>
      <c r="DU117" s="35"/>
      <c r="DV117" s="35">
        <v>10</v>
      </c>
      <c r="DW117" s="28">
        <f t="shared" si="4"/>
        <v>10</v>
      </c>
      <c r="DX117" s="5"/>
    </row>
    <row r="118" spans="1:128" s="33" customFormat="1" x14ac:dyDescent="0.2">
      <c r="A118" s="47" t="s">
        <v>363</v>
      </c>
      <c r="B118" s="60">
        <f t="shared" si="3"/>
        <v>0</v>
      </c>
      <c r="C118" s="52">
        <v>10</v>
      </c>
      <c r="D118" s="54">
        <v>44680</v>
      </c>
      <c r="E118" s="62">
        <v>63</v>
      </c>
      <c r="F118" s="62">
        <f t="shared" si="5"/>
        <v>0</v>
      </c>
      <c r="G118" s="60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1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  <c r="AY118" s="35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  <c r="CD118" s="35"/>
      <c r="CE118" s="35"/>
      <c r="CF118" s="35"/>
      <c r="CG118" s="35"/>
      <c r="CH118" s="35"/>
      <c r="CI118" s="35"/>
      <c r="CJ118" s="35"/>
      <c r="CK118" s="35"/>
      <c r="CL118" s="35"/>
      <c r="CM118" s="35"/>
      <c r="CN118" s="35"/>
      <c r="CO118" s="35"/>
      <c r="CP118" s="35"/>
      <c r="CQ118" s="35"/>
      <c r="CR118" s="35"/>
      <c r="CS118" s="35"/>
      <c r="CT118" s="35"/>
      <c r="CU118" s="35"/>
      <c r="CV118" s="35"/>
      <c r="CW118" s="35"/>
      <c r="CX118" s="35"/>
      <c r="CY118" s="35"/>
      <c r="CZ118" s="35"/>
      <c r="DA118" s="35"/>
      <c r="DB118" s="35"/>
      <c r="DC118" s="35"/>
      <c r="DD118" s="35"/>
      <c r="DE118" s="35"/>
      <c r="DF118" s="35"/>
      <c r="DG118" s="35"/>
      <c r="DH118" s="35"/>
      <c r="DI118" s="35"/>
      <c r="DJ118" s="35"/>
      <c r="DK118" s="35"/>
      <c r="DL118" s="35"/>
      <c r="DM118" s="35"/>
      <c r="DN118" s="35"/>
      <c r="DO118" s="35"/>
      <c r="DP118" s="35"/>
      <c r="DQ118" s="35"/>
      <c r="DR118" s="35"/>
      <c r="DS118" s="35"/>
      <c r="DT118" s="35"/>
      <c r="DU118" s="35"/>
      <c r="DV118" s="35"/>
      <c r="DW118" s="28">
        <f t="shared" si="4"/>
        <v>0</v>
      </c>
      <c r="DX118" s="5"/>
    </row>
    <row r="119" spans="1:128" s="33" customFormat="1" x14ac:dyDescent="0.2">
      <c r="A119" s="47" t="s">
        <v>14</v>
      </c>
      <c r="B119" s="60">
        <f t="shared" si="3"/>
        <v>100</v>
      </c>
      <c r="C119" s="52">
        <v>10</v>
      </c>
      <c r="D119" s="55">
        <v>44924</v>
      </c>
      <c r="E119" s="62">
        <v>37.83</v>
      </c>
      <c r="F119" s="62">
        <f t="shared" si="5"/>
        <v>3783</v>
      </c>
      <c r="G119" s="60">
        <v>100</v>
      </c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1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>
        <v>100</v>
      </c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  <c r="AY119" s="35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  <c r="CD119" s="35"/>
      <c r="CE119" s="35"/>
      <c r="CF119" s="35"/>
      <c r="CG119" s="35"/>
      <c r="CH119" s="35"/>
      <c r="CI119" s="35"/>
      <c r="CJ119" s="35"/>
      <c r="CK119" s="35"/>
      <c r="CL119" s="35"/>
      <c r="CM119" s="35"/>
      <c r="CN119" s="35"/>
      <c r="CO119" s="35"/>
      <c r="CP119" s="35"/>
      <c r="CQ119" s="35"/>
      <c r="CR119" s="35"/>
      <c r="CS119" s="35"/>
      <c r="CT119" s="35"/>
      <c r="CU119" s="35"/>
      <c r="CV119" s="35"/>
      <c r="CW119" s="35"/>
      <c r="CX119" s="35"/>
      <c r="CY119" s="35"/>
      <c r="CZ119" s="35"/>
      <c r="DA119" s="35"/>
      <c r="DB119" s="35"/>
      <c r="DC119" s="35"/>
      <c r="DD119" s="35"/>
      <c r="DE119" s="35"/>
      <c r="DF119" s="35"/>
      <c r="DG119" s="35"/>
      <c r="DH119" s="35"/>
      <c r="DI119" s="35"/>
      <c r="DJ119" s="35"/>
      <c r="DK119" s="35"/>
      <c r="DL119" s="35"/>
      <c r="DM119" s="35"/>
      <c r="DN119" s="35"/>
      <c r="DO119" s="35"/>
      <c r="DP119" s="35"/>
      <c r="DQ119" s="35"/>
      <c r="DR119" s="35"/>
      <c r="DS119" s="35"/>
      <c r="DT119" s="35"/>
      <c r="DU119" s="35"/>
      <c r="DV119" s="35"/>
      <c r="DW119" s="28">
        <f t="shared" si="4"/>
        <v>0</v>
      </c>
      <c r="DX119" s="5"/>
    </row>
    <row r="120" spans="1:128" s="33" customFormat="1" x14ac:dyDescent="0.2">
      <c r="A120" s="47" t="s">
        <v>14</v>
      </c>
      <c r="B120" s="60">
        <f t="shared" si="3"/>
        <v>140</v>
      </c>
      <c r="C120" s="52">
        <v>10</v>
      </c>
      <c r="D120" s="55" t="s">
        <v>514</v>
      </c>
      <c r="E120" s="62">
        <v>39.9</v>
      </c>
      <c r="F120" s="62">
        <f t="shared" si="5"/>
        <v>5586</v>
      </c>
      <c r="G120" s="60">
        <v>200</v>
      </c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1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>
        <v>60</v>
      </c>
      <c r="AL120" s="35">
        <v>140</v>
      </c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  <c r="AY120" s="35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  <c r="CD120" s="35"/>
      <c r="CE120" s="35"/>
      <c r="CF120" s="35"/>
      <c r="CG120" s="35"/>
      <c r="CH120" s="35"/>
      <c r="CI120" s="35"/>
      <c r="CJ120" s="35"/>
      <c r="CK120" s="35"/>
      <c r="CL120" s="35"/>
      <c r="CM120" s="35"/>
      <c r="CN120" s="35"/>
      <c r="CO120" s="35"/>
      <c r="CP120" s="35"/>
      <c r="CQ120" s="35"/>
      <c r="CR120" s="35"/>
      <c r="CS120" s="35"/>
      <c r="CT120" s="35"/>
      <c r="CU120" s="35"/>
      <c r="CV120" s="35"/>
      <c r="CW120" s="35"/>
      <c r="CX120" s="35"/>
      <c r="CY120" s="35"/>
      <c r="CZ120" s="35"/>
      <c r="DA120" s="35"/>
      <c r="DB120" s="35"/>
      <c r="DC120" s="35"/>
      <c r="DD120" s="35"/>
      <c r="DE120" s="35"/>
      <c r="DF120" s="35"/>
      <c r="DG120" s="35"/>
      <c r="DH120" s="35"/>
      <c r="DI120" s="35"/>
      <c r="DJ120" s="35"/>
      <c r="DK120" s="35"/>
      <c r="DL120" s="35"/>
      <c r="DM120" s="35"/>
      <c r="DN120" s="35"/>
      <c r="DO120" s="35"/>
      <c r="DP120" s="35"/>
      <c r="DQ120" s="35"/>
      <c r="DR120" s="35"/>
      <c r="DS120" s="35"/>
      <c r="DT120" s="35"/>
      <c r="DU120" s="35"/>
      <c r="DV120" s="35"/>
      <c r="DW120" s="28">
        <f t="shared" si="4"/>
        <v>0</v>
      </c>
      <c r="DX120" s="5"/>
    </row>
    <row r="121" spans="1:128" s="33" customFormat="1" x14ac:dyDescent="0.2">
      <c r="A121" s="47" t="s">
        <v>92</v>
      </c>
      <c r="B121" s="60">
        <f t="shared" si="3"/>
        <v>0</v>
      </c>
      <c r="C121" s="52">
        <v>10</v>
      </c>
      <c r="D121" s="54">
        <v>44672</v>
      </c>
      <c r="E121" s="62">
        <v>42.15</v>
      </c>
      <c r="F121" s="62">
        <f t="shared" si="5"/>
        <v>0</v>
      </c>
      <c r="G121" s="60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1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  <c r="CD121" s="35"/>
      <c r="CE121" s="35"/>
      <c r="CF121" s="35"/>
      <c r="CG121" s="35"/>
      <c r="CH121" s="35"/>
      <c r="CI121" s="35"/>
      <c r="CJ121" s="35"/>
      <c r="CK121" s="35"/>
      <c r="CL121" s="35"/>
      <c r="CM121" s="35"/>
      <c r="CN121" s="35"/>
      <c r="CO121" s="35"/>
      <c r="CP121" s="35"/>
      <c r="CQ121" s="35"/>
      <c r="CR121" s="35"/>
      <c r="CS121" s="35"/>
      <c r="CT121" s="35"/>
      <c r="CU121" s="35"/>
      <c r="CV121" s="35"/>
      <c r="CW121" s="35"/>
      <c r="CX121" s="35"/>
      <c r="CY121" s="35"/>
      <c r="CZ121" s="35"/>
      <c r="DA121" s="35"/>
      <c r="DB121" s="35"/>
      <c r="DC121" s="35"/>
      <c r="DD121" s="35"/>
      <c r="DE121" s="35"/>
      <c r="DF121" s="35"/>
      <c r="DG121" s="35"/>
      <c r="DH121" s="35"/>
      <c r="DI121" s="35"/>
      <c r="DJ121" s="35"/>
      <c r="DK121" s="35"/>
      <c r="DL121" s="35"/>
      <c r="DM121" s="35"/>
      <c r="DN121" s="35"/>
      <c r="DO121" s="35"/>
      <c r="DP121" s="35"/>
      <c r="DQ121" s="35"/>
      <c r="DR121" s="35"/>
      <c r="DS121" s="35"/>
      <c r="DT121" s="35"/>
      <c r="DU121" s="35"/>
      <c r="DV121" s="35"/>
      <c r="DW121" s="28">
        <f t="shared" si="4"/>
        <v>0</v>
      </c>
      <c r="DX121" s="5"/>
    </row>
    <row r="122" spans="1:128" s="33" customFormat="1" x14ac:dyDescent="0.2">
      <c r="A122" s="39" t="s">
        <v>103</v>
      </c>
      <c r="B122" s="60">
        <f t="shared" si="3"/>
        <v>0</v>
      </c>
      <c r="C122" s="52">
        <v>1</v>
      </c>
      <c r="D122" s="54">
        <v>44788</v>
      </c>
      <c r="E122" s="62">
        <v>53.83</v>
      </c>
      <c r="F122" s="62">
        <f t="shared" si="5"/>
        <v>0</v>
      </c>
      <c r="G122" s="60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1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  <c r="AY122" s="35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  <c r="CD122" s="35"/>
      <c r="CE122" s="35"/>
      <c r="CF122" s="35"/>
      <c r="CG122" s="35"/>
      <c r="CH122" s="35"/>
      <c r="CI122" s="35"/>
      <c r="CJ122" s="35"/>
      <c r="CK122" s="35"/>
      <c r="CL122" s="35"/>
      <c r="CM122" s="35"/>
      <c r="CN122" s="35"/>
      <c r="CO122" s="35"/>
      <c r="CP122" s="35"/>
      <c r="CQ122" s="35"/>
      <c r="CR122" s="35"/>
      <c r="CS122" s="35"/>
      <c r="CT122" s="35"/>
      <c r="CU122" s="35"/>
      <c r="CV122" s="35"/>
      <c r="CW122" s="35"/>
      <c r="CX122" s="35"/>
      <c r="CY122" s="35"/>
      <c r="CZ122" s="35"/>
      <c r="DA122" s="35"/>
      <c r="DB122" s="35"/>
      <c r="DC122" s="35"/>
      <c r="DD122" s="35"/>
      <c r="DE122" s="35"/>
      <c r="DF122" s="35"/>
      <c r="DG122" s="35"/>
      <c r="DH122" s="35"/>
      <c r="DI122" s="35"/>
      <c r="DJ122" s="35"/>
      <c r="DK122" s="35"/>
      <c r="DL122" s="35"/>
      <c r="DM122" s="35"/>
      <c r="DN122" s="35"/>
      <c r="DO122" s="35"/>
      <c r="DP122" s="35"/>
      <c r="DQ122" s="35"/>
      <c r="DR122" s="35"/>
      <c r="DS122" s="35"/>
      <c r="DT122" s="35"/>
      <c r="DU122" s="35"/>
      <c r="DV122" s="35"/>
      <c r="DW122" s="28">
        <f t="shared" si="4"/>
        <v>0</v>
      </c>
      <c r="DX122" s="5"/>
    </row>
    <row r="123" spans="1:128" s="33" customFormat="1" x14ac:dyDescent="0.2">
      <c r="A123" s="39" t="s">
        <v>173</v>
      </c>
      <c r="B123" s="60">
        <f t="shared" si="3"/>
        <v>0</v>
      </c>
      <c r="C123" s="52">
        <v>10</v>
      </c>
      <c r="D123" s="54">
        <v>44949</v>
      </c>
      <c r="E123" s="62">
        <v>33.78</v>
      </c>
      <c r="F123" s="62">
        <f t="shared" si="5"/>
        <v>0</v>
      </c>
      <c r="G123" s="60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1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  <c r="AY123" s="35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  <c r="CD123" s="35"/>
      <c r="CE123" s="35"/>
      <c r="CF123" s="35"/>
      <c r="CG123" s="35"/>
      <c r="CH123" s="35"/>
      <c r="CI123" s="35"/>
      <c r="CJ123" s="35"/>
      <c r="CK123" s="35"/>
      <c r="CL123" s="35"/>
      <c r="CM123" s="35"/>
      <c r="CN123" s="35"/>
      <c r="CO123" s="35"/>
      <c r="CP123" s="35"/>
      <c r="CQ123" s="35"/>
      <c r="CR123" s="35"/>
      <c r="CS123" s="35">
        <v>10</v>
      </c>
      <c r="CT123" s="35"/>
      <c r="CU123" s="35"/>
      <c r="CV123" s="35">
        <v>10</v>
      </c>
      <c r="CW123" s="35"/>
      <c r="CX123" s="35"/>
      <c r="CY123" s="35"/>
      <c r="CZ123" s="35"/>
      <c r="DA123" s="35"/>
      <c r="DB123" s="35"/>
      <c r="DC123" s="35"/>
      <c r="DD123" s="35"/>
      <c r="DE123" s="35"/>
      <c r="DF123" s="35"/>
      <c r="DG123" s="35"/>
      <c r="DH123" s="35"/>
      <c r="DI123" s="35"/>
      <c r="DJ123" s="35"/>
      <c r="DK123" s="35"/>
      <c r="DL123" s="35"/>
      <c r="DM123" s="35"/>
      <c r="DN123" s="35"/>
      <c r="DO123" s="35"/>
      <c r="DP123" s="35"/>
      <c r="DQ123" s="35"/>
      <c r="DR123" s="35"/>
      <c r="DS123" s="35"/>
      <c r="DT123" s="35"/>
      <c r="DU123" s="35"/>
      <c r="DV123" s="35"/>
      <c r="DW123" s="28">
        <f t="shared" si="4"/>
        <v>0</v>
      </c>
      <c r="DX123" s="5"/>
    </row>
    <row r="124" spans="1:128" s="33" customFormat="1" x14ac:dyDescent="0.2">
      <c r="A124" s="39" t="s">
        <v>251</v>
      </c>
      <c r="B124" s="60">
        <f t="shared" si="3"/>
        <v>140</v>
      </c>
      <c r="C124" s="52">
        <v>10</v>
      </c>
      <c r="D124" s="55">
        <v>44893</v>
      </c>
      <c r="E124" s="62">
        <v>39.630000000000003</v>
      </c>
      <c r="F124" s="62">
        <f t="shared" si="5"/>
        <v>5548.2000000000007</v>
      </c>
      <c r="G124" s="60">
        <v>170</v>
      </c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1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>
        <v>30</v>
      </c>
      <c r="AL124" s="35">
        <v>120</v>
      </c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  <c r="AY124" s="35"/>
      <c r="AZ124" s="35"/>
      <c r="BA124" s="35"/>
      <c r="BB124" s="35">
        <v>20</v>
      </c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  <c r="CD124" s="35"/>
      <c r="CE124" s="35"/>
      <c r="CF124" s="35"/>
      <c r="CG124" s="35"/>
      <c r="CH124" s="35"/>
      <c r="CI124" s="35"/>
      <c r="CJ124" s="35"/>
      <c r="CK124" s="35"/>
      <c r="CL124" s="35"/>
      <c r="CM124" s="35"/>
      <c r="CN124" s="35"/>
      <c r="CO124" s="35"/>
      <c r="CP124" s="35"/>
      <c r="CQ124" s="35"/>
      <c r="CR124" s="35"/>
      <c r="CS124" s="35"/>
      <c r="CT124" s="35"/>
      <c r="CU124" s="35"/>
      <c r="CV124" s="35"/>
      <c r="CW124" s="35"/>
      <c r="CX124" s="35"/>
      <c r="CY124" s="35"/>
      <c r="CZ124" s="35"/>
      <c r="DA124" s="35"/>
      <c r="DB124" s="35"/>
      <c r="DC124" s="35"/>
      <c r="DD124" s="35"/>
      <c r="DE124" s="35"/>
      <c r="DF124" s="35"/>
      <c r="DG124" s="35"/>
      <c r="DH124" s="35"/>
      <c r="DI124" s="35"/>
      <c r="DJ124" s="35"/>
      <c r="DK124" s="35"/>
      <c r="DL124" s="35"/>
      <c r="DM124" s="35"/>
      <c r="DN124" s="35"/>
      <c r="DO124" s="35"/>
      <c r="DP124" s="35"/>
      <c r="DQ124" s="35"/>
      <c r="DR124" s="35"/>
      <c r="DS124" s="35"/>
      <c r="DT124" s="35"/>
      <c r="DU124" s="35"/>
      <c r="DV124" s="35"/>
      <c r="DW124" s="28">
        <f t="shared" si="4"/>
        <v>0</v>
      </c>
      <c r="DX124" s="5"/>
    </row>
    <row r="125" spans="1:128" s="33" customFormat="1" x14ac:dyDescent="0.2">
      <c r="A125" s="39" t="s">
        <v>251</v>
      </c>
      <c r="B125" s="60">
        <f t="shared" si="3"/>
        <v>0</v>
      </c>
      <c r="C125" s="52">
        <v>10</v>
      </c>
      <c r="D125" s="55">
        <v>44844</v>
      </c>
      <c r="E125" s="62">
        <v>41.18</v>
      </c>
      <c r="F125" s="62">
        <f t="shared" si="5"/>
        <v>0</v>
      </c>
      <c r="G125" s="60">
        <v>30</v>
      </c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1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>
        <v>30</v>
      </c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  <c r="AY125" s="35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  <c r="CD125" s="35"/>
      <c r="CE125" s="35"/>
      <c r="CF125" s="35"/>
      <c r="CG125" s="35"/>
      <c r="CH125" s="35"/>
      <c r="CI125" s="35"/>
      <c r="CJ125" s="35"/>
      <c r="CK125" s="35"/>
      <c r="CL125" s="35"/>
      <c r="CM125" s="35"/>
      <c r="CN125" s="35"/>
      <c r="CO125" s="35"/>
      <c r="CP125" s="35"/>
      <c r="CQ125" s="35"/>
      <c r="CR125" s="35"/>
      <c r="CS125" s="35"/>
      <c r="CT125" s="35"/>
      <c r="CU125" s="35"/>
      <c r="CV125" s="35"/>
      <c r="CW125" s="35"/>
      <c r="CX125" s="35"/>
      <c r="CY125" s="35"/>
      <c r="CZ125" s="35"/>
      <c r="DA125" s="35"/>
      <c r="DB125" s="35"/>
      <c r="DC125" s="35"/>
      <c r="DD125" s="35"/>
      <c r="DE125" s="35"/>
      <c r="DF125" s="35"/>
      <c r="DG125" s="35"/>
      <c r="DH125" s="35"/>
      <c r="DI125" s="35"/>
      <c r="DJ125" s="35"/>
      <c r="DK125" s="35"/>
      <c r="DL125" s="35"/>
      <c r="DM125" s="35"/>
      <c r="DN125" s="35"/>
      <c r="DO125" s="35"/>
      <c r="DP125" s="35"/>
      <c r="DQ125" s="35"/>
      <c r="DR125" s="35"/>
      <c r="DS125" s="35"/>
      <c r="DT125" s="35"/>
      <c r="DU125" s="35"/>
      <c r="DV125" s="35"/>
      <c r="DW125" s="28">
        <f t="shared" si="4"/>
        <v>0</v>
      </c>
      <c r="DX125" s="5"/>
    </row>
    <row r="126" spans="1:128" s="33" customFormat="1" x14ac:dyDescent="0.2">
      <c r="A126" s="39" t="s">
        <v>251</v>
      </c>
      <c r="B126" s="60">
        <f t="shared" si="3"/>
        <v>150</v>
      </c>
      <c r="C126" s="52">
        <v>10</v>
      </c>
      <c r="D126" s="55">
        <v>44949</v>
      </c>
      <c r="E126" s="62">
        <v>38.01</v>
      </c>
      <c r="F126" s="62">
        <f t="shared" si="5"/>
        <v>5701.5</v>
      </c>
      <c r="G126" s="60">
        <v>20</v>
      </c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1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>
        <v>150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  <c r="CD126" s="35"/>
      <c r="CE126" s="35"/>
      <c r="CF126" s="35"/>
      <c r="CG126" s="35"/>
      <c r="CH126" s="35"/>
      <c r="CI126" s="35"/>
      <c r="CJ126" s="35"/>
      <c r="CK126" s="35"/>
      <c r="CL126" s="35"/>
      <c r="CM126" s="35"/>
      <c r="CN126" s="35"/>
      <c r="CO126" s="35"/>
      <c r="CP126" s="35"/>
      <c r="CQ126" s="35"/>
      <c r="CR126" s="35"/>
      <c r="CS126" s="35">
        <v>130</v>
      </c>
      <c r="CT126" s="35"/>
      <c r="CU126" s="35"/>
      <c r="CV126" s="35"/>
      <c r="CW126" s="35"/>
      <c r="CX126" s="35"/>
      <c r="CY126" s="35"/>
      <c r="CZ126" s="35"/>
      <c r="DA126" s="35"/>
      <c r="DB126" s="35"/>
      <c r="DC126" s="35"/>
      <c r="DD126" s="35"/>
      <c r="DE126" s="35"/>
      <c r="DF126" s="35"/>
      <c r="DG126" s="35"/>
      <c r="DH126" s="35"/>
      <c r="DI126" s="35"/>
      <c r="DJ126" s="35"/>
      <c r="DK126" s="35"/>
      <c r="DL126" s="35"/>
      <c r="DM126" s="35"/>
      <c r="DN126" s="35"/>
      <c r="DO126" s="35"/>
      <c r="DP126" s="35"/>
      <c r="DQ126" s="35"/>
      <c r="DR126" s="35"/>
      <c r="DS126" s="35"/>
      <c r="DT126" s="35"/>
      <c r="DU126" s="35"/>
      <c r="DV126" s="35"/>
      <c r="DW126" s="28">
        <f t="shared" si="4"/>
        <v>0</v>
      </c>
      <c r="DX126" s="5"/>
    </row>
    <row r="127" spans="1:128" s="33" customFormat="1" x14ac:dyDescent="0.2">
      <c r="A127" s="117" t="s">
        <v>523</v>
      </c>
      <c r="B127" s="60">
        <f t="shared" si="3"/>
        <v>0</v>
      </c>
      <c r="C127" s="52">
        <v>10</v>
      </c>
      <c r="D127" s="55">
        <v>44924</v>
      </c>
      <c r="E127" s="62">
        <v>19.809999999999999</v>
      </c>
      <c r="F127" s="62">
        <f t="shared" si="5"/>
        <v>0</v>
      </c>
      <c r="G127" s="60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1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  <c r="AY127" s="35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  <c r="CD127" s="35"/>
      <c r="CE127" s="35"/>
      <c r="CF127" s="35"/>
      <c r="CG127" s="35"/>
      <c r="CH127" s="35"/>
      <c r="CI127" s="35"/>
      <c r="CJ127" s="35"/>
      <c r="CK127" s="35"/>
      <c r="CL127" s="35"/>
      <c r="CM127" s="35"/>
      <c r="CN127" s="35"/>
      <c r="CO127" s="35"/>
      <c r="CP127" s="35"/>
      <c r="CQ127" s="35"/>
      <c r="CR127" s="35"/>
      <c r="CS127" s="35"/>
      <c r="CT127" s="35"/>
      <c r="CU127" s="35"/>
      <c r="CV127" s="35"/>
      <c r="CW127" s="35"/>
      <c r="CX127" s="35"/>
      <c r="CY127" s="35"/>
      <c r="CZ127" s="35"/>
      <c r="DA127" s="35"/>
      <c r="DB127" s="35"/>
      <c r="DC127" s="35"/>
      <c r="DD127" s="35"/>
      <c r="DE127" s="35"/>
      <c r="DF127" s="35"/>
      <c r="DG127" s="35"/>
      <c r="DH127" s="35"/>
      <c r="DI127" s="35"/>
      <c r="DJ127" s="35"/>
      <c r="DK127" s="35"/>
      <c r="DL127" s="35"/>
      <c r="DM127" s="35"/>
      <c r="DN127" s="35"/>
      <c r="DO127" s="35"/>
      <c r="DP127" s="35"/>
      <c r="DQ127" s="35"/>
      <c r="DR127" s="35"/>
      <c r="DS127" s="35"/>
      <c r="DT127" s="35"/>
      <c r="DU127" s="35"/>
      <c r="DV127" s="35"/>
      <c r="DW127" s="28">
        <f t="shared" si="4"/>
        <v>0</v>
      </c>
      <c r="DX127" s="5"/>
    </row>
    <row r="128" spans="1:128" s="33" customFormat="1" x14ac:dyDescent="0.2">
      <c r="A128" s="39" t="s">
        <v>357</v>
      </c>
      <c r="B128" s="60">
        <f t="shared" si="3"/>
        <v>50</v>
      </c>
      <c r="C128" s="52">
        <v>10</v>
      </c>
      <c r="D128" s="55">
        <v>44851</v>
      </c>
      <c r="E128" s="62">
        <v>48.42</v>
      </c>
      <c r="F128" s="62">
        <f t="shared" si="5"/>
        <v>2421</v>
      </c>
      <c r="G128" s="60">
        <v>70</v>
      </c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1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  <c r="AY128" s="35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>
        <v>20</v>
      </c>
      <c r="BZ128" s="35"/>
      <c r="CA128" s="35"/>
      <c r="CB128" s="35"/>
      <c r="CC128" s="35"/>
      <c r="CD128" s="35"/>
      <c r="CE128" s="35"/>
      <c r="CF128" s="35"/>
      <c r="CG128" s="35"/>
      <c r="CH128" s="35"/>
      <c r="CI128" s="35"/>
      <c r="CJ128" s="35"/>
      <c r="CK128" s="35"/>
      <c r="CL128" s="35"/>
      <c r="CM128" s="35"/>
      <c r="CN128" s="35"/>
      <c r="CO128" s="35"/>
      <c r="CP128" s="35"/>
      <c r="CQ128" s="35"/>
      <c r="CR128" s="35"/>
      <c r="CS128" s="35"/>
      <c r="CT128" s="35"/>
      <c r="CU128" s="35"/>
      <c r="CV128" s="35"/>
      <c r="CW128" s="35"/>
      <c r="CX128" s="35"/>
      <c r="CY128" s="35"/>
      <c r="CZ128" s="35"/>
      <c r="DA128" s="35"/>
      <c r="DB128" s="35"/>
      <c r="DC128" s="35"/>
      <c r="DD128" s="35"/>
      <c r="DE128" s="35"/>
      <c r="DF128" s="35"/>
      <c r="DG128" s="35"/>
      <c r="DH128" s="35"/>
      <c r="DI128" s="35"/>
      <c r="DJ128" s="35"/>
      <c r="DK128" s="35"/>
      <c r="DL128" s="35"/>
      <c r="DM128" s="35"/>
      <c r="DN128" s="35"/>
      <c r="DO128" s="35"/>
      <c r="DP128" s="35"/>
      <c r="DQ128" s="35"/>
      <c r="DR128" s="35"/>
      <c r="DS128" s="35"/>
      <c r="DT128" s="35"/>
      <c r="DU128" s="35"/>
      <c r="DV128" s="35">
        <v>50</v>
      </c>
      <c r="DW128" s="28">
        <f t="shared" si="4"/>
        <v>0</v>
      </c>
      <c r="DX128" s="5"/>
    </row>
    <row r="129" spans="1:128" s="33" customFormat="1" x14ac:dyDescent="0.2">
      <c r="A129" s="39" t="s">
        <v>476</v>
      </c>
      <c r="B129" s="60">
        <f t="shared" si="3"/>
        <v>0</v>
      </c>
      <c r="C129" s="52">
        <v>5</v>
      </c>
      <c r="D129" s="55">
        <v>44760</v>
      </c>
      <c r="E129" s="62">
        <v>18.63</v>
      </c>
      <c r="F129" s="62">
        <f t="shared" si="5"/>
        <v>0</v>
      </c>
      <c r="G129" s="60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1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  <c r="AY129" s="35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  <c r="CD129" s="35"/>
      <c r="CE129" s="35"/>
      <c r="CF129" s="35"/>
      <c r="CG129" s="35"/>
      <c r="CH129" s="35"/>
      <c r="CI129" s="35"/>
      <c r="CJ129" s="35"/>
      <c r="CK129" s="35"/>
      <c r="CL129" s="35"/>
      <c r="CM129" s="35"/>
      <c r="CN129" s="35"/>
      <c r="CO129" s="35"/>
      <c r="CP129" s="35"/>
      <c r="CQ129" s="35"/>
      <c r="CR129" s="35"/>
      <c r="CS129" s="35"/>
      <c r="CT129" s="35"/>
      <c r="CU129" s="35"/>
      <c r="CV129" s="35"/>
      <c r="CW129" s="35"/>
      <c r="CX129" s="35"/>
      <c r="CY129" s="35"/>
      <c r="CZ129" s="35"/>
      <c r="DA129" s="35"/>
      <c r="DB129" s="35"/>
      <c r="DC129" s="35"/>
      <c r="DD129" s="35"/>
      <c r="DE129" s="35"/>
      <c r="DF129" s="35"/>
      <c r="DG129" s="35"/>
      <c r="DH129" s="35"/>
      <c r="DI129" s="35"/>
      <c r="DJ129" s="35"/>
      <c r="DK129" s="35"/>
      <c r="DL129" s="35"/>
      <c r="DM129" s="35"/>
      <c r="DN129" s="35"/>
      <c r="DO129" s="35"/>
      <c r="DP129" s="35"/>
      <c r="DQ129" s="35"/>
      <c r="DR129" s="35"/>
      <c r="DS129" s="35"/>
      <c r="DT129" s="35"/>
      <c r="DU129" s="35"/>
      <c r="DV129" s="35"/>
      <c r="DW129" s="28">
        <f t="shared" si="4"/>
        <v>0</v>
      </c>
      <c r="DX129" s="5"/>
    </row>
    <row r="130" spans="1:128" s="33" customFormat="1" x14ac:dyDescent="0.2">
      <c r="A130" s="39" t="s">
        <v>511</v>
      </c>
      <c r="B130" s="60">
        <f t="shared" si="3"/>
        <v>40</v>
      </c>
      <c r="C130" s="52">
        <v>10</v>
      </c>
      <c r="D130" s="55">
        <v>44844</v>
      </c>
      <c r="E130" s="62">
        <v>52.62</v>
      </c>
      <c r="F130" s="62">
        <f t="shared" si="5"/>
        <v>2104.7999999999997</v>
      </c>
      <c r="G130" s="60">
        <v>40</v>
      </c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1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  <c r="AY130" s="35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>
        <v>40</v>
      </c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  <c r="CD130" s="35"/>
      <c r="CE130" s="35"/>
      <c r="CF130" s="35"/>
      <c r="CG130" s="35"/>
      <c r="CH130" s="35"/>
      <c r="CI130" s="35"/>
      <c r="CJ130" s="35"/>
      <c r="CK130" s="35"/>
      <c r="CL130" s="35"/>
      <c r="CM130" s="35"/>
      <c r="CN130" s="35"/>
      <c r="CO130" s="35"/>
      <c r="CP130" s="35"/>
      <c r="CQ130" s="35"/>
      <c r="CR130" s="35"/>
      <c r="CS130" s="35"/>
      <c r="CT130" s="35"/>
      <c r="CU130" s="35"/>
      <c r="CV130" s="35"/>
      <c r="CW130" s="35"/>
      <c r="CX130" s="35"/>
      <c r="CY130" s="35"/>
      <c r="CZ130" s="35"/>
      <c r="DA130" s="35"/>
      <c r="DB130" s="35"/>
      <c r="DC130" s="35"/>
      <c r="DD130" s="35"/>
      <c r="DE130" s="35"/>
      <c r="DF130" s="35"/>
      <c r="DG130" s="35"/>
      <c r="DH130" s="35"/>
      <c r="DI130" s="35"/>
      <c r="DJ130" s="35"/>
      <c r="DK130" s="35"/>
      <c r="DL130" s="35"/>
      <c r="DM130" s="35"/>
      <c r="DN130" s="35"/>
      <c r="DO130" s="35"/>
      <c r="DP130" s="35"/>
      <c r="DQ130" s="35"/>
      <c r="DR130" s="35"/>
      <c r="DS130" s="35"/>
      <c r="DT130" s="35"/>
      <c r="DU130" s="35"/>
      <c r="DV130" s="35"/>
      <c r="DW130" s="28">
        <f t="shared" si="4"/>
        <v>0</v>
      </c>
      <c r="DX130" s="5"/>
    </row>
    <row r="131" spans="1:128" s="33" customFormat="1" x14ac:dyDescent="0.2">
      <c r="A131" s="39" t="s">
        <v>452</v>
      </c>
      <c r="B131" s="60">
        <f t="shared" si="3"/>
        <v>0</v>
      </c>
      <c r="C131" s="52">
        <v>10</v>
      </c>
      <c r="D131" s="55">
        <v>44816</v>
      </c>
      <c r="E131" s="62">
        <v>80.88</v>
      </c>
      <c r="F131" s="62">
        <f t="shared" si="5"/>
        <v>0</v>
      </c>
      <c r="G131" s="60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1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  <c r="AY131" s="35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  <c r="CD131" s="35"/>
      <c r="CE131" s="35"/>
      <c r="CF131" s="35"/>
      <c r="CG131" s="35"/>
      <c r="CH131" s="35"/>
      <c r="CI131" s="35"/>
      <c r="CJ131" s="35"/>
      <c r="CK131" s="35"/>
      <c r="CL131" s="35"/>
      <c r="CM131" s="35"/>
      <c r="CN131" s="35"/>
      <c r="CO131" s="35"/>
      <c r="CP131" s="35"/>
      <c r="CQ131" s="35"/>
      <c r="CR131" s="35"/>
      <c r="CS131" s="35"/>
      <c r="CT131" s="35"/>
      <c r="CU131" s="35"/>
      <c r="CV131" s="35"/>
      <c r="CW131" s="35"/>
      <c r="CX131" s="35"/>
      <c r="CY131" s="35"/>
      <c r="CZ131" s="35"/>
      <c r="DA131" s="35"/>
      <c r="DB131" s="35"/>
      <c r="DC131" s="35"/>
      <c r="DD131" s="35"/>
      <c r="DE131" s="35"/>
      <c r="DF131" s="35"/>
      <c r="DG131" s="35"/>
      <c r="DH131" s="35"/>
      <c r="DI131" s="35"/>
      <c r="DJ131" s="35"/>
      <c r="DK131" s="35"/>
      <c r="DL131" s="35"/>
      <c r="DM131" s="35"/>
      <c r="DN131" s="35"/>
      <c r="DO131" s="35"/>
      <c r="DP131" s="35"/>
      <c r="DQ131" s="35"/>
      <c r="DR131" s="35"/>
      <c r="DS131" s="35"/>
      <c r="DT131" s="35"/>
      <c r="DU131" s="35"/>
      <c r="DV131" s="35"/>
      <c r="DW131" s="28">
        <f t="shared" si="4"/>
        <v>0</v>
      </c>
      <c r="DX131" s="5"/>
    </row>
    <row r="132" spans="1:128" s="33" customFormat="1" x14ac:dyDescent="0.2">
      <c r="A132" s="39" t="s">
        <v>143</v>
      </c>
      <c r="B132" s="60">
        <f t="shared" ref="B132:B195" si="6">SUMIF(G$3:DV$3,"прих",G132:DV132)-SUMIF(G$3:DV$3,"отгр",G132:DV132)</f>
        <v>9</v>
      </c>
      <c r="C132" s="52">
        <v>9</v>
      </c>
      <c r="D132" s="55">
        <v>44781</v>
      </c>
      <c r="E132" s="62">
        <v>35.119999999999997</v>
      </c>
      <c r="F132" s="62">
        <f t="shared" si="5"/>
        <v>316.08</v>
      </c>
      <c r="G132" s="60">
        <v>9</v>
      </c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1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  <c r="AY132" s="35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>
        <v>9</v>
      </c>
      <c r="CD132" s="35"/>
      <c r="CE132" s="35"/>
      <c r="CF132" s="35"/>
      <c r="CG132" s="35"/>
      <c r="CH132" s="35"/>
      <c r="CI132" s="35"/>
      <c r="CJ132" s="35"/>
      <c r="CK132" s="35"/>
      <c r="CL132" s="35"/>
      <c r="CM132" s="35"/>
      <c r="CN132" s="35"/>
      <c r="CO132" s="35"/>
      <c r="CP132" s="35"/>
      <c r="CQ132" s="35"/>
      <c r="CR132" s="35"/>
      <c r="CS132" s="35"/>
      <c r="CT132" s="35"/>
      <c r="CU132" s="35"/>
      <c r="CV132" s="35"/>
      <c r="CW132" s="35"/>
      <c r="CX132" s="35"/>
      <c r="CY132" s="35"/>
      <c r="CZ132" s="35"/>
      <c r="DA132" s="35"/>
      <c r="DB132" s="35"/>
      <c r="DC132" s="35"/>
      <c r="DD132" s="35"/>
      <c r="DE132" s="35"/>
      <c r="DF132" s="35"/>
      <c r="DG132" s="35"/>
      <c r="DH132" s="35"/>
      <c r="DI132" s="35"/>
      <c r="DJ132" s="35"/>
      <c r="DK132" s="35"/>
      <c r="DL132" s="35"/>
      <c r="DM132" s="35"/>
      <c r="DN132" s="35"/>
      <c r="DO132" s="35"/>
      <c r="DP132" s="35"/>
      <c r="DQ132" s="35"/>
      <c r="DR132" s="35"/>
      <c r="DS132" s="35"/>
      <c r="DT132" s="35"/>
      <c r="DU132" s="35"/>
      <c r="DV132" s="35"/>
      <c r="DW132" s="28">
        <f t="shared" ref="DW132:DW195" si="7">$B132-SUMIF($G$3:$IK$3,"",$G132:$IK132)</f>
        <v>0</v>
      </c>
      <c r="DX132" s="5"/>
    </row>
    <row r="133" spans="1:128" s="33" customFormat="1" x14ac:dyDescent="0.2">
      <c r="A133" s="39" t="s">
        <v>142</v>
      </c>
      <c r="B133" s="60">
        <f t="shared" si="6"/>
        <v>0</v>
      </c>
      <c r="C133" s="52">
        <v>10</v>
      </c>
      <c r="D133" s="55">
        <v>44651</v>
      </c>
      <c r="E133" s="62">
        <v>43.13</v>
      </c>
      <c r="F133" s="62">
        <f t="shared" si="5"/>
        <v>0</v>
      </c>
      <c r="G133" s="60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1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  <c r="AY133" s="35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  <c r="CD133" s="35"/>
      <c r="CE133" s="35"/>
      <c r="CF133" s="35"/>
      <c r="CG133" s="35"/>
      <c r="CH133" s="35"/>
      <c r="CI133" s="35"/>
      <c r="CJ133" s="35"/>
      <c r="CK133" s="35"/>
      <c r="CL133" s="35"/>
      <c r="CM133" s="35"/>
      <c r="CN133" s="35"/>
      <c r="CO133" s="35"/>
      <c r="CP133" s="35"/>
      <c r="CQ133" s="35"/>
      <c r="CR133" s="35"/>
      <c r="CS133" s="35"/>
      <c r="CT133" s="35"/>
      <c r="CU133" s="35"/>
      <c r="CV133" s="35"/>
      <c r="CW133" s="35"/>
      <c r="CX133" s="35"/>
      <c r="CY133" s="35"/>
      <c r="CZ133" s="35"/>
      <c r="DA133" s="35"/>
      <c r="DB133" s="35"/>
      <c r="DC133" s="35"/>
      <c r="DD133" s="35"/>
      <c r="DE133" s="35"/>
      <c r="DF133" s="35"/>
      <c r="DG133" s="35"/>
      <c r="DH133" s="35"/>
      <c r="DI133" s="35"/>
      <c r="DJ133" s="35"/>
      <c r="DK133" s="35"/>
      <c r="DL133" s="35"/>
      <c r="DM133" s="35"/>
      <c r="DN133" s="35"/>
      <c r="DO133" s="35"/>
      <c r="DP133" s="35"/>
      <c r="DQ133" s="35"/>
      <c r="DR133" s="35"/>
      <c r="DS133" s="35"/>
      <c r="DT133" s="35"/>
      <c r="DU133" s="35"/>
      <c r="DV133" s="35"/>
      <c r="DW133" s="28">
        <f t="shared" si="7"/>
        <v>0</v>
      </c>
      <c r="DX133" s="5"/>
    </row>
    <row r="134" spans="1:128" s="33" customFormat="1" x14ac:dyDescent="0.2">
      <c r="A134" s="39" t="s">
        <v>48</v>
      </c>
      <c r="B134" s="60">
        <f t="shared" si="6"/>
        <v>200</v>
      </c>
      <c r="C134" s="52">
        <v>10</v>
      </c>
      <c r="D134" s="55">
        <v>44893</v>
      </c>
      <c r="E134" s="62">
        <v>38.35</v>
      </c>
      <c r="F134" s="62">
        <f t="shared" si="5"/>
        <v>7670</v>
      </c>
      <c r="G134" s="60">
        <v>290</v>
      </c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15"/>
      <c r="V134" s="35"/>
      <c r="W134" s="35"/>
      <c r="X134" s="35"/>
      <c r="Y134" s="35"/>
      <c r="Z134" s="35"/>
      <c r="AA134" s="35"/>
      <c r="AB134" s="35"/>
      <c r="AC134" s="35"/>
      <c r="AD134" s="35">
        <v>20</v>
      </c>
      <c r="AE134" s="35"/>
      <c r="AF134" s="35"/>
      <c r="AG134" s="35"/>
      <c r="AH134" s="35"/>
      <c r="AI134" s="35">
        <v>190</v>
      </c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  <c r="AY134" s="35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>
        <v>10</v>
      </c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  <c r="CD134" s="35"/>
      <c r="CE134" s="35"/>
      <c r="CF134" s="35">
        <v>10</v>
      </c>
      <c r="CG134" s="35">
        <v>20</v>
      </c>
      <c r="CH134" s="35">
        <v>10</v>
      </c>
      <c r="CI134" s="35"/>
      <c r="CJ134" s="35"/>
      <c r="CK134" s="35"/>
      <c r="CL134" s="35"/>
      <c r="CM134" s="35"/>
      <c r="CN134" s="35"/>
      <c r="CO134" s="35"/>
      <c r="CP134" s="35"/>
      <c r="CQ134" s="35"/>
      <c r="CR134" s="35"/>
      <c r="CS134" s="35"/>
      <c r="CT134" s="35"/>
      <c r="CU134" s="35"/>
      <c r="CV134" s="35"/>
      <c r="CW134" s="35"/>
      <c r="CX134" s="35"/>
      <c r="CY134" s="35"/>
      <c r="CZ134" s="35"/>
      <c r="DA134" s="35"/>
      <c r="DB134" s="35"/>
      <c r="DC134" s="35"/>
      <c r="DD134" s="35"/>
      <c r="DE134" s="35"/>
      <c r="DF134" s="35">
        <v>30</v>
      </c>
      <c r="DG134" s="35"/>
      <c r="DH134" s="35"/>
      <c r="DI134" s="35"/>
      <c r="DJ134" s="35"/>
      <c r="DK134" s="35"/>
      <c r="DL134" s="35"/>
      <c r="DM134" s="35"/>
      <c r="DN134" s="35"/>
      <c r="DO134" s="35"/>
      <c r="DP134" s="35"/>
      <c r="DQ134" s="35"/>
      <c r="DR134" s="35"/>
      <c r="DS134" s="35"/>
      <c r="DT134" s="35"/>
      <c r="DU134" s="35"/>
      <c r="DV134" s="35"/>
      <c r="DW134" s="28">
        <f t="shared" si="7"/>
        <v>0</v>
      </c>
      <c r="DX134" s="5"/>
    </row>
    <row r="135" spans="1:128" s="33" customFormat="1" x14ac:dyDescent="0.2">
      <c r="A135" s="39" t="s">
        <v>483</v>
      </c>
      <c r="B135" s="60">
        <f t="shared" si="6"/>
        <v>0</v>
      </c>
      <c r="C135" s="52">
        <v>1</v>
      </c>
      <c r="D135" s="55">
        <v>44879</v>
      </c>
      <c r="E135" s="62">
        <v>37.659999999999997</v>
      </c>
      <c r="F135" s="62">
        <f t="shared" si="5"/>
        <v>0</v>
      </c>
      <c r="G135" s="60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1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  <c r="AY135" s="35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  <c r="CD135" s="35"/>
      <c r="CE135" s="35"/>
      <c r="CF135" s="35"/>
      <c r="CG135" s="35"/>
      <c r="CH135" s="35"/>
      <c r="CI135" s="35"/>
      <c r="CJ135" s="35"/>
      <c r="CK135" s="35"/>
      <c r="CL135" s="35"/>
      <c r="CM135" s="35"/>
      <c r="CN135" s="35"/>
      <c r="CO135" s="35"/>
      <c r="CP135" s="35"/>
      <c r="CQ135" s="35"/>
      <c r="CR135" s="35"/>
      <c r="CS135" s="35"/>
      <c r="CT135" s="35"/>
      <c r="CU135" s="35"/>
      <c r="CV135" s="35"/>
      <c r="CW135" s="35"/>
      <c r="CX135" s="35"/>
      <c r="CY135" s="35"/>
      <c r="CZ135" s="35"/>
      <c r="DA135" s="35"/>
      <c r="DB135" s="35"/>
      <c r="DC135" s="35"/>
      <c r="DD135" s="35"/>
      <c r="DE135" s="35"/>
      <c r="DF135" s="35"/>
      <c r="DG135" s="35"/>
      <c r="DH135" s="35"/>
      <c r="DI135" s="35"/>
      <c r="DJ135" s="35"/>
      <c r="DK135" s="35"/>
      <c r="DL135" s="35"/>
      <c r="DM135" s="35"/>
      <c r="DN135" s="35"/>
      <c r="DO135" s="35"/>
      <c r="DP135" s="35"/>
      <c r="DQ135" s="35"/>
      <c r="DR135" s="35"/>
      <c r="DS135" s="35"/>
      <c r="DT135" s="35"/>
      <c r="DU135" s="35"/>
      <c r="DV135" s="35"/>
      <c r="DW135" s="28">
        <f t="shared" si="7"/>
        <v>0</v>
      </c>
      <c r="DX135" s="5"/>
    </row>
    <row r="136" spans="1:128" s="33" customFormat="1" x14ac:dyDescent="0.2">
      <c r="A136" s="39" t="s">
        <v>94</v>
      </c>
      <c r="B136" s="60">
        <f t="shared" si="6"/>
        <v>20</v>
      </c>
      <c r="C136" s="52">
        <v>10</v>
      </c>
      <c r="D136" s="54">
        <v>44924</v>
      </c>
      <c r="E136" s="62">
        <v>77.7</v>
      </c>
      <c r="F136" s="62">
        <f t="shared" si="5"/>
        <v>1554</v>
      </c>
      <c r="G136" s="60">
        <v>20</v>
      </c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1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>
        <v>20</v>
      </c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  <c r="AY136" s="35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  <c r="CD136" s="35"/>
      <c r="CE136" s="35"/>
      <c r="CF136" s="35"/>
      <c r="CG136" s="35"/>
      <c r="CH136" s="35"/>
      <c r="CI136" s="35"/>
      <c r="CJ136" s="35"/>
      <c r="CK136" s="35"/>
      <c r="CL136" s="35"/>
      <c r="CM136" s="35"/>
      <c r="CN136" s="35"/>
      <c r="CO136" s="35"/>
      <c r="CP136" s="35"/>
      <c r="CQ136" s="35"/>
      <c r="CR136" s="35"/>
      <c r="CS136" s="35"/>
      <c r="CT136" s="35"/>
      <c r="CU136" s="35"/>
      <c r="CV136" s="35"/>
      <c r="CW136" s="35"/>
      <c r="CX136" s="35"/>
      <c r="CY136" s="35"/>
      <c r="CZ136" s="35"/>
      <c r="DA136" s="35"/>
      <c r="DB136" s="35"/>
      <c r="DC136" s="35"/>
      <c r="DD136" s="35"/>
      <c r="DE136" s="35"/>
      <c r="DF136" s="35"/>
      <c r="DG136" s="35"/>
      <c r="DH136" s="35"/>
      <c r="DI136" s="35"/>
      <c r="DJ136" s="35"/>
      <c r="DK136" s="35"/>
      <c r="DL136" s="35"/>
      <c r="DM136" s="35"/>
      <c r="DN136" s="35"/>
      <c r="DO136" s="35"/>
      <c r="DP136" s="35"/>
      <c r="DQ136" s="35"/>
      <c r="DR136" s="35"/>
      <c r="DS136" s="35"/>
      <c r="DT136" s="35"/>
      <c r="DU136" s="35"/>
      <c r="DV136" s="35"/>
      <c r="DW136" s="28">
        <f t="shared" si="7"/>
        <v>0</v>
      </c>
      <c r="DX136" s="5"/>
    </row>
    <row r="137" spans="1:128" s="33" customFormat="1" x14ac:dyDescent="0.2">
      <c r="A137" s="47" t="s">
        <v>47</v>
      </c>
      <c r="B137" s="60">
        <f t="shared" si="6"/>
        <v>8</v>
      </c>
      <c r="C137" s="52">
        <v>1</v>
      </c>
      <c r="D137" s="54">
        <v>44697</v>
      </c>
      <c r="E137" s="62">
        <v>48.16</v>
      </c>
      <c r="F137" s="62">
        <f t="shared" si="5"/>
        <v>385.28</v>
      </c>
      <c r="G137" s="60">
        <v>10</v>
      </c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1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  <c r="AY137" s="35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  <c r="CD137" s="35"/>
      <c r="CE137" s="35"/>
      <c r="CF137" s="35"/>
      <c r="CG137" s="35"/>
      <c r="CH137" s="35"/>
      <c r="CI137" s="35"/>
      <c r="CJ137" s="35"/>
      <c r="CK137" s="35"/>
      <c r="CL137" s="35"/>
      <c r="CM137" s="35"/>
      <c r="CN137" s="35"/>
      <c r="CO137" s="35"/>
      <c r="CP137" s="35"/>
      <c r="CQ137" s="35"/>
      <c r="CR137" s="35"/>
      <c r="CS137" s="35"/>
      <c r="CT137" s="35"/>
      <c r="CU137" s="35"/>
      <c r="CV137" s="35"/>
      <c r="CW137" s="35"/>
      <c r="CX137" s="35"/>
      <c r="CY137" s="35"/>
      <c r="CZ137" s="35"/>
      <c r="DA137" s="35"/>
      <c r="DB137" s="35"/>
      <c r="DC137" s="35"/>
      <c r="DD137" s="35"/>
      <c r="DE137" s="35"/>
      <c r="DF137" s="35"/>
      <c r="DG137" s="35"/>
      <c r="DH137" s="35"/>
      <c r="DI137" s="35"/>
      <c r="DJ137" s="35"/>
      <c r="DK137" s="35">
        <v>10</v>
      </c>
      <c r="DL137" s="35"/>
      <c r="DM137" s="35"/>
      <c r="DN137" s="35"/>
      <c r="DO137" s="35"/>
      <c r="DP137" s="35"/>
      <c r="DQ137" s="35">
        <v>8</v>
      </c>
      <c r="DR137" s="35"/>
      <c r="DS137" s="35"/>
      <c r="DT137" s="35"/>
      <c r="DU137" s="35"/>
      <c r="DV137" s="35"/>
      <c r="DW137" s="28">
        <f t="shared" si="7"/>
        <v>8</v>
      </c>
      <c r="DX137" s="5"/>
    </row>
    <row r="138" spans="1:128" s="33" customFormat="1" x14ac:dyDescent="0.2">
      <c r="A138" s="47" t="s">
        <v>47</v>
      </c>
      <c r="B138" s="60">
        <f t="shared" si="6"/>
        <v>1</v>
      </c>
      <c r="C138" s="52">
        <v>1</v>
      </c>
      <c r="D138" s="54">
        <v>44970</v>
      </c>
      <c r="E138" s="62">
        <v>50.43</v>
      </c>
      <c r="F138" s="62">
        <f t="shared" si="5"/>
        <v>50.43</v>
      </c>
      <c r="G138" s="60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15"/>
      <c r="V138" s="35"/>
      <c r="W138" s="35">
        <v>1</v>
      </c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  <c r="AY138" s="35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  <c r="CD138" s="35"/>
      <c r="CE138" s="35"/>
      <c r="CF138" s="35"/>
      <c r="CG138" s="35"/>
      <c r="CH138" s="35"/>
      <c r="CI138" s="35"/>
      <c r="CJ138" s="35"/>
      <c r="CK138" s="35"/>
      <c r="CL138" s="35"/>
      <c r="CM138" s="35"/>
      <c r="CN138" s="35"/>
      <c r="CO138" s="35"/>
      <c r="CP138" s="35"/>
      <c r="CQ138" s="35"/>
      <c r="CR138" s="35"/>
      <c r="CS138" s="35"/>
      <c r="CT138" s="35"/>
      <c r="CU138" s="35"/>
      <c r="CV138" s="35"/>
      <c r="CW138" s="35"/>
      <c r="CX138" s="35"/>
      <c r="CY138" s="35"/>
      <c r="CZ138" s="35"/>
      <c r="DA138" s="35"/>
      <c r="DB138" s="35">
        <v>1</v>
      </c>
      <c r="DC138" s="35"/>
      <c r="DD138" s="35"/>
      <c r="DE138" s="35"/>
      <c r="DF138" s="35"/>
      <c r="DG138" s="35"/>
      <c r="DH138" s="35"/>
      <c r="DI138" s="35"/>
      <c r="DJ138" s="35"/>
      <c r="DK138" s="35"/>
      <c r="DL138" s="35"/>
      <c r="DM138" s="35"/>
      <c r="DN138" s="35"/>
      <c r="DO138" s="35"/>
      <c r="DP138" s="35"/>
      <c r="DQ138" s="35"/>
      <c r="DR138" s="35"/>
      <c r="DS138" s="35"/>
      <c r="DT138" s="35"/>
      <c r="DU138" s="35"/>
      <c r="DV138" s="35"/>
      <c r="DW138" s="28">
        <f t="shared" si="7"/>
        <v>0</v>
      </c>
      <c r="DX138" s="5"/>
    </row>
    <row r="139" spans="1:128" s="33" customFormat="1" x14ac:dyDescent="0.2">
      <c r="A139" s="47" t="s">
        <v>232</v>
      </c>
      <c r="B139" s="60">
        <f t="shared" si="6"/>
        <v>2.1999999999999993</v>
      </c>
      <c r="C139" s="52">
        <v>1.1000000000000001</v>
      </c>
      <c r="D139" s="54">
        <v>44970</v>
      </c>
      <c r="E139" s="62">
        <v>31.4</v>
      </c>
      <c r="F139" s="62">
        <f t="shared" si="5"/>
        <v>69.07999999999997</v>
      </c>
      <c r="G139" s="60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1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  <c r="AY139" s="35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  <c r="CD139" s="35"/>
      <c r="CE139" s="35"/>
      <c r="CF139" s="35"/>
      <c r="CG139" s="35"/>
      <c r="CH139" s="35"/>
      <c r="CI139" s="35"/>
      <c r="CJ139" s="35"/>
      <c r="CK139" s="35"/>
      <c r="CL139" s="35"/>
      <c r="CM139" s="35"/>
      <c r="CN139" s="35"/>
      <c r="CO139" s="35"/>
      <c r="CP139" s="35"/>
      <c r="CQ139" s="35"/>
      <c r="CR139" s="35"/>
      <c r="CS139" s="35">
        <v>22</v>
      </c>
      <c r="CT139" s="35"/>
      <c r="CU139" s="35"/>
      <c r="CV139" s="35">
        <v>22</v>
      </c>
      <c r="CW139" s="35"/>
      <c r="CX139" s="35"/>
      <c r="CY139" s="35"/>
      <c r="CZ139" s="35"/>
      <c r="DA139" s="35"/>
      <c r="DB139" s="35"/>
      <c r="DC139" s="35"/>
      <c r="DD139" s="35"/>
      <c r="DE139" s="35"/>
      <c r="DF139" s="35"/>
      <c r="DG139" s="35"/>
      <c r="DH139" s="35"/>
      <c r="DI139" s="35"/>
      <c r="DJ139" s="35"/>
      <c r="DK139" s="35"/>
      <c r="DL139" s="35"/>
      <c r="DM139" s="35"/>
      <c r="DN139" s="35"/>
      <c r="DO139" s="35"/>
      <c r="DP139" s="35"/>
      <c r="DQ139" s="35">
        <v>2.2000000000000002</v>
      </c>
      <c r="DR139" s="35"/>
      <c r="DS139" s="35"/>
      <c r="DT139" s="35"/>
      <c r="DU139" s="35"/>
      <c r="DV139" s="35"/>
      <c r="DW139" s="28">
        <f t="shared" si="7"/>
        <v>2.1999999999999993</v>
      </c>
      <c r="DX139" s="5"/>
    </row>
    <row r="140" spans="1:128" s="33" customFormat="1" x14ac:dyDescent="0.2">
      <c r="A140" s="39" t="s">
        <v>182</v>
      </c>
      <c r="B140" s="60">
        <f t="shared" si="6"/>
        <v>1</v>
      </c>
      <c r="C140" s="52">
        <v>1</v>
      </c>
      <c r="D140" s="54">
        <v>44970</v>
      </c>
      <c r="E140" s="62">
        <v>35.6</v>
      </c>
      <c r="F140" s="62">
        <f t="shared" si="5"/>
        <v>35.6</v>
      </c>
      <c r="G140" s="60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1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  <c r="AY140" s="35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  <c r="CD140" s="35"/>
      <c r="CE140" s="35"/>
      <c r="CF140" s="35"/>
      <c r="CG140" s="35"/>
      <c r="CH140" s="35"/>
      <c r="CI140" s="35"/>
      <c r="CJ140" s="35"/>
      <c r="CK140" s="35"/>
      <c r="CL140" s="35"/>
      <c r="CM140" s="35"/>
      <c r="CN140" s="35"/>
      <c r="CO140" s="35"/>
      <c r="CP140" s="35"/>
      <c r="CQ140" s="35"/>
      <c r="CR140" s="35"/>
      <c r="CS140" s="35"/>
      <c r="CT140" s="35"/>
      <c r="CU140" s="35"/>
      <c r="CV140" s="35"/>
      <c r="CW140" s="35"/>
      <c r="CX140" s="35"/>
      <c r="CY140" s="35"/>
      <c r="CZ140" s="35"/>
      <c r="DA140" s="35"/>
      <c r="DB140" s="35"/>
      <c r="DC140" s="35"/>
      <c r="DD140" s="35"/>
      <c r="DE140" s="35"/>
      <c r="DF140" s="35"/>
      <c r="DG140" s="35"/>
      <c r="DH140" s="35"/>
      <c r="DI140" s="35"/>
      <c r="DJ140" s="35"/>
      <c r="DK140" s="35"/>
      <c r="DL140" s="35"/>
      <c r="DM140" s="35"/>
      <c r="DN140" s="35"/>
      <c r="DO140" s="35"/>
      <c r="DP140" s="35"/>
      <c r="DQ140" s="35">
        <v>2</v>
      </c>
      <c r="DR140" s="35"/>
      <c r="DS140" s="35"/>
      <c r="DT140" s="35"/>
      <c r="DU140" s="35">
        <v>1</v>
      </c>
      <c r="DV140" s="35"/>
      <c r="DW140" s="28">
        <f t="shared" si="7"/>
        <v>1</v>
      </c>
      <c r="DX140" s="5"/>
    </row>
    <row r="141" spans="1:128" s="33" customFormat="1" x14ac:dyDescent="0.2">
      <c r="A141" s="39" t="s">
        <v>329</v>
      </c>
      <c r="B141" s="60">
        <f t="shared" si="6"/>
        <v>0</v>
      </c>
      <c r="C141" s="52">
        <v>0.9</v>
      </c>
      <c r="D141" s="54">
        <v>44970</v>
      </c>
      <c r="E141" s="62">
        <v>46.08</v>
      </c>
      <c r="F141" s="62">
        <f t="shared" si="5"/>
        <v>0</v>
      </c>
      <c r="G141" s="60">
        <v>0.9</v>
      </c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1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>
        <v>0.9</v>
      </c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  <c r="AY141" s="35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  <c r="CD141" s="35"/>
      <c r="CE141" s="35"/>
      <c r="CF141" s="35"/>
      <c r="CG141" s="35"/>
      <c r="CH141" s="35"/>
      <c r="CI141" s="35"/>
      <c r="CJ141" s="35"/>
      <c r="CK141" s="35"/>
      <c r="CL141" s="35"/>
      <c r="CM141" s="35"/>
      <c r="CN141" s="35"/>
      <c r="CO141" s="35"/>
      <c r="CP141" s="35"/>
      <c r="CQ141" s="35"/>
      <c r="CR141" s="35"/>
      <c r="CS141" s="35"/>
      <c r="CT141" s="35"/>
      <c r="CU141" s="35"/>
      <c r="CV141" s="35"/>
      <c r="CW141" s="35"/>
      <c r="CX141" s="35"/>
      <c r="CY141" s="35"/>
      <c r="CZ141" s="35"/>
      <c r="DA141" s="35"/>
      <c r="DB141" s="35"/>
      <c r="DC141" s="35"/>
      <c r="DD141" s="35"/>
      <c r="DE141" s="35"/>
      <c r="DF141" s="35"/>
      <c r="DG141" s="35"/>
      <c r="DH141" s="35"/>
      <c r="DI141" s="35"/>
      <c r="DJ141" s="35"/>
      <c r="DK141" s="35"/>
      <c r="DL141" s="35"/>
      <c r="DM141" s="35"/>
      <c r="DN141" s="35"/>
      <c r="DO141" s="35"/>
      <c r="DP141" s="35"/>
      <c r="DQ141" s="35">
        <v>1.8</v>
      </c>
      <c r="DR141" s="35"/>
      <c r="DS141" s="35"/>
      <c r="DT141" s="35">
        <v>1.8</v>
      </c>
      <c r="DU141" s="35"/>
      <c r="DV141" s="35"/>
      <c r="DW141" s="28">
        <f t="shared" si="7"/>
        <v>0</v>
      </c>
      <c r="DX141" s="5"/>
    </row>
    <row r="142" spans="1:128" s="33" customFormat="1" x14ac:dyDescent="0.2">
      <c r="A142" s="39" t="s">
        <v>474</v>
      </c>
      <c r="B142" s="60">
        <f t="shared" si="6"/>
        <v>0</v>
      </c>
      <c r="C142" s="52">
        <v>1</v>
      </c>
      <c r="D142" s="54">
        <v>44753</v>
      </c>
      <c r="E142" s="62">
        <v>45.7</v>
      </c>
      <c r="F142" s="62">
        <f t="shared" si="5"/>
        <v>0</v>
      </c>
      <c r="G142" s="60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1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  <c r="CD142" s="35"/>
      <c r="CE142" s="35"/>
      <c r="CF142" s="35"/>
      <c r="CG142" s="35"/>
      <c r="CH142" s="35"/>
      <c r="CI142" s="35"/>
      <c r="CJ142" s="35"/>
      <c r="CK142" s="35"/>
      <c r="CL142" s="35"/>
      <c r="CM142" s="35"/>
      <c r="CN142" s="35"/>
      <c r="CO142" s="35"/>
      <c r="CP142" s="35"/>
      <c r="CQ142" s="35"/>
      <c r="CR142" s="35"/>
      <c r="CS142" s="35"/>
      <c r="CT142" s="35"/>
      <c r="CU142" s="35"/>
      <c r="CV142" s="35"/>
      <c r="CW142" s="35"/>
      <c r="CX142" s="35"/>
      <c r="CY142" s="35"/>
      <c r="CZ142" s="35"/>
      <c r="DA142" s="35"/>
      <c r="DB142" s="35"/>
      <c r="DC142" s="35"/>
      <c r="DD142" s="35"/>
      <c r="DE142" s="35"/>
      <c r="DF142" s="35"/>
      <c r="DG142" s="35"/>
      <c r="DH142" s="35"/>
      <c r="DI142" s="35"/>
      <c r="DJ142" s="35"/>
      <c r="DK142" s="35"/>
      <c r="DL142" s="35"/>
      <c r="DM142" s="35"/>
      <c r="DN142" s="35"/>
      <c r="DO142" s="35"/>
      <c r="DP142" s="35"/>
      <c r="DQ142" s="35"/>
      <c r="DR142" s="35"/>
      <c r="DS142" s="35"/>
      <c r="DT142" s="35"/>
      <c r="DU142" s="35"/>
      <c r="DV142" s="35"/>
      <c r="DW142" s="28">
        <f t="shared" si="7"/>
        <v>0</v>
      </c>
      <c r="DX142" s="5"/>
    </row>
    <row r="143" spans="1:128" s="33" customFormat="1" x14ac:dyDescent="0.2">
      <c r="A143" s="39" t="s">
        <v>115</v>
      </c>
      <c r="B143" s="60">
        <f t="shared" si="6"/>
        <v>0</v>
      </c>
      <c r="C143" s="52">
        <v>1</v>
      </c>
      <c r="D143" s="54">
        <v>44949</v>
      </c>
      <c r="E143" s="62">
        <v>35.869999999999997</v>
      </c>
      <c r="F143" s="62">
        <f t="shared" si="5"/>
        <v>0</v>
      </c>
      <c r="G143" s="60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1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  <c r="AY143" s="35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  <c r="CD143" s="35"/>
      <c r="CE143" s="35"/>
      <c r="CF143" s="35"/>
      <c r="CG143" s="35"/>
      <c r="CH143" s="35"/>
      <c r="CI143" s="35"/>
      <c r="CJ143" s="35"/>
      <c r="CK143" s="35"/>
      <c r="CL143" s="35"/>
      <c r="CM143" s="35"/>
      <c r="CN143" s="35"/>
      <c r="CO143" s="35"/>
      <c r="CP143" s="35"/>
      <c r="CQ143" s="35"/>
      <c r="CR143" s="35"/>
      <c r="CS143" s="35">
        <v>5</v>
      </c>
      <c r="CT143" s="35"/>
      <c r="CU143" s="35"/>
      <c r="CV143" s="35">
        <v>5</v>
      </c>
      <c r="CW143" s="35"/>
      <c r="CX143" s="35"/>
      <c r="CY143" s="35"/>
      <c r="CZ143" s="35"/>
      <c r="DA143" s="35"/>
      <c r="DB143" s="35"/>
      <c r="DC143" s="35"/>
      <c r="DD143" s="35"/>
      <c r="DE143" s="35"/>
      <c r="DF143" s="35"/>
      <c r="DG143" s="35"/>
      <c r="DH143" s="35"/>
      <c r="DI143" s="35"/>
      <c r="DJ143" s="35"/>
      <c r="DK143" s="35"/>
      <c r="DL143" s="35"/>
      <c r="DM143" s="35"/>
      <c r="DN143" s="35"/>
      <c r="DO143" s="35"/>
      <c r="DP143" s="35"/>
      <c r="DQ143" s="35"/>
      <c r="DR143" s="35"/>
      <c r="DS143" s="35"/>
      <c r="DT143" s="35"/>
      <c r="DU143" s="35"/>
      <c r="DV143" s="35"/>
      <c r="DW143" s="28">
        <f t="shared" si="7"/>
        <v>0</v>
      </c>
      <c r="DX143" s="5"/>
    </row>
    <row r="144" spans="1:128" s="33" customFormat="1" x14ac:dyDescent="0.2">
      <c r="A144" s="39" t="s">
        <v>115</v>
      </c>
      <c r="B144" s="60">
        <f t="shared" si="6"/>
        <v>0</v>
      </c>
      <c r="C144" s="52">
        <v>10</v>
      </c>
      <c r="D144" s="54">
        <v>44949</v>
      </c>
      <c r="E144" s="62">
        <v>33.78</v>
      </c>
      <c r="F144" s="62">
        <f t="shared" si="5"/>
        <v>0</v>
      </c>
      <c r="G144" s="60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1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>
        <v>10</v>
      </c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  <c r="AY144" s="35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  <c r="CD144" s="35"/>
      <c r="CE144" s="35"/>
      <c r="CF144" s="35"/>
      <c r="CG144" s="35"/>
      <c r="CH144" s="35"/>
      <c r="CI144" s="35"/>
      <c r="CJ144" s="35"/>
      <c r="CK144" s="35"/>
      <c r="CL144" s="35"/>
      <c r="CM144" s="35"/>
      <c r="CN144" s="35"/>
      <c r="CO144" s="35"/>
      <c r="CP144" s="35"/>
      <c r="CQ144" s="35"/>
      <c r="CR144" s="35"/>
      <c r="CS144" s="35">
        <v>10</v>
      </c>
      <c r="CT144" s="35"/>
      <c r="CU144" s="35"/>
      <c r="CV144" s="35"/>
      <c r="CW144" s="35"/>
      <c r="CX144" s="35"/>
      <c r="CY144" s="35"/>
      <c r="CZ144" s="35"/>
      <c r="DA144" s="35"/>
      <c r="DB144" s="35"/>
      <c r="DC144" s="35"/>
      <c r="DD144" s="35"/>
      <c r="DE144" s="35"/>
      <c r="DF144" s="35"/>
      <c r="DG144" s="35"/>
      <c r="DH144" s="35"/>
      <c r="DI144" s="35"/>
      <c r="DJ144" s="35"/>
      <c r="DK144" s="35"/>
      <c r="DL144" s="35"/>
      <c r="DM144" s="35"/>
      <c r="DN144" s="35"/>
      <c r="DO144" s="35"/>
      <c r="DP144" s="35"/>
      <c r="DQ144" s="35"/>
      <c r="DR144" s="35"/>
      <c r="DS144" s="35"/>
      <c r="DT144" s="35"/>
      <c r="DU144" s="35"/>
      <c r="DV144" s="35"/>
      <c r="DW144" s="28">
        <f t="shared" si="7"/>
        <v>0</v>
      </c>
      <c r="DX144" s="5"/>
    </row>
    <row r="145" spans="1:128" s="33" customFormat="1" x14ac:dyDescent="0.2">
      <c r="A145" s="39" t="s">
        <v>288</v>
      </c>
      <c r="B145" s="60">
        <f t="shared" si="6"/>
        <v>0</v>
      </c>
      <c r="C145" s="52">
        <v>1</v>
      </c>
      <c r="D145" s="54">
        <v>44844</v>
      </c>
      <c r="E145" s="62">
        <v>61.78</v>
      </c>
      <c r="F145" s="62">
        <f t="shared" si="5"/>
        <v>0</v>
      </c>
      <c r="G145" s="60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1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  <c r="AY145" s="35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  <c r="CD145" s="35"/>
      <c r="CE145" s="35"/>
      <c r="CF145" s="35"/>
      <c r="CG145" s="35"/>
      <c r="CH145" s="35"/>
      <c r="CI145" s="35"/>
      <c r="CJ145" s="35"/>
      <c r="CK145" s="35"/>
      <c r="CL145" s="35"/>
      <c r="CM145" s="35"/>
      <c r="CN145" s="35"/>
      <c r="CO145" s="35"/>
      <c r="CP145" s="35"/>
      <c r="CQ145" s="35"/>
      <c r="CR145" s="35"/>
      <c r="CS145" s="35"/>
      <c r="CT145" s="35"/>
      <c r="CU145" s="35"/>
      <c r="CV145" s="35"/>
      <c r="CW145" s="35"/>
      <c r="CX145" s="35"/>
      <c r="CY145" s="35"/>
      <c r="CZ145" s="35"/>
      <c r="DA145" s="35"/>
      <c r="DB145" s="35"/>
      <c r="DC145" s="35"/>
      <c r="DD145" s="35"/>
      <c r="DE145" s="35"/>
      <c r="DF145" s="35"/>
      <c r="DG145" s="35"/>
      <c r="DH145" s="35"/>
      <c r="DI145" s="35"/>
      <c r="DJ145" s="35"/>
      <c r="DK145" s="35"/>
      <c r="DL145" s="35"/>
      <c r="DM145" s="35"/>
      <c r="DN145" s="35"/>
      <c r="DO145" s="35"/>
      <c r="DP145" s="35"/>
      <c r="DQ145" s="35"/>
      <c r="DR145" s="35"/>
      <c r="DS145" s="35"/>
      <c r="DT145" s="35"/>
      <c r="DU145" s="35"/>
      <c r="DV145" s="35"/>
      <c r="DW145" s="28">
        <f t="shared" si="7"/>
        <v>0</v>
      </c>
      <c r="DX145" s="5"/>
    </row>
    <row r="146" spans="1:128" s="33" customFormat="1" x14ac:dyDescent="0.2">
      <c r="A146" s="39" t="s">
        <v>193</v>
      </c>
      <c r="B146" s="60">
        <f t="shared" si="6"/>
        <v>10</v>
      </c>
      <c r="C146" s="52">
        <v>10</v>
      </c>
      <c r="D146" s="54">
        <v>44924</v>
      </c>
      <c r="E146" s="62">
        <v>42</v>
      </c>
      <c r="F146" s="62">
        <f t="shared" si="5"/>
        <v>420</v>
      </c>
      <c r="G146" s="60">
        <v>120</v>
      </c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1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>
        <v>100</v>
      </c>
      <c r="AU146" s="35"/>
      <c r="AV146" s="35"/>
      <c r="AW146" s="35"/>
      <c r="AX146" s="35"/>
      <c r="AY146" s="35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  <c r="CD146" s="35"/>
      <c r="CE146" s="35"/>
      <c r="CF146" s="35">
        <v>10</v>
      </c>
      <c r="CG146" s="35"/>
      <c r="CH146" s="35">
        <v>10</v>
      </c>
      <c r="CI146" s="35"/>
      <c r="CJ146" s="35"/>
      <c r="CK146" s="35"/>
      <c r="CL146" s="35"/>
      <c r="CM146" s="35"/>
      <c r="CN146" s="35"/>
      <c r="CO146" s="35"/>
      <c r="CP146" s="35"/>
      <c r="CQ146" s="35"/>
      <c r="CR146" s="35"/>
      <c r="CS146" s="35"/>
      <c r="CT146" s="35"/>
      <c r="CU146" s="35"/>
      <c r="CV146" s="35"/>
      <c r="CW146" s="35"/>
      <c r="CX146" s="35"/>
      <c r="CY146" s="35"/>
      <c r="CZ146" s="35"/>
      <c r="DA146" s="35"/>
      <c r="DB146" s="35"/>
      <c r="DC146" s="35"/>
      <c r="DD146" s="35"/>
      <c r="DE146" s="35"/>
      <c r="DF146" s="35"/>
      <c r="DG146" s="35"/>
      <c r="DH146" s="35"/>
      <c r="DI146" s="35"/>
      <c r="DJ146" s="35"/>
      <c r="DK146" s="35"/>
      <c r="DL146" s="35"/>
      <c r="DM146" s="35"/>
      <c r="DN146" s="35"/>
      <c r="DO146" s="35"/>
      <c r="DP146" s="35"/>
      <c r="DQ146" s="35"/>
      <c r="DR146" s="35"/>
      <c r="DS146" s="35"/>
      <c r="DT146" s="35"/>
      <c r="DU146" s="35"/>
      <c r="DV146" s="35"/>
      <c r="DW146" s="28">
        <f t="shared" si="7"/>
        <v>0</v>
      </c>
      <c r="DX146" s="5"/>
    </row>
    <row r="147" spans="1:128" s="33" customFormat="1" x14ac:dyDescent="0.2">
      <c r="A147" s="39" t="s">
        <v>150</v>
      </c>
      <c r="B147" s="60">
        <f t="shared" si="6"/>
        <v>0</v>
      </c>
      <c r="C147" s="52">
        <v>12</v>
      </c>
      <c r="D147" s="54">
        <v>44788</v>
      </c>
      <c r="E147" s="62">
        <v>23.41</v>
      </c>
      <c r="F147" s="62">
        <f t="shared" si="5"/>
        <v>0</v>
      </c>
      <c r="G147" s="60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1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  <c r="CD147" s="35"/>
      <c r="CE147" s="35"/>
      <c r="CF147" s="35"/>
      <c r="CG147" s="35"/>
      <c r="CH147" s="35"/>
      <c r="CI147" s="35"/>
      <c r="CJ147" s="35"/>
      <c r="CK147" s="35"/>
      <c r="CL147" s="35"/>
      <c r="CM147" s="35"/>
      <c r="CN147" s="35"/>
      <c r="CO147" s="35"/>
      <c r="CP147" s="35"/>
      <c r="CQ147" s="35"/>
      <c r="CR147" s="35"/>
      <c r="CS147" s="35"/>
      <c r="CT147" s="35"/>
      <c r="CU147" s="35"/>
      <c r="CV147" s="35"/>
      <c r="CW147" s="35"/>
      <c r="CX147" s="35"/>
      <c r="CY147" s="35"/>
      <c r="CZ147" s="35"/>
      <c r="DA147" s="35"/>
      <c r="DB147" s="35"/>
      <c r="DC147" s="35"/>
      <c r="DD147" s="35"/>
      <c r="DE147" s="35"/>
      <c r="DF147" s="35"/>
      <c r="DG147" s="35"/>
      <c r="DH147" s="35"/>
      <c r="DI147" s="35"/>
      <c r="DJ147" s="35"/>
      <c r="DK147" s="35"/>
      <c r="DL147" s="35"/>
      <c r="DM147" s="35"/>
      <c r="DN147" s="35"/>
      <c r="DO147" s="35"/>
      <c r="DP147" s="35"/>
      <c r="DQ147" s="35"/>
      <c r="DR147" s="35"/>
      <c r="DS147" s="35"/>
      <c r="DT147" s="35"/>
      <c r="DU147" s="35"/>
      <c r="DV147" s="35"/>
      <c r="DW147" s="28">
        <f t="shared" si="7"/>
        <v>0</v>
      </c>
      <c r="DX147" s="5"/>
    </row>
    <row r="148" spans="1:128" s="33" customFormat="1" x14ac:dyDescent="0.2">
      <c r="A148" s="39" t="s">
        <v>364</v>
      </c>
      <c r="B148" s="60">
        <f t="shared" si="6"/>
        <v>0</v>
      </c>
      <c r="C148" s="52">
        <v>0.9</v>
      </c>
      <c r="D148" s="54">
        <v>44672</v>
      </c>
      <c r="E148" s="62">
        <v>36.76</v>
      </c>
      <c r="F148" s="62">
        <f t="shared" si="5"/>
        <v>0</v>
      </c>
      <c r="G148" s="60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1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  <c r="AY148" s="35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  <c r="CD148" s="35"/>
      <c r="CE148" s="35"/>
      <c r="CF148" s="35"/>
      <c r="CG148" s="35"/>
      <c r="CH148" s="35"/>
      <c r="CI148" s="35"/>
      <c r="CJ148" s="35"/>
      <c r="CK148" s="35"/>
      <c r="CL148" s="35"/>
      <c r="CM148" s="35"/>
      <c r="CN148" s="35"/>
      <c r="CO148" s="35"/>
      <c r="CP148" s="35"/>
      <c r="CQ148" s="35"/>
      <c r="CR148" s="35"/>
      <c r="CS148" s="35"/>
      <c r="CT148" s="35"/>
      <c r="CU148" s="35"/>
      <c r="CV148" s="35"/>
      <c r="CW148" s="35"/>
      <c r="CX148" s="35"/>
      <c r="CY148" s="35"/>
      <c r="CZ148" s="35"/>
      <c r="DA148" s="35"/>
      <c r="DB148" s="35"/>
      <c r="DC148" s="35"/>
      <c r="DD148" s="35"/>
      <c r="DE148" s="35"/>
      <c r="DF148" s="35"/>
      <c r="DG148" s="35"/>
      <c r="DH148" s="35"/>
      <c r="DI148" s="35"/>
      <c r="DJ148" s="35"/>
      <c r="DK148" s="35"/>
      <c r="DL148" s="35"/>
      <c r="DM148" s="35"/>
      <c r="DN148" s="35"/>
      <c r="DO148" s="35"/>
      <c r="DP148" s="35"/>
      <c r="DQ148" s="35"/>
      <c r="DR148" s="35"/>
      <c r="DS148" s="35"/>
      <c r="DT148" s="35"/>
      <c r="DU148" s="35"/>
      <c r="DV148" s="35"/>
      <c r="DW148" s="28">
        <f t="shared" si="7"/>
        <v>0</v>
      </c>
      <c r="DX148" s="5"/>
    </row>
    <row r="149" spans="1:128" s="33" customFormat="1" x14ac:dyDescent="0.2">
      <c r="A149" s="39" t="s">
        <v>303</v>
      </c>
      <c r="B149" s="60">
        <f t="shared" si="6"/>
        <v>0</v>
      </c>
      <c r="C149" s="52">
        <v>11</v>
      </c>
      <c r="D149" s="54">
        <v>44697</v>
      </c>
      <c r="E149" s="62">
        <v>23.69</v>
      </c>
      <c r="F149" s="62">
        <f t="shared" si="5"/>
        <v>0</v>
      </c>
      <c r="G149" s="60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1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  <c r="AY149" s="35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  <c r="CD149" s="35"/>
      <c r="CE149" s="35"/>
      <c r="CF149" s="35"/>
      <c r="CG149" s="35"/>
      <c r="CH149" s="35"/>
      <c r="CI149" s="35"/>
      <c r="CJ149" s="35"/>
      <c r="CK149" s="35"/>
      <c r="CL149" s="35"/>
      <c r="CM149" s="35"/>
      <c r="CN149" s="35"/>
      <c r="CO149" s="35"/>
      <c r="CP149" s="35"/>
      <c r="CQ149" s="35"/>
      <c r="CR149" s="35"/>
      <c r="CS149" s="35"/>
      <c r="CT149" s="35"/>
      <c r="CU149" s="35"/>
      <c r="CV149" s="35"/>
      <c r="CW149" s="35"/>
      <c r="CX149" s="35"/>
      <c r="CY149" s="35"/>
      <c r="CZ149" s="35"/>
      <c r="DA149" s="35"/>
      <c r="DB149" s="35"/>
      <c r="DC149" s="35"/>
      <c r="DD149" s="35"/>
      <c r="DE149" s="35"/>
      <c r="DF149" s="35"/>
      <c r="DG149" s="35"/>
      <c r="DH149" s="35"/>
      <c r="DI149" s="35"/>
      <c r="DJ149" s="35"/>
      <c r="DK149" s="35"/>
      <c r="DL149" s="35"/>
      <c r="DM149" s="35"/>
      <c r="DN149" s="35"/>
      <c r="DO149" s="35"/>
      <c r="DP149" s="35"/>
      <c r="DQ149" s="35"/>
      <c r="DR149" s="35"/>
      <c r="DS149" s="35"/>
      <c r="DT149" s="35"/>
      <c r="DU149" s="35"/>
      <c r="DV149" s="35"/>
      <c r="DW149" s="28">
        <f t="shared" si="7"/>
        <v>0</v>
      </c>
      <c r="DX149" s="5"/>
    </row>
    <row r="150" spans="1:128" s="33" customFormat="1" x14ac:dyDescent="0.2">
      <c r="A150" s="39" t="s">
        <v>326</v>
      </c>
      <c r="B150" s="60">
        <f t="shared" si="6"/>
        <v>0</v>
      </c>
      <c r="C150" s="52">
        <v>10</v>
      </c>
      <c r="D150" s="54">
        <v>44914</v>
      </c>
      <c r="E150" s="62">
        <v>43.58</v>
      </c>
      <c r="F150" s="62">
        <f t="shared" si="5"/>
        <v>0</v>
      </c>
      <c r="G150" s="60">
        <v>50</v>
      </c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1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>
        <v>50</v>
      </c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  <c r="AY150" s="35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  <c r="CD150" s="35"/>
      <c r="CE150" s="35"/>
      <c r="CF150" s="35"/>
      <c r="CG150" s="35"/>
      <c r="CH150" s="35"/>
      <c r="CI150" s="35"/>
      <c r="CJ150" s="35"/>
      <c r="CK150" s="35"/>
      <c r="CL150" s="35"/>
      <c r="CM150" s="35"/>
      <c r="CN150" s="35"/>
      <c r="CO150" s="35"/>
      <c r="CP150" s="35"/>
      <c r="CQ150" s="35"/>
      <c r="CR150" s="35"/>
      <c r="CS150" s="35"/>
      <c r="CT150" s="35"/>
      <c r="CU150" s="35"/>
      <c r="CV150" s="35"/>
      <c r="CW150" s="35"/>
      <c r="CX150" s="35"/>
      <c r="CY150" s="35"/>
      <c r="CZ150" s="35"/>
      <c r="DA150" s="35"/>
      <c r="DB150" s="35"/>
      <c r="DC150" s="35"/>
      <c r="DD150" s="35"/>
      <c r="DE150" s="35"/>
      <c r="DF150" s="35"/>
      <c r="DG150" s="35"/>
      <c r="DH150" s="35"/>
      <c r="DI150" s="35"/>
      <c r="DJ150" s="35"/>
      <c r="DK150" s="35"/>
      <c r="DL150" s="35"/>
      <c r="DM150" s="35"/>
      <c r="DN150" s="35"/>
      <c r="DO150" s="35"/>
      <c r="DP150" s="35"/>
      <c r="DQ150" s="35"/>
      <c r="DR150" s="35"/>
      <c r="DS150" s="35"/>
      <c r="DT150" s="35"/>
      <c r="DU150" s="35"/>
      <c r="DV150" s="35"/>
      <c r="DW150" s="28">
        <f t="shared" si="7"/>
        <v>0</v>
      </c>
      <c r="DX150" s="5"/>
    </row>
    <row r="151" spans="1:128" s="33" customFormat="1" x14ac:dyDescent="0.2">
      <c r="A151" s="39" t="s">
        <v>269</v>
      </c>
      <c r="B151" s="60">
        <f t="shared" si="6"/>
        <v>0</v>
      </c>
      <c r="C151" s="52">
        <v>10</v>
      </c>
      <c r="D151" s="54">
        <v>44893</v>
      </c>
      <c r="E151" s="62">
        <v>44</v>
      </c>
      <c r="F151" s="62">
        <f t="shared" si="5"/>
        <v>0</v>
      </c>
      <c r="G151" s="60">
        <v>10</v>
      </c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1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  <c r="CD151" s="35"/>
      <c r="CE151" s="35"/>
      <c r="CF151" s="35"/>
      <c r="CG151" s="35">
        <v>10</v>
      </c>
      <c r="CH151" s="35"/>
      <c r="CI151" s="35"/>
      <c r="CJ151" s="35"/>
      <c r="CK151" s="35"/>
      <c r="CL151" s="35"/>
      <c r="CM151" s="35"/>
      <c r="CN151" s="35"/>
      <c r="CO151" s="35"/>
      <c r="CP151" s="35"/>
      <c r="CQ151" s="35"/>
      <c r="CR151" s="35"/>
      <c r="CS151" s="35"/>
      <c r="CT151" s="35"/>
      <c r="CU151" s="35"/>
      <c r="CV151" s="35"/>
      <c r="CW151" s="35"/>
      <c r="CX151" s="35"/>
      <c r="CY151" s="35"/>
      <c r="CZ151" s="35"/>
      <c r="DA151" s="35"/>
      <c r="DB151" s="35"/>
      <c r="DC151" s="35"/>
      <c r="DD151" s="35"/>
      <c r="DE151" s="35"/>
      <c r="DF151" s="35"/>
      <c r="DG151" s="35"/>
      <c r="DH151" s="35"/>
      <c r="DI151" s="35"/>
      <c r="DJ151" s="35"/>
      <c r="DK151" s="35"/>
      <c r="DL151" s="35"/>
      <c r="DM151" s="35"/>
      <c r="DN151" s="35"/>
      <c r="DO151" s="35"/>
      <c r="DP151" s="35"/>
      <c r="DQ151" s="35"/>
      <c r="DR151" s="35"/>
      <c r="DS151" s="35"/>
      <c r="DT151" s="35"/>
      <c r="DU151" s="35"/>
      <c r="DV151" s="35"/>
      <c r="DW151" s="28">
        <f t="shared" si="7"/>
        <v>0</v>
      </c>
      <c r="DX151" s="5"/>
    </row>
    <row r="152" spans="1:128" s="33" customFormat="1" x14ac:dyDescent="0.2">
      <c r="A152" s="39" t="s">
        <v>269</v>
      </c>
      <c r="B152" s="60">
        <f t="shared" si="6"/>
        <v>20</v>
      </c>
      <c r="C152" s="52">
        <v>10</v>
      </c>
      <c r="D152" s="54">
        <v>44914</v>
      </c>
      <c r="E152" s="62">
        <v>43.58</v>
      </c>
      <c r="F152" s="62">
        <f t="shared" si="5"/>
        <v>871.59999999999991</v>
      </c>
      <c r="G152" s="60">
        <v>20</v>
      </c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1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  <c r="AY152" s="35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  <c r="CD152" s="35"/>
      <c r="CE152" s="35"/>
      <c r="CF152" s="35"/>
      <c r="CG152" s="35"/>
      <c r="CH152" s="35">
        <v>20</v>
      </c>
      <c r="CI152" s="35"/>
      <c r="CJ152" s="35"/>
      <c r="CK152" s="35"/>
      <c r="CL152" s="35"/>
      <c r="CM152" s="35"/>
      <c r="CN152" s="35"/>
      <c r="CO152" s="35"/>
      <c r="CP152" s="35"/>
      <c r="CQ152" s="35"/>
      <c r="CR152" s="35"/>
      <c r="CS152" s="35"/>
      <c r="CT152" s="35"/>
      <c r="CU152" s="35"/>
      <c r="CV152" s="35"/>
      <c r="CW152" s="35"/>
      <c r="CX152" s="35"/>
      <c r="CY152" s="35"/>
      <c r="CZ152" s="35"/>
      <c r="DA152" s="35"/>
      <c r="DB152" s="35"/>
      <c r="DC152" s="35"/>
      <c r="DD152" s="35"/>
      <c r="DE152" s="35"/>
      <c r="DF152" s="35"/>
      <c r="DG152" s="35"/>
      <c r="DH152" s="35"/>
      <c r="DI152" s="35"/>
      <c r="DJ152" s="35"/>
      <c r="DK152" s="35"/>
      <c r="DL152" s="35"/>
      <c r="DM152" s="35"/>
      <c r="DN152" s="35"/>
      <c r="DO152" s="35"/>
      <c r="DP152" s="35"/>
      <c r="DQ152" s="35"/>
      <c r="DR152" s="35"/>
      <c r="DS152" s="35"/>
      <c r="DT152" s="35"/>
      <c r="DU152" s="35"/>
      <c r="DV152" s="35"/>
      <c r="DW152" s="28">
        <f t="shared" si="7"/>
        <v>0</v>
      </c>
      <c r="DX152" s="5"/>
    </row>
    <row r="153" spans="1:128" s="33" customFormat="1" x14ac:dyDescent="0.2">
      <c r="A153" s="39" t="s">
        <v>373</v>
      </c>
      <c r="B153" s="60">
        <f t="shared" si="6"/>
        <v>0</v>
      </c>
      <c r="C153" s="52">
        <v>10</v>
      </c>
      <c r="D153" s="54">
        <v>44851</v>
      </c>
      <c r="E153" s="62">
        <v>34.590000000000003</v>
      </c>
      <c r="F153" s="62">
        <f t="shared" si="5"/>
        <v>0</v>
      </c>
      <c r="G153" s="60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1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  <c r="CD153" s="35"/>
      <c r="CE153" s="35"/>
      <c r="CF153" s="35"/>
      <c r="CG153" s="35"/>
      <c r="CH153" s="35"/>
      <c r="CI153" s="35"/>
      <c r="CJ153" s="35"/>
      <c r="CK153" s="35"/>
      <c r="CL153" s="35"/>
      <c r="CM153" s="35"/>
      <c r="CN153" s="35"/>
      <c r="CO153" s="35"/>
      <c r="CP153" s="35"/>
      <c r="CQ153" s="35"/>
      <c r="CR153" s="35"/>
      <c r="CS153" s="35"/>
      <c r="CT153" s="35"/>
      <c r="CU153" s="35"/>
      <c r="CV153" s="35"/>
      <c r="CW153" s="35"/>
      <c r="CX153" s="35"/>
      <c r="CY153" s="35"/>
      <c r="CZ153" s="35"/>
      <c r="DA153" s="35"/>
      <c r="DB153" s="35"/>
      <c r="DC153" s="35"/>
      <c r="DD153" s="35"/>
      <c r="DE153" s="35"/>
      <c r="DF153" s="35"/>
      <c r="DG153" s="35"/>
      <c r="DH153" s="35"/>
      <c r="DI153" s="35"/>
      <c r="DJ153" s="35"/>
      <c r="DK153" s="35"/>
      <c r="DL153" s="35"/>
      <c r="DM153" s="35"/>
      <c r="DN153" s="35"/>
      <c r="DO153" s="35"/>
      <c r="DP153" s="35"/>
      <c r="DQ153" s="35"/>
      <c r="DR153" s="35"/>
      <c r="DS153" s="35"/>
      <c r="DT153" s="35"/>
      <c r="DU153" s="35"/>
      <c r="DV153" s="35"/>
      <c r="DW153" s="28">
        <f t="shared" si="7"/>
        <v>0</v>
      </c>
      <c r="DX153" s="5"/>
    </row>
    <row r="154" spans="1:128" s="33" customFormat="1" x14ac:dyDescent="0.2">
      <c r="A154" s="47" t="s">
        <v>171</v>
      </c>
      <c r="B154" s="60">
        <f t="shared" si="6"/>
        <v>0</v>
      </c>
      <c r="C154" s="52">
        <v>1</v>
      </c>
      <c r="D154" s="54">
        <v>44753</v>
      </c>
      <c r="E154" s="62">
        <v>60.12</v>
      </c>
      <c r="F154" s="62">
        <f t="shared" si="5"/>
        <v>0</v>
      </c>
      <c r="G154" s="60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1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  <c r="CD154" s="35"/>
      <c r="CE154" s="35"/>
      <c r="CF154" s="35"/>
      <c r="CG154" s="35"/>
      <c r="CH154" s="35"/>
      <c r="CI154" s="35"/>
      <c r="CJ154" s="35"/>
      <c r="CK154" s="35"/>
      <c r="CL154" s="35"/>
      <c r="CM154" s="35"/>
      <c r="CN154" s="35"/>
      <c r="CO154" s="35"/>
      <c r="CP154" s="35"/>
      <c r="CQ154" s="35"/>
      <c r="CR154" s="35"/>
      <c r="CS154" s="35"/>
      <c r="CT154" s="35"/>
      <c r="CU154" s="35"/>
      <c r="CV154" s="35"/>
      <c r="CW154" s="35"/>
      <c r="CX154" s="35"/>
      <c r="CY154" s="35"/>
      <c r="CZ154" s="35"/>
      <c r="DA154" s="35"/>
      <c r="DB154" s="35"/>
      <c r="DC154" s="35"/>
      <c r="DD154" s="35"/>
      <c r="DE154" s="35"/>
      <c r="DF154" s="35"/>
      <c r="DG154" s="35"/>
      <c r="DH154" s="35"/>
      <c r="DI154" s="35"/>
      <c r="DJ154" s="35"/>
      <c r="DK154" s="35"/>
      <c r="DL154" s="35"/>
      <c r="DM154" s="35"/>
      <c r="DN154" s="35"/>
      <c r="DO154" s="35"/>
      <c r="DP154" s="35"/>
      <c r="DQ154" s="35"/>
      <c r="DR154" s="35"/>
      <c r="DS154" s="35"/>
      <c r="DT154" s="35"/>
      <c r="DU154" s="35"/>
      <c r="DV154" s="35"/>
      <c r="DW154" s="28">
        <f t="shared" si="7"/>
        <v>0</v>
      </c>
      <c r="DX154" s="5"/>
    </row>
    <row r="155" spans="1:128" s="33" customFormat="1" x14ac:dyDescent="0.2">
      <c r="A155" s="47" t="s">
        <v>491</v>
      </c>
      <c r="B155" s="60">
        <f t="shared" si="6"/>
        <v>0</v>
      </c>
      <c r="C155" s="52">
        <v>1</v>
      </c>
      <c r="D155" s="54">
        <v>44753</v>
      </c>
      <c r="E155" s="62">
        <v>38.46</v>
      </c>
      <c r="F155" s="62">
        <f t="shared" si="5"/>
        <v>0</v>
      </c>
      <c r="G155" s="60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1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  <c r="CD155" s="35"/>
      <c r="CE155" s="35"/>
      <c r="CF155" s="35"/>
      <c r="CG155" s="35"/>
      <c r="CH155" s="35"/>
      <c r="CI155" s="35"/>
      <c r="CJ155" s="35"/>
      <c r="CK155" s="35"/>
      <c r="CL155" s="35"/>
      <c r="CM155" s="35"/>
      <c r="CN155" s="35"/>
      <c r="CO155" s="35"/>
      <c r="CP155" s="35"/>
      <c r="CQ155" s="35"/>
      <c r="CR155" s="35"/>
      <c r="CS155" s="35"/>
      <c r="CT155" s="35"/>
      <c r="CU155" s="35"/>
      <c r="CV155" s="35"/>
      <c r="CW155" s="35"/>
      <c r="CX155" s="35"/>
      <c r="CY155" s="35"/>
      <c r="CZ155" s="35"/>
      <c r="DA155" s="35"/>
      <c r="DB155" s="35"/>
      <c r="DC155" s="35"/>
      <c r="DD155" s="35"/>
      <c r="DE155" s="35"/>
      <c r="DF155" s="35"/>
      <c r="DG155" s="35"/>
      <c r="DH155" s="35"/>
      <c r="DI155" s="35"/>
      <c r="DJ155" s="35"/>
      <c r="DK155" s="35"/>
      <c r="DL155" s="35"/>
      <c r="DM155" s="35"/>
      <c r="DN155" s="35"/>
      <c r="DO155" s="35"/>
      <c r="DP155" s="35"/>
      <c r="DQ155" s="35"/>
      <c r="DR155" s="35"/>
      <c r="DS155" s="35"/>
      <c r="DT155" s="35"/>
      <c r="DU155" s="35"/>
      <c r="DV155" s="35"/>
      <c r="DW155" s="28">
        <f t="shared" si="7"/>
        <v>0</v>
      </c>
      <c r="DX155" s="5"/>
    </row>
    <row r="156" spans="1:128" s="33" customFormat="1" x14ac:dyDescent="0.2">
      <c r="A156" s="47" t="s">
        <v>32</v>
      </c>
      <c r="B156" s="60">
        <f t="shared" si="6"/>
        <v>500</v>
      </c>
      <c r="C156" s="52">
        <v>10</v>
      </c>
      <c r="D156" s="55" t="s">
        <v>553</v>
      </c>
      <c r="E156" s="62">
        <v>39.81</v>
      </c>
      <c r="F156" s="62">
        <f t="shared" si="5"/>
        <v>19905</v>
      </c>
      <c r="G156" s="60">
        <v>400</v>
      </c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15"/>
      <c r="V156" s="35"/>
      <c r="W156" s="35"/>
      <c r="X156" s="35"/>
      <c r="Y156" s="35"/>
      <c r="Z156" s="35"/>
      <c r="AA156" s="35"/>
      <c r="AB156" s="35"/>
      <c r="AC156" s="35"/>
      <c r="AD156" s="35">
        <v>200</v>
      </c>
      <c r="AE156" s="35"/>
      <c r="AF156" s="35"/>
      <c r="AG156" s="35"/>
      <c r="AH156" s="35"/>
      <c r="AI156" s="35">
        <v>500</v>
      </c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  <c r="CD156" s="35"/>
      <c r="CE156" s="35"/>
      <c r="CF156" s="35"/>
      <c r="CG156" s="35"/>
      <c r="CH156" s="35"/>
      <c r="CI156" s="35"/>
      <c r="CJ156" s="35"/>
      <c r="CK156" s="35"/>
      <c r="CL156" s="35"/>
      <c r="CM156" s="35"/>
      <c r="CN156" s="35"/>
      <c r="CO156" s="35"/>
      <c r="CP156" s="35"/>
      <c r="CQ156" s="35"/>
      <c r="CR156" s="35"/>
      <c r="CS156" s="35"/>
      <c r="CT156" s="35"/>
      <c r="CU156" s="35"/>
      <c r="CV156" s="35"/>
      <c r="CW156" s="35"/>
      <c r="CX156" s="35"/>
      <c r="CY156" s="35"/>
      <c r="CZ156" s="35"/>
      <c r="DA156" s="35"/>
      <c r="DB156" s="35">
        <v>300</v>
      </c>
      <c r="DC156" s="35"/>
      <c r="DD156" s="35"/>
      <c r="DE156" s="35"/>
      <c r="DF156" s="35"/>
      <c r="DG156" s="35"/>
      <c r="DH156" s="35"/>
      <c r="DI156" s="35"/>
      <c r="DJ156" s="35"/>
      <c r="DK156" s="35"/>
      <c r="DL156" s="35"/>
      <c r="DM156" s="35"/>
      <c r="DN156" s="35"/>
      <c r="DO156" s="35"/>
      <c r="DP156" s="35"/>
      <c r="DQ156" s="35"/>
      <c r="DR156" s="35"/>
      <c r="DS156" s="35"/>
      <c r="DT156" s="35"/>
      <c r="DU156" s="35"/>
      <c r="DV156" s="35"/>
      <c r="DW156" s="28">
        <f t="shared" si="7"/>
        <v>0</v>
      </c>
      <c r="DX156" s="5"/>
    </row>
    <row r="157" spans="1:128" s="33" customFormat="1" x14ac:dyDescent="0.2">
      <c r="A157" s="47" t="s">
        <v>341</v>
      </c>
      <c r="B157" s="60">
        <f t="shared" si="6"/>
        <v>0</v>
      </c>
      <c r="C157" s="52">
        <v>1</v>
      </c>
      <c r="D157" s="55">
        <v>44753</v>
      </c>
      <c r="E157" s="62">
        <v>48.1</v>
      </c>
      <c r="F157" s="62">
        <f t="shared" si="5"/>
        <v>0</v>
      </c>
      <c r="G157" s="60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1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  <c r="AY157" s="35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  <c r="CD157" s="35"/>
      <c r="CE157" s="35"/>
      <c r="CF157" s="35"/>
      <c r="CG157" s="35"/>
      <c r="CH157" s="35"/>
      <c r="CI157" s="35"/>
      <c r="CJ157" s="35"/>
      <c r="CK157" s="35"/>
      <c r="CL157" s="35"/>
      <c r="CM157" s="35"/>
      <c r="CN157" s="35"/>
      <c r="CO157" s="35"/>
      <c r="CP157" s="35"/>
      <c r="CQ157" s="35"/>
      <c r="CR157" s="35"/>
      <c r="CS157" s="35"/>
      <c r="CT157" s="35"/>
      <c r="CU157" s="35"/>
      <c r="CV157" s="35"/>
      <c r="CW157" s="35"/>
      <c r="CX157" s="35"/>
      <c r="CY157" s="35"/>
      <c r="CZ157" s="35"/>
      <c r="DA157" s="35"/>
      <c r="DB157" s="35"/>
      <c r="DC157" s="35"/>
      <c r="DD157" s="35"/>
      <c r="DE157" s="35"/>
      <c r="DF157" s="35"/>
      <c r="DG157" s="35"/>
      <c r="DH157" s="35"/>
      <c r="DI157" s="35"/>
      <c r="DJ157" s="35"/>
      <c r="DK157" s="35"/>
      <c r="DL157" s="35"/>
      <c r="DM157" s="35"/>
      <c r="DN157" s="35"/>
      <c r="DO157" s="35"/>
      <c r="DP157" s="35"/>
      <c r="DQ157" s="35"/>
      <c r="DR157" s="35"/>
      <c r="DS157" s="35"/>
      <c r="DT157" s="35"/>
      <c r="DU157" s="35"/>
      <c r="DV157" s="35"/>
      <c r="DW157" s="28">
        <f t="shared" si="7"/>
        <v>0</v>
      </c>
      <c r="DX157" s="5"/>
    </row>
    <row r="158" spans="1:128" s="33" customFormat="1" x14ac:dyDescent="0.2">
      <c r="A158" s="47" t="s">
        <v>61</v>
      </c>
      <c r="B158" s="60">
        <f t="shared" si="6"/>
        <v>0</v>
      </c>
      <c r="C158" s="52">
        <v>1</v>
      </c>
      <c r="D158" s="55">
        <v>44753</v>
      </c>
      <c r="E158" s="62">
        <v>45.7</v>
      </c>
      <c r="F158" s="62">
        <f t="shared" si="5"/>
        <v>0</v>
      </c>
      <c r="G158" s="60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1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  <c r="AY158" s="35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  <c r="CD158" s="35"/>
      <c r="CE158" s="35"/>
      <c r="CF158" s="35"/>
      <c r="CG158" s="35"/>
      <c r="CH158" s="35"/>
      <c r="CI158" s="35"/>
      <c r="CJ158" s="35"/>
      <c r="CK158" s="35"/>
      <c r="CL158" s="35"/>
      <c r="CM158" s="35"/>
      <c r="CN158" s="35"/>
      <c r="CO158" s="35"/>
      <c r="CP158" s="35"/>
      <c r="CQ158" s="35"/>
      <c r="CR158" s="35"/>
      <c r="CS158" s="35"/>
      <c r="CT158" s="35"/>
      <c r="CU158" s="35"/>
      <c r="CV158" s="35"/>
      <c r="CW158" s="35"/>
      <c r="CX158" s="35"/>
      <c r="CY158" s="35"/>
      <c r="CZ158" s="35"/>
      <c r="DA158" s="35"/>
      <c r="DB158" s="35"/>
      <c r="DC158" s="35"/>
      <c r="DD158" s="35"/>
      <c r="DE158" s="35"/>
      <c r="DF158" s="35"/>
      <c r="DG158" s="35"/>
      <c r="DH158" s="35"/>
      <c r="DI158" s="35"/>
      <c r="DJ158" s="35"/>
      <c r="DK158" s="35"/>
      <c r="DL158" s="35"/>
      <c r="DM158" s="35"/>
      <c r="DN158" s="35"/>
      <c r="DO158" s="35"/>
      <c r="DP158" s="35"/>
      <c r="DQ158" s="35"/>
      <c r="DR158" s="35"/>
      <c r="DS158" s="35"/>
      <c r="DT158" s="35"/>
      <c r="DU158" s="35"/>
      <c r="DV158" s="35"/>
      <c r="DW158" s="28">
        <f t="shared" si="7"/>
        <v>0</v>
      </c>
      <c r="DX158" s="5"/>
    </row>
    <row r="159" spans="1:128" s="33" customFormat="1" ht="14.25" customHeight="1" x14ac:dyDescent="0.2">
      <c r="A159" s="39" t="s">
        <v>163</v>
      </c>
      <c r="B159" s="60">
        <f t="shared" si="6"/>
        <v>0</v>
      </c>
      <c r="C159" s="52">
        <v>1</v>
      </c>
      <c r="D159" s="96">
        <v>44753</v>
      </c>
      <c r="E159" s="62">
        <v>45.7</v>
      </c>
      <c r="F159" s="62">
        <f t="shared" si="5"/>
        <v>0</v>
      </c>
      <c r="G159" s="60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1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  <c r="AY159" s="35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  <c r="CD159" s="35"/>
      <c r="CE159" s="35"/>
      <c r="CF159" s="35"/>
      <c r="CG159" s="35"/>
      <c r="CH159" s="35"/>
      <c r="CI159" s="35"/>
      <c r="CJ159" s="35"/>
      <c r="CK159" s="35"/>
      <c r="CL159" s="35"/>
      <c r="CM159" s="35"/>
      <c r="CN159" s="35"/>
      <c r="CO159" s="35"/>
      <c r="CP159" s="35"/>
      <c r="CQ159" s="35"/>
      <c r="CR159" s="35"/>
      <c r="CS159" s="35"/>
      <c r="CT159" s="35"/>
      <c r="CU159" s="35"/>
      <c r="CV159" s="35"/>
      <c r="CW159" s="35"/>
      <c r="CX159" s="35"/>
      <c r="CY159" s="35"/>
      <c r="CZ159" s="35"/>
      <c r="DA159" s="35"/>
      <c r="DB159" s="35"/>
      <c r="DC159" s="35"/>
      <c r="DD159" s="35"/>
      <c r="DE159" s="35"/>
      <c r="DF159" s="35"/>
      <c r="DG159" s="35"/>
      <c r="DH159" s="35"/>
      <c r="DI159" s="35"/>
      <c r="DJ159" s="35"/>
      <c r="DK159" s="35"/>
      <c r="DL159" s="35"/>
      <c r="DM159" s="35"/>
      <c r="DN159" s="35"/>
      <c r="DO159" s="35"/>
      <c r="DP159" s="35"/>
      <c r="DQ159" s="35"/>
      <c r="DR159" s="35"/>
      <c r="DS159" s="35"/>
      <c r="DT159" s="35"/>
      <c r="DU159" s="35"/>
      <c r="DV159" s="35"/>
      <c r="DW159" s="28">
        <f t="shared" si="7"/>
        <v>0</v>
      </c>
      <c r="DX159" s="5"/>
    </row>
    <row r="160" spans="1:128" s="33" customFormat="1" ht="14.25" customHeight="1" x14ac:dyDescent="0.2">
      <c r="A160" s="39" t="s">
        <v>176</v>
      </c>
      <c r="B160" s="60">
        <f t="shared" si="6"/>
        <v>10</v>
      </c>
      <c r="C160" s="52">
        <v>10</v>
      </c>
      <c r="D160" s="96">
        <v>44970</v>
      </c>
      <c r="E160" s="62">
        <v>54.44</v>
      </c>
      <c r="F160" s="62">
        <f t="shared" si="5"/>
        <v>544.4</v>
      </c>
      <c r="G160" s="60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1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  <c r="CD160" s="35"/>
      <c r="CE160" s="35"/>
      <c r="CF160" s="35"/>
      <c r="CG160" s="35"/>
      <c r="CH160" s="35"/>
      <c r="CI160" s="35"/>
      <c r="CJ160" s="35"/>
      <c r="CK160" s="35"/>
      <c r="CL160" s="35"/>
      <c r="CM160" s="35"/>
      <c r="CN160" s="35"/>
      <c r="CO160" s="35"/>
      <c r="CP160" s="35"/>
      <c r="CQ160" s="35"/>
      <c r="CR160" s="35"/>
      <c r="CS160" s="35"/>
      <c r="CT160" s="35"/>
      <c r="CU160" s="35"/>
      <c r="CV160" s="35"/>
      <c r="CW160" s="35"/>
      <c r="CX160" s="35"/>
      <c r="CY160" s="35"/>
      <c r="CZ160" s="35"/>
      <c r="DA160" s="35"/>
      <c r="DB160" s="35"/>
      <c r="DC160" s="35"/>
      <c r="DD160" s="35"/>
      <c r="DE160" s="35"/>
      <c r="DF160" s="35"/>
      <c r="DG160" s="35"/>
      <c r="DH160" s="35"/>
      <c r="DI160" s="35"/>
      <c r="DJ160" s="35"/>
      <c r="DK160" s="35"/>
      <c r="DL160" s="35"/>
      <c r="DM160" s="35"/>
      <c r="DN160" s="35"/>
      <c r="DO160" s="35"/>
      <c r="DP160" s="35"/>
      <c r="DQ160" s="35">
        <v>10</v>
      </c>
      <c r="DR160" s="35"/>
      <c r="DS160" s="35"/>
      <c r="DT160" s="35"/>
      <c r="DU160" s="35"/>
      <c r="DV160" s="35"/>
      <c r="DW160" s="28">
        <f t="shared" si="7"/>
        <v>10</v>
      </c>
      <c r="DX160" s="5"/>
    </row>
    <row r="161" spans="1:128" s="33" customFormat="1" ht="13.5" customHeight="1" x14ac:dyDescent="0.2">
      <c r="A161" s="47" t="s">
        <v>51</v>
      </c>
      <c r="B161" s="60">
        <f t="shared" si="6"/>
        <v>0</v>
      </c>
      <c r="C161" s="52">
        <v>10</v>
      </c>
      <c r="D161" s="54">
        <v>44914</v>
      </c>
      <c r="E161" s="62">
        <v>34.880000000000003</v>
      </c>
      <c r="F161" s="62">
        <f t="shared" si="5"/>
        <v>0</v>
      </c>
      <c r="G161" s="60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1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  <c r="AY161" s="35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  <c r="CD161" s="35"/>
      <c r="CE161" s="35"/>
      <c r="CF161" s="35"/>
      <c r="CG161" s="35"/>
      <c r="CH161" s="35"/>
      <c r="CI161" s="35"/>
      <c r="CJ161" s="35"/>
      <c r="CK161" s="35"/>
      <c r="CL161" s="35"/>
      <c r="CM161" s="35"/>
      <c r="CN161" s="35"/>
      <c r="CO161" s="35"/>
      <c r="CP161" s="35"/>
      <c r="CQ161" s="35"/>
      <c r="CR161" s="35"/>
      <c r="CS161" s="35"/>
      <c r="CT161" s="35"/>
      <c r="CU161" s="35"/>
      <c r="CV161" s="35"/>
      <c r="CW161" s="35"/>
      <c r="CX161" s="35"/>
      <c r="CY161" s="35"/>
      <c r="CZ161" s="35"/>
      <c r="DA161" s="35"/>
      <c r="DB161" s="35"/>
      <c r="DC161" s="35"/>
      <c r="DD161" s="35"/>
      <c r="DE161" s="35"/>
      <c r="DF161" s="35"/>
      <c r="DG161" s="35"/>
      <c r="DH161" s="35"/>
      <c r="DI161" s="35"/>
      <c r="DJ161" s="35"/>
      <c r="DK161" s="35"/>
      <c r="DL161" s="35"/>
      <c r="DM161" s="35"/>
      <c r="DN161" s="35"/>
      <c r="DO161" s="35"/>
      <c r="DP161" s="35"/>
      <c r="DQ161" s="35"/>
      <c r="DR161" s="35"/>
      <c r="DS161" s="35"/>
      <c r="DT161" s="35"/>
      <c r="DU161" s="35"/>
      <c r="DV161" s="35"/>
      <c r="DW161" s="28">
        <f t="shared" si="7"/>
        <v>0</v>
      </c>
      <c r="DX161" s="5"/>
    </row>
    <row r="162" spans="1:128" s="33" customFormat="1" ht="13.5" customHeight="1" x14ac:dyDescent="0.2">
      <c r="A162" s="47" t="s">
        <v>144</v>
      </c>
      <c r="B162" s="60">
        <f t="shared" si="6"/>
        <v>6</v>
      </c>
      <c r="C162" s="52">
        <v>1</v>
      </c>
      <c r="D162" s="55">
        <v>44970</v>
      </c>
      <c r="E162" s="62">
        <v>52.36</v>
      </c>
      <c r="F162" s="62">
        <f t="shared" ref="F162:F220" si="8">E162*B162</f>
        <v>314.15999999999997</v>
      </c>
      <c r="G162" s="60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1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  <c r="AY162" s="35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>
        <v>60</v>
      </c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  <c r="CD162" s="35"/>
      <c r="CE162" s="35"/>
      <c r="CF162" s="35"/>
      <c r="CG162" s="35"/>
      <c r="CH162" s="35"/>
      <c r="CI162" s="35"/>
      <c r="CJ162" s="35"/>
      <c r="CK162" s="35"/>
      <c r="CL162" s="35"/>
      <c r="CM162" s="35"/>
      <c r="CN162" s="35"/>
      <c r="CO162" s="35"/>
      <c r="CP162" s="35"/>
      <c r="CQ162" s="35"/>
      <c r="CR162" s="35"/>
      <c r="CS162" s="35"/>
      <c r="CT162" s="35"/>
      <c r="CU162" s="35"/>
      <c r="CV162" s="35"/>
      <c r="CW162" s="35"/>
      <c r="CX162" s="35"/>
      <c r="CY162" s="35"/>
      <c r="CZ162" s="35"/>
      <c r="DA162" s="35"/>
      <c r="DB162" s="35">
        <v>60</v>
      </c>
      <c r="DC162" s="35"/>
      <c r="DD162" s="35"/>
      <c r="DE162" s="35"/>
      <c r="DF162" s="35"/>
      <c r="DG162" s="35"/>
      <c r="DH162" s="35"/>
      <c r="DI162" s="35"/>
      <c r="DJ162" s="35"/>
      <c r="DK162" s="35"/>
      <c r="DL162" s="35"/>
      <c r="DM162" s="35"/>
      <c r="DN162" s="35"/>
      <c r="DO162" s="35"/>
      <c r="DP162" s="35"/>
      <c r="DQ162" s="35">
        <v>6</v>
      </c>
      <c r="DR162" s="35"/>
      <c r="DS162" s="35"/>
      <c r="DT162" s="35"/>
      <c r="DU162" s="35"/>
      <c r="DV162" s="35"/>
      <c r="DW162" s="28">
        <f t="shared" si="7"/>
        <v>6</v>
      </c>
      <c r="DX162" s="5"/>
    </row>
    <row r="163" spans="1:128" s="33" customFormat="1" ht="13.5" customHeight="1" x14ac:dyDescent="0.2">
      <c r="A163" s="47" t="s">
        <v>450</v>
      </c>
      <c r="B163" s="60">
        <f t="shared" si="6"/>
        <v>0</v>
      </c>
      <c r="C163" s="52">
        <v>10</v>
      </c>
      <c r="D163" s="55">
        <v>44824</v>
      </c>
      <c r="E163" s="62">
        <v>27.53</v>
      </c>
      <c r="F163" s="62">
        <f t="shared" si="8"/>
        <v>0</v>
      </c>
      <c r="G163" s="60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1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  <c r="AY163" s="35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  <c r="CD163" s="35"/>
      <c r="CE163" s="35"/>
      <c r="CF163" s="35"/>
      <c r="CG163" s="35"/>
      <c r="CH163" s="35"/>
      <c r="CI163" s="35"/>
      <c r="CJ163" s="35"/>
      <c r="CK163" s="35"/>
      <c r="CL163" s="35"/>
      <c r="CM163" s="35"/>
      <c r="CN163" s="35"/>
      <c r="CO163" s="35"/>
      <c r="CP163" s="35"/>
      <c r="CQ163" s="35"/>
      <c r="CR163" s="35"/>
      <c r="CS163" s="35"/>
      <c r="CT163" s="35"/>
      <c r="CU163" s="35"/>
      <c r="CV163" s="35"/>
      <c r="CW163" s="35"/>
      <c r="CX163" s="35"/>
      <c r="CY163" s="35"/>
      <c r="CZ163" s="35"/>
      <c r="DA163" s="35"/>
      <c r="DB163" s="35"/>
      <c r="DC163" s="35"/>
      <c r="DD163" s="35"/>
      <c r="DE163" s="35"/>
      <c r="DF163" s="35"/>
      <c r="DG163" s="35"/>
      <c r="DH163" s="35"/>
      <c r="DI163" s="35"/>
      <c r="DJ163" s="35"/>
      <c r="DK163" s="35"/>
      <c r="DL163" s="35"/>
      <c r="DM163" s="35"/>
      <c r="DN163" s="35"/>
      <c r="DO163" s="35"/>
      <c r="DP163" s="35"/>
      <c r="DQ163" s="35"/>
      <c r="DR163" s="35"/>
      <c r="DS163" s="35"/>
      <c r="DT163" s="35"/>
      <c r="DU163" s="35"/>
      <c r="DV163" s="35"/>
      <c r="DW163" s="28">
        <f t="shared" si="7"/>
        <v>0</v>
      </c>
      <c r="DX163" s="5"/>
    </row>
    <row r="164" spans="1:128" s="33" customFormat="1" ht="13.5" customHeight="1" x14ac:dyDescent="0.2">
      <c r="A164" s="47" t="s">
        <v>477</v>
      </c>
      <c r="B164" s="60">
        <f t="shared" si="6"/>
        <v>0</v>
      </c>
      <c r="C164" s="52">
        <v>1</v>
      </c>
      <c r="D164" s="55">
        <v>44753</v>
      </c>
      <c r="E164" s="62">
        <v>28.87</v>
      </c>
      <c r="F164" s="62">
        <f t="shared" si="8"/>
        <v>0</v>
      </c>
      <c r="G164" s="60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1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  <c r="CD164" s="35"/>
      <c r="CE164" s="35"/>
      <c r="CF164" s="35"/>
      <c r="CG164" s="35"/>
      <c r="CH164" s="35"/>
      <c r="CI164" s="35"/>
      <c r="CJ164" s="35"/>
      <c r="CK164" s="35"/>
      <c r="CL164" s="35"/>
      <c r="CM164" s="35"/>
      <c r="CN164" s="35"/>
      <c r="CO164" s="35"/>
      <c r="CP164" s="35"/>
      <c r="CQ164" s="35"/>
      <c r="CR164" s="35"/>
      <c r="CS164" s="35"/>
      <c r="CT164" s="35"/>
      <c r="CU164" s="35"/>
      <c r="CV164" s="35"/>
      <c r="CW164" s="35"/>
      <c r="CX164" s="35"/>
      <c r="CY164" s="35"/>
      <c r="CZ164" s="35"/>
      <c r="DA164" s="35"/>
      <c r="DB164" s="35"/>
      <c r="DC164" s="35"/>
      <c r="DD164" s="35"/>
      <c r="DE164" s="35"/>
      <c r="DF164" s="35"/>
      <c r="DG164" s="35"/>
      <c r="DH164" s="35"/>
      <c r="DI164" s="35"/>
      <c r="DJ164" s="35"/>
      <c r="DK164" s="35"/>
      <c r="DL164" s="35"/>
      <c r="DM164" s="35"/>
      <c r="DN164" s="35"/>
      <c r="DO164" s="35"/>
      <c r="DP164" s="35"/>
      <c r="DQ164" s="35"/>
      <c r="DR164" s="35"/>
      <c r="DS164" s="35"/>
      <c r="DT164" s="35"/>
      <c r="DU164" s="35"/>
      <c r="DV164" s="35"/>
      <c r="DW164" s="28">
        <f t="shared" si="7"/>
        <v>0</v>
      </c>
      <c r="DX164" s="5"/>
    </row>
    <row r="165" spans="1:128" s="33" customFormat="1" x14ac:dyDescent="0.2">
      <c r="A165" s="23" t="s">
        <v>15</v>
      </c>
      <c r="B165" s="60">
        <f t="shared" si="6"/>
        <v>0</v>
      </c>
      <c r="C165" s="52">
        <v>9</v>
      </c>
      <c r="D165" s="54">
        <v>44956</v>
      </c>
      <c r="E165" s="62">
        <v>50.43</v>
      </c>
      <c r="F165" s="62">
        <f t="shared" si="8"/>
        <v>0</v>
      </c>
      <c r="G165" s="60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1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>
        <v>27</v>
      </c>
      <c r="BY165" s="35"/>
      <c r="BZ165" s="35"/>
      <c r="CA165" s="35"/>
      <c r="CB165" s="35"/>
      <c r="CC165" s="35"/>
      <c r="CD165" s="35"/>
      <c r="CE165" s="35"/>
      <c r="CF165" s="35"/>
      <c r="CG165" s="35"/>
      <c r="CH165" s="35"/>
      <c r="CI165" s="35"/>
      <c r="CJ165" s="35"/>
      <c r="CK165" s="35"/>
      <c r="CL165" s="35"/>
      <c r="CM165" s="35"/>
      <c r="CN165" s="35"/>
      <c r="CO165" s="35"/>
      <c r="CP165" s="35"/>
      <c r="CQ165" s="35"/>
      <c r="CR165" s="35"/>
      <c r="CS165" s="35"/>
      <c r="CT165" s="35"/>
      <c r="CU165" s="35"/>
      <c r="CV165" s="35"/>
      <c r="CW165" s="35"/>
      <c r="CX165" s="35"/>
      <c r="CY165" s="35"/>
      <c r="CZ165" s="35"/>
      <c r="DA165" s="35"/>
      <c r="DB165" s="35">
        <v>27</v>
      </c>
      <c r="DC165" s="35"/>
      <c r="DD165" s="35"/>
      <c r="DE165" s="35"/>
      <c r="DF165" s="35"/>
      <c r="DG165" s="35"/>
      <c r="DH165" s="35"/>
      <c r="DI165" s="35"/>
      <c r="DJ165" s="35"/>
      <c r="DK165" s="35"/>
      <c r="DL165" s="35"/>
      <c r="DM165" s="35"/>
      <c r="DN165" s="35"/>
      <c r="DO165" s="35"/>
      <c r="DP165" s="35"/>
      <c r="DQ165" s="35"/>
      <c r="DR165" s="35"/>
      <c r="DS165" s="35"/>
      <c r="DT165" s="35"/>
      <c r="DU165" s="35"/>
      <c r="DV165" s="35"/>
      <c r="DW165" s="28">
        <f t="shared" si="7"/>
        <v>0</v>
      </c>
      <c r="DX165" s="5"/>
    </row>
    <row r="166" spans="1:128" s="33" customFormat="1" x14ac:dyDescent="0.2">
      <c r="A166" s="47" t="s">
        <v>95</v>
      </c>
      <c r="B166" s="60">
        <f t="shared" si="6"/>
        <v>0</v>
      </c>
      <c r="C166" s="52">
        <v>8</v>
      </c>
      <c r="D166" s="54">
        <v>44956</v>
      </c>
      <c r="E166" s="62">
        <v>71.400000000000006</v>
      </c>
      <c r="F166" s="62">
        <f t="shared" si="8"/>
        <v>0</v>
      </c>
      <c r="G166" s="60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1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  <c r="AY166" s="35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  <c r="CD166" s="35"/>
      <c r="CE166" s="35"/>
      <c r="CF166" s="35"/>
      <c r="CG166" s="35"/>
      <c r="CH166" s="35"/>
      <c r="CI166" s="35"/>
      <c r="CJ166" s="35"/>
      <c r="CK166" s="35"/>
      <c r="CL166" s="35"/>
      <c r="CM166" s="35"/>
      <c r="CN166" s="35"/>
      <c r="CO166" s="35"/>
      <c r="CP166" s="35"/>
      <c r="CQ166" s="35"/>
      <c r="CR166" s="35"/>
      <c r="CS166" s="35"/>
      <c r="CT166" s="35"/>
      <c r="CU166" s="35"/>
      <c r="CV166" s="35"/>
      <c r="CW166" s="35"/>
      <c r="CX166" s="35"/>
      <c r="CY166" s="35"/>
      <c r="CZ166" s="35"/>
      <c r="DA166" s="35"/>
      <c r="DB166" s="35">
        <v>32</v>
      </c>
      <c r="DC166" s="35"/>
      <c r="DD166" s="35"/>
      <c r="DE166" s="35">
        <v>32</v>
      </c>
      <c r="DF166" s="35"/>
      <c r="DG166" s="35"/>
      <c r="DH166" s="35"/>
      <c r="DI166" s="35"/>
      <c r="DJ166" s="35"/>
      <c r="DK166" s="35"/>
      <c r="DL166" s="35"/>
      <c r="DM166" s="35"/>
      <c r="DN166" s="35"/>
      <c r="DO166" s="35"/>
      <c r="DP166" s="35"/>
      <c r="DQ166" s="35"/>
      <c r="DR166" s="35"/>
      <c r="DS166" s="35"/>
      <c r="DT166" s="35"/>
      <c r="DU166" s="35"/>
      <c r="DV166" s="35"/>
      <c r="DW166" s="28">
        <f t="shared" si="7"/>
        <v>0</v>
      </c>
      <c r="DX166" s="5"/>
    </row>
    <row r="167" spans="1:128" s="33" customFormat="1" x14ac:dyDescent="0.2">
      <c r="A167" s="39" t="s">
        <v>59</v>
      </c>
      <c r="B167" s="60">
        <f t="shared" si="6"/>
        <v>32</v>
      </c>
      <c r="C167" s="52">
        <v>8</v>
      </c>
      <c r="D167" s="55" t="s">
        <v>575</v>
      </c>
      <c r="E167" s="62">
        <v>52.51</v>
      </c>
      <c r="F167" s="62">
        <f t="shared" si="8"/>
        <v>1680.32</v>
      </c>
      <c r="G167" s="60">
        <v>32</v>
      </c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1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  <c r="AY167" s="35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>
        <v>16</v>
      </c>
      <c r="BM167" s="35">
        <v>16</v>
      </c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  <c r="CD167" s="35"/>
      <c r="CE167" s="35"/>
      <c r="CF167" s="35">
        <v>8</v>
      </c>
      <c r="CG167" s="35">
        <v>8</v>
      </c>
      <c r="CH167" s="35"/>
      <c r="CI167" s="35"/>
      <c r="CJ167" s="35"/>
      <c r="CK167" s="35"/>
      <c r="CL167" s="35"/>
      <c r="CM167" s="35"/>
      <c r="CN167" s="35"/>
      <c r="CO167" s="35"/>
      <c r="CP167" s="35"/>
      <c r="CQ167" s="35"/>
      <c r="CR167" s="35"/>
      <c r="CS167" s="35">
        <v>16</v>
      </c>
      <c r="CT167" s="35"/>
      <c r="CU167" s="35"/>
      <c r="CV167" s="35"/>
      <c r="CW167" s="35"/>
      <c r="CX167" s="35"/>
      <c r="CY167" s="35"/>
      <c r="CZ167" s="35"/>
      <c r="DA167" s="35"/>
      <c r="DB167" s="35"/>
      <c r="DC167" s="35"/>
      <c r="DD167" s="35"/>
      <c r="DE167" s="35"/>
      <c r="DF167" s="35"/>
      <c r="DG167" s="35"/>
      <c r="DH167" s="35"/>
      <c r="DI167" s="35"/>
      <c r="DJ167" s="35"/>
      <c r="DK167" s="35"/>
      <c r="DL167" s="35"/>
      <c r="DM167" s="35"/>
      <c r="DN167" s="35"/>
      <c r="DO167" s="35"/>
      <c r="DP167" s="35"/>
      <c r="DQ167" s="35">
        <v>16</v>
      </c>
      <c r="DR167" s="35"/>
      <c r="DS167" s="35"/>
      <c r="DT167" s="35"/>
      <c r="DU167" s="35"/>
      <c r="DV167" s="35"/>
      <c r="DW167" s="28">
        <f t="shared" si="7"/>
        <v>16</v>
      </c>
      <c r="DX167" s="5"/>
    </row>
    <row r="168" spans="1:128" s="33" customFormat="1" x14ac:dyDescent="0.2">
      <c r="A168" s="39" t="s">
        <v>465</v>
      </c>
      <c r="B168" s="60">
        <f t="shared" si="6"/>
        <v>0</v>
      </c>
      <c r="C168" s="52">
        <v>5</v>
      </c>
      <c r="D168" s="55">
        <v>44886</v>
      </c>
      <c r="E168" s="62">
        <v>30.73</v>
      </c>
      <c r="F168" s="62">
        <f t="shared" si="8"/>
        <v>0</v>
      </c>
      <c r="G168" s="60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1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  <c r="CD168" s="35"/>
      <c r="CE168" s="35"/>
      <c r="CF168" s="35"/>
      <c r="CG168" s="35"/>
      <c r="CH168" s="35"/>
      <c r="CI168" s="35"/>
      <c r="CJ168" s="35"/>
      <c r="CK168" s="35"/>
      <c r="CL168" s="35"/>
      <c r="CM168" s="35"/>
      <c r="CN168" s="35"/>
      <c r="CO168" s="35"/>
      <c r="CP168" s="35"/>
      <c r="CQ168" s="35"/>
      <c r="CR168" s="35"/>
      <c r="CS168" s="35"/>
      <c r="CT168" s="35"/>
      <c r="CU168" s="35"/>
      <c r="CV168" s="35"/>
      <c r="CW168" s="35"/>
      <c r="CX168" s="35"/>
      <c r="CY168" s="35"/>
      <c r="CZ168" s="35"/>
      <c r="DA168" s="35"/>
      <c r="DB168" s="35"/>
      <c r="DC168" s="35"/>
      <c r="DD168" s="35"/>
      <c r="DE168" s="35"/>
      <c r="DF168" s="35"/>
      <c r="DG168" s="35"/>
      <c r="DH168" s="35"/>
      <c r="DI168" s="35"/>
      <c r="DJ168" s="35"/>
      <c r="DK168" s="35"/>
      <c r="DL168" s="35"/>
      <c r="DM168" s="35"/>
      <c r="DN168" s="35"/>
      <c r="DO168" s="35"/>
      <c r="DP168" s="35"/>
      <c r="DQ168" s="35"/>
      <c r="DR168" s="35"/>
      <c r="DS168" s="35"/>
      <c r="DT168" s="35"/>
      <c r="DU168" s="35"/>
      <c r="DV168" s="35"/>
      <c r="DW168" s="28">
        <f t="shared" si="7"/>
        <v>0</v>
      </c>
      <c r="DX168" s="5"/>
    </row>
    <row r="169" spans="1:128" s="33" customFormat="1" x14ac:dyDescent="0.2">
      <c r="A169" s="47" t="s">
        <v>211</v>
      </c>
      <c r="B169" s="60">
        <f t="shared" si="6"/>
        <v>10</v>
      </c>
      <c r="C169" s="52">
        <v>10</v>
      </c>
      <c r="D169" s="55">
        <v>44970</v>
      </c>
      <c r="E169" s="62">
        <v>20.96</v>
      </c>
      <c r="F169" s="62">
        <f t="shared" si="8"/>
        <v>209.60000000000002</v>
      </c>
      <c r="G169" s="60">
        <v>10</v>
      </c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1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>
        <v>10</v>
      </c>
      <c r="AP169" s="35"/>
      <c r="AQ169" s="35"/>
      <c r="AR169" s="35"/>
      <c r="AS169" s="35"/>
      <c r="AT169" s="35"/>
      <c r="AU169" s="35"/>
      <c r="AV169" s="35"/>
      <c r="AW169" s="35"/>
      <c r="AX169" s="35"/>
      <c r="AY169" s="35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  <c r="CD169" s="35"/>
      <c r="CE169" s="35"/>
      <c r="CF169" s="35"/>
      <c r="CG169" s="35"/>
      <c r="CH169" s="35"/>
      <c r="CI169" s="35">
        <v>10</v>
      </c>
      <c r="CJ169" s="35"/>
      <c r="CK169" s="35"/>
      <c r="CL169" s="35"/>
      <c r="CM169" s="35"/>
      <c r="CN169" s="35"/>
      <c r="CO169" s="35"/>
      <c r="CP169" s="35"/>
      <c r="CQ169" s="35"/>
      <c r="CR169" s="35"/>
      <c r="CS169" s="35">
        <v>10</v>
      </c>
      <c r="CT169" s="35"/>
      <c r="CU169" s="35"/>
      <c r="CV169" s="35"/>
      <c r="CW169" s="35"/>
      <c r="CX169" s="35"/>
      <c r="CY169" s="35"/>
      <c r="CZ169" s="35"/>
      <c r="DA169" s="35"/>
      <c r="DB169" s="35"/>
      <c r="DC169" s="35"/>
      <c r="DD169" s="35"/>
      <c r="DE169" s="35"/>
      <c r="DF169" s="35"/>
      <c r="DG169" s="35"/>
      <c r="DH169" s="35"/>
      <c r="DI169" s="35"/>
      <c r="DJ169" s="35"/>
      <c r="DK169" s="35"/>
      <c r="DL169" s="35"/>
      <c r="DM169" s="35"/>
      <c r="DN169" s="35"/>
      <c r="DO169" s="35"/>
      <c r="DP169" s="35"/>
      <c r="DQ169" s="35">
        <v>10</v>
      </c>
      <c r="DR169" s="35"/>
      <c r="DS169" s="35"/>
      <c r="DT169" s="35"/>
      <c r="DU169" s="35"/>
      <c r="DV169" s="35"/>
      <c r="DW169" s="28">
        <f t="shared" si="7"/>
        <v>10</v>
      </c>
      <c r="DX169" s="5"/>
    </row>
    <row r="170" spans="1:128" s="33" customFormat="1" x14ac:dyDescent="0.2">
      <c r="A170" s="47" t="s">
        <v>187</v>
      </c>
      <c r="B170" s="60">
        <f t="shared" si="6"/>
        <v>0</v>
      </c>
      <c r="C170" s="52">
        <v>8</v>
      </c>
      <c r="D170" s="55">
        <v>44879</v>
      </c>
      <c r="E170" s="62">
        <v>64.27</v>
      </c>
      <c r="F170" s="62">
        <f t="shared" si="8"/>
        <v>0</v>
      </c>
      <c r="G170" s="60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1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  <c r="AY170" s="35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  <c r="CD170" s="35"/>
      <c r="CE170" s="35"/>
      <c r="CF170" s="35"/>
      <c r="CG170" s="35"/>
      <c r="CH170" s="35"/>
      <c r="CI170" s="35"/>
      <c r="CJ170" s="35"/>
      <c r="CK170" s="35"/>
      <c r="CL170" s="35"/>
      <c r="CM170" s="35"/>
      <c r="CN170" s="35"/>
      <c r="CO170" s="35"/>
      <c r="CP170" s="35"/>
      <c r="CQ170" s="35"/>
      <c r="CR170" s="35"/>
      <c r="CS170" s="35"/>
      <c r="CT170" s="35"/>
      <c r="CU170" s="35"/>
      <c r="CV170" s="35"/>
      <c r="CW170" s="35"/>
      <c r="CX170" s="35"/>
      <c r="CY170" s="35"/>
      <c r="CZ170" s="35"/>
      <c r="DA170" s="35"/>
      <c r="DB170" s="35"/>
      <c r="DC170" s="35"/>
      <c r="DD170" s="35"/>
      <c r="DE170" s="35"/>
      <c r="DF170" s="35"/>
      <c r="DG170" s="35"/>
      <c r="DH170" s="35"/>
      <c r="DI170" s="35"/>
      <c r="DJ170" s="35"/>
      <c r="DK170" s="35"/>
      <c r="DL170" s="35"/>
      <c r="DM170" s="35"/>
      <c r="DN170" s="35"/>
      <c r="DO170" s="35"/>
      <c r="DP170" s="35"/>
      <c r="DQ170" s="35"/>
      <c r="DR170" s="35"/>
      <c r="DS170" s="35"/>
      <c r="DT170" s="35"/>
      <c r="DU170" s="35"/>
      <c r="DV170" s="35"/>
      <c r="DW170" s="28">
        <f t="shared" si="7"/>
        <v>0</v>
      </c>
      <c r="DX170" s="5"/>
    </row>
    <row r="171" spans="1:128" s="33" customFormat="1" x14ac:dyDescent="0.2">
      <c r="A171" s="47" t="s">
        <v>262</v>
      </c>
      <c r="B171" s="60">
        <f t="shared" si="6"/>
        <v>0</v>
      </c>
      <c r="C171" s="52">
        <v>1</v>
      </c>
      <c r="D171" s="55">
        <v>44795</v>
      </c>
      <c r="E171" s="62">
        <v>41.25</v>
      </c>
      <c r="F171" s="62">
        <f t="shared" si="8"/>
        <v>0</v>
      </c>
      <c r="G171" s="60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1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  <c r="CD171" s="35"/>
      <c r="CE171" s="35"/>
      <c r="CF171" s="35"/>
      <c r="CG171" s="35"/>
      <c r="CH171" s="35"/>
      <c r="CI171" s="35"/>
      <c r="CJ171" s="35"/>
      <c r="CK171" s="35"/>
      <c r="CL171" s="35"/>
      <c r="CM171" s="35"/>
      <c r="CN171" s="35"/>
      <c r="CO171" s="35"/>
      <c r="CP171" s="35"/>
      <c r="CQ171" s="35"/>
      <c r="CR171" s="35"/>
      <c r="CS171" s="35"/>
      <c r="CT171" s="35"/>
      <c r="CU171" s="35"/>
      <c r="CV171" s="35"/>
      <c r="CW171" s="35"/>
      <c r="CX171" s="35"/>
      <c r="CY171" s="35"/>
      <c r="CZ171" s="35"/>
      <c r="DA171" s="35"/>
      <c r="DB171" s="35"/>
      <c r="DC171" s="35"/>
      <c r="DD171" s="35"/>
      <c r="DE171" s="35"/>
      <c r="DF171" s="35"/>
      <c r="DG171" s="35"/>
      <c r="DH171" s="35"/>
      <c r="DI171" s="35"/>
      <c r="DJ171" s="35"/>
      <c r="DK171" s="35"/>
      <c r="DL171" s="35"/>
      <c r="DM171" s="35"/>
      <c r="DN171" s="35"/>
      <c r="DO171" s="35"/>
      <c r="DP171" s="35"/>
      <c r="DQ171" s="35"/>
      <c r="DR171" s="35"/>
      <c r="DS171" s="35"/>
      <c r="DT171" s="35"/>
      <c r="DU171" s="35"/>
      <c r="DV171" s="35"/>
      <c r="DW171" s="28">
        <f t="shared" si="7"/>
        <v>0</v>
      </c>
      <c r="DX171" s="5"/>
    </row>
    <row r="172" spans="1:128" s="33" customFormat="1" x14ac:dyDescent="0.2">
      <c r="A172" s="47" t="s">
        <v>221</v>
      </c>
      <c r="B172" s="60">
        <f t="shared" si="6"/>
        <v>0</v>
      </c>
      <c r="C172" s="52">
        <v>0.9</v>
      </c>
      <c r="D172" s="55">
        <v>44879</v>
      </c>
      <c r="E172" s="62">
        <v>42.1</v>
      </c>
      <c r="F172" s="62">
        <f t="shared" si="8"/>
        <v>0</v>
      </c>
      <c r="G172" s="60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1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  <c r="CD172" s="35"/>
      <c r="CE172" s="35"/>
      <c r="CF172" s="35"/>
      <c r="CG172" s="35"/>
      <c r="CH172" s="35"/>
      <c r="CI172" s="35"/>
      <c r="CJ172" s="35"/>
      <c r="CK172" s="35"/>
      <c r="CL172" s="35"/>
      <c r="CM172" s="35"/>
      <c r="CN172" s="35"/>
      <c r="CO172" s="35"/>
      <c r="CP172" s="35"/>
      <c r="CQ172" s="35"/>
      <c r="CR172" s="35"/>
      <c r="CS172" s="35"/>
      <c r="CT172" s="35"/>
      <c r="CU172" s="35"/>
      <c r="CV172" s="35"/>
      <c r="CW172" s="35"/>
      <c r="CX172" s="35"/>
      <c r="CY172" s="35"/>
      <c r="CZ172" s="35"/>
      <c r="DA172" s="35"/>
      <c r="DB172" s="35"/>
      <c r="DC172" s="35"/>
      <c r="DD172" s="35"/>
      <c r="DE172" s="35"/>
      <c r="DF172" s="35"/>
      <c r="DG172" s="35"/>
      <c r="DH172" s="35"/>
      <c r="DI172" s="35"/>
      <c r="DJ172" s="35"/>
      <c r="DK172" s="35"/>
      <c r="DL172" s="35"/>
      <c r="DM172" s="35"/>
      <c r="DN172" s="35"/>
      <c r="DO172" s="35"/>
      <c r="DP172" s="35"/>
      <c r="DQ172" s="35"/>
      <c r="DR172" s="35"/>
      <c r="DS172" s="35"/>
      <c r="DT172" s="35"/>
      <c r="DU172" s="35"/>
      <c r="DV172" s="35"/>
      <c r="DW172" s="28">
        <f t="shared" si="7"/>
        <v>0</v>
      </c>
      <c r="DX172" s="5"/>
    </row>
    <row r="173" spans="1:128" s="33" customFormat="1" x14ac:dyDescent="0.2">
      <c r="A173" s="47" t="s">
        <v>239</v>
      </c>
      <c r="B173" s="60">
        <f t="shared" si="6"/>
        <v>50</v>
      </c>
      <c r="C173" s="52">
        <v>10</v>
      </c>
      <c r="D173" s="54">
        <v>44788</v>
      </c>
      <c r="E173" s="62">
        <v>35.11</v>
      </c>
      <c r="F173" s="62">
        <f t="shared" si="8"/>
        <v>1755.5</v>
      </c>
      <c r="G173" s="60">
        <v>50</v>
      </c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1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>
        <v>50</v>
      </c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  <c r="CD173" s="35"/>
      <c r="CE173" s="35"/>
      <c r="CF173" s="35"/>
      <c r="CG173" s="35"/>
      <c r="CH173" s="35"/>
      <c r="CI173" s="35"/>
      <c r="CJ173" s="35"/>
      <c r="CK173" s="35"/>
      <c r="CL173" s="35"/>
      <c r="CM173" s="35"/>
      <c r="CN173" s="35"/>
      <c r="CO173" s="35"/>
      <c r="CP173" s="35"/>
      <c r="CQ173" s="35"/>
      <c r="CR173" s="35"/>
      <c r="CS173" s="35"/>
      <c r="CT173" s="35"/>
      <c r="CU173" s="35"/>
      <c r="CV173" s="35"/>
      <c r="CW173" s="35"/>
      <c r="CX173" s="35"/>
      <c r="CY173" s="35"/>
      <c r="CZ173" s="35"/>
      <c r="DA173" s="35"/>
      <c r="DB173" s="35"/>
      <c r="DC173" s="35"/>
      <c r="DD173" s="35"/>
      <c r="DE173" s="35"/>
      <c r="DF173" s="35"/>
      <c r="DG173" s="35"/>
      <c r="DH173" s="35"/>
      <c r="DI173" s="35"/>
      <c r="DJ173" s="35"/>
      <c r="DK173" s="35"/>
      <c r="DL173" s="35"/>
      <c r="DM173" s="35"/>
      <c r="DN173" s="35"/>
      <c r="DO173" s="35"/>
      <c r="DP173" s="35"/>
      <c r="DQ173" s="35"/>
      <c r="DR173" s="35"/>
      <c r="DS173" s="35"/>
      <c r="DT173" s="35"/>
      <c r="DU173" s="35"/>
      <c r="DV173" s="35"/>
      <c r="DW173" s="28">
        <f t="shared" si="7"/>
        <v>0</v>
      </c>
      <c r="DX173" s="5"/>
    </row>
    <row r="174" spans="1:128" s="33" customFormat="1" x14ac:dyDescent="0.2">
      <c r="A174" s="47" t="s">
        <v>473</v>
      </c>
      <c r="B174" s="60">
        <f t="shared" si="6"/>
        <v>0</v>
      </c>
      <c r="C174" s="52">
        <v>1</v>
      </c>
      <c r="D174" s="54">
        <v>44753</v>
      </c>
      <c r="E174" s="62">
        <v>45.7</v>
      </c>
      <c r="F174" s="62">
        <f t="shared" si="8"/>
        <v>0</v>
      </c>
      <c r="G174" s="60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1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  <c r="AY174" s="35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  <c r="CD174" s="35"/>
      <c r="CE174" s="35"/>
      <c r="CF174" s="35"/>
      <c r="CG174" s="35"/>
      <c r="CH174" s="35"/>
      <c r="CI174" s="35"/>
      <c r="CJ174" s="35"/>
      <c r="CK174" s="35"/>
      <c r="CL174" s="35"/>
      <c r="CM174" s="35"/>
      <c r="CN174" s="35"/>
      <c r="CO174" s="35"/>
      <c r="CP174" s="35"/>
      <c r="CQ174" s="35"/>
      <c r="CR174" s="35"/>
      <c r="CS174" s="35"/>
      <c r="CT174" s="35"/>
      <c r="CU174" s="35"/>
      <c r="CV174" s="35"/>
      <c r="CW174" s="35"/>
      <c r="CX174" s="35"/>
      <c r="CY174" s="35"/>
      <c r="CZ174" s="35"/>
      <c r="DA174" s="35"/>
      <c r="DB174" s="35"/>
      <c r="DC174" s="35"/>
      <c r="DD174" s="35"/>
      <c r="DE174" s="35"/>
      <c r="DF174" s="35"/>
      <c r="DG174" s="35"/>
      <c r="DH174" s="35"/>
      <c r="DI174" s="35"/>
      <c r="DJ174" s="35"/>
      <c r="DK174" s="35"/>
      <c r="DL174" s="35"/>
      <c r="DM174" s="35"/>
      <c r="DN174" s="35"/>
      <c r="DO174" s="35"/>
      <c r="DP174" s="35"/>
      <c r="DQ174" s="35"/>
      <c r="DR174" s="35"/>
      <c r="DS174" s="35"/>
      <c r="DT174" s="35"/>
      <c r="DU174" s="35"/>
      <c r="DV174" s="35"/>
      <c r="DW174" s="28">
        <f t="shared" si="7"/>
        <v>0</v>
      </c>
      <c r="DX174" s="5"/>
    </row>
    <row r="175" spans="1:128" s="33" customFormat="1" x14ac:dyDescent="0.2">
      <c r="A175" s="47" t="s">
        <v>510</v>
      </c>
      <c r="B175" s="60">
        <f t="shared" si="6"/>
        <v>0</v>
      </c>
      <c r="C175" s="52">
        <v>9</v>
      </c>
      <c r="D175" s="54">
        <v>44949</v>
      </c>
      <c r="E175" s="62">
        <v>33.78</v>
      </c>
      <c r="F175" s="62">
        <f t="shared" si="8"/>
        <v>0</v>
      </c>
      <c r="G175" s="60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1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  <c r="CD175" s="35"/>
      <c r="CE175" s="35"/>
      <c r="CF175" s="35"/>
      <c r="CG175" s="35"/>
      <c r="CH175" s="35"/>
      <c r="CI175" s="35"/>
      <c r="CJ175" s="35"/>
      <c r="CK175" s="35"/>
      <c r="CL175" s="35"/>
      <c r="CM175" s="35"/>
      <c r="CN175" s="35"/>
      <c r="CO175" s="35"/>
      <c r="CP175" s="35"/>
      <c r="CQ175" s="35"/>
      <c r="CR175" s="35"/>
      <c r="CS175" s="35">
        <v>27</v>
      </c>
      <c r="CT175" s="35"/>
      <c r="CU175" s="35"/>
      <c r="CV175" s="35">
        <v>27</v>
      </c>
      <c r="CW175" s="35"/>
      <c r="CX175" s="35"/>
      <c r="CY175" s="35"/>
      <c r="CZ175" s="35"/>
      <c r="DA175" s="35"/>
      <c r="DB175" s="35"/>
      <c r="DC175" s="35"/>
      <c r="DD175" s="35"/>
      <c r="DE175" s="35"/>
      <c r="DF175" s="35"/>
      <c r="DG175" s="35"/>
      <c r="DH175" s="35"/>
      <c r="DI175" s="35"/>
      <c r="DJ175" s="35"/>
      <c r="DK175" s="35"/>
      <c r="DL175" s="35"/>
      <c r="DM175" s="35"/>
      <c r="DN175" s="35"/>
      <c r="DO175" s="35"/>
      <c r="DP175" s="35"/>
      <c r="DQ175" s="35"/>
      <c r="DR175" s="35"/>
      <c r="DS175" s="35"/>
      <c r="DT175" s="35"/>
      <c r="DU175" s="35"/>
      <c r="DV175" s="35"/>
      <c r="DW175" s="28">
        <f t="shared" si="7"/>
        <v>0</v>
      </c>
      <c r="DX175" s="5"/>
    </row>
    <row r="176" spans="1:128" s="33" customFormat="1" x14ac:dyDescent="0.2">
      <c r="A176" s="47" t="s">
        <v>1</v>
      </c>
      <c r="B176" s="60">
        <f t="shared" si="6"/>
        <v>0</v>
      </c>
      <c r="C176" s="52">
        <v>1</v>
      </c>
      <c r="D176" s="55">
        <v>44816</v>
      </c>
      <c r="E176" s="62">
        <v>39.29</v>
      </c>
      <c r="F176" s="62">
        <f t="shared" si="8"/>
        <v>0</v>
      </c>
      <c r="G176" s="60">
        <v>1</v>
      </c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1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  <c r="AY176" s="35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>
        <v>1</v>
      </c>
      <c r="CA176" s="35"/>
      <c r="CB176" s="35"/>
      <c r="CC176" s="35"/>
      <c r="CD176" s="35"/>
      <c r="CE176" s="35"/>
      <c r="CF176" s="35"/>
      <c r="CG176" s="35"/>
      <c r="CH176" s="35"/>
      <c r="CI176" s="35"/>
      <c r="CJ176" s="35"/>
      <c r="CK176" s="35"/>
      <c r="CL176" s="35"/>
      <c r="CM176" s="35"/>
      <c r="CN176" s="35"/>
      <c r="CO176" s="35"/>
      <c r="CP176" s="35"/>
      <c r="CQ176" s="35"/>
      <c r="CR176" s="35"/>
      <c r="CS176" s="35"/>
      <c r="CT176" s="35"/>
      <c r="CU176" s="35"/>
      <c r="CV176" s="35"/>
      <c r="CW176" s="35"/>
      <c r="CX176" s="35"/>
      <c r="CY176" s="35"/>
      <c r="CZ176" s="35"/>
      <c r="DA176" s="35"/>
      <c r="DB176" s="35"/>
      <c r="DC176" s="35"/>
      <c r="DD176" s="35"/>
      <c r="DE176" s="35"/>
      <c r="DF176" s="35"/>
      <c r="DG176" s="35"/>
      <c r="DH176" s="35"/>
      <c r="DI176" s="35"/>
      <c r="DJ176" s="35"/>
      <c r="DK176" s="35"/>
      <c r="DL176" s="35"/>
      <c r="DM176" s="35"/>
      <c r="DN176" s="35"/>
      <c r="DO176" s="35"/>
      <c r="DP176" s="35"/>
      <c r="DQ176" s="35"/>
      <c r="DR176" s="35"/>
      <c r="DS176" s="35"/>
      <c r="DT176" s="35"/>
      <c r="DU176" s="35"/>
      <c r="DV176" s="35"/>
      <c r="DW176" s="28">
        <f t="shared" si="7"/>
        <v>0</v>
      </c>
      <c r="DX176" s="5"/>
    </row>
    <row r="177" spans="1:128" s="33" customFormat="1" x14ac:dyDescent="0.2">
      <c r="A177" s="47" t="s">
        <v>1</v>
      </c>
      <c r="B177" s="60">
        <f t="shared" si="6"/>
        <v>100</v>
      </c>
      <c r="C177" s="52">
        <v>10</v>
      </c>
      <c r="D177" s="55">
        <v>44970</v>
      </c>
      <c r="E177" s="62">
        <v>30.05</v>
      </c>
      <c r="F177" s="62">
        <f t="shared" si="8"/>
        <v>3005</v>
      </c>
      <c r="G177" s="60">
        <v>160</v>
      </c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1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>
        <v>120</v>
      </c>
      <c r="AL177" s="35"/>
      <c r="AM177" s="35">
        <v>10</v>
      </c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  <c r="AY177" s="35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  <c r="CD177" s="35"/>
      <c r="CE177" s="35"/>
      <c r="CF177" s="35"/>
      <c r="CG177" s="35"/>
      <c r="CH177" s="35"/>
      <c r="CI177" s="35"/>
      <c r="CJ177" s="35"/>
      <c r="CK177" s="35"/>
      <c r="CL177" s="35"/>
      <c r="CM177" s="35"/>
      <c r="CN177" s="35"/>
      <c r="CO177" s="35"/>
      <c r="CP177" s="35">
        <v>30</v>
      </c>
      <c r="CQ177" s="35"/>
      <c r="CR177" s="35"/>
      <c r="CS177" s="35"/>
      <c r="CT177" s="35"/>
      <c r="CU177" s="35"/>
      <c r="CV177" s="35"/>
      <c r="CW177" s="35"/>
      <c r="CX177" s="35"/>
      <c r="CY177" s="35"/>
      <c r="CZ177" s="35"/>
      <c r="DA177" s="35"/>
      <c r="DB177" s="35"/>
      <c r="DC177" s="35"/>
      <c r="DD177" s="35"/>
      <c r="DE177" s="35"/>
      <c r="DF177" s="35"/>
      <c r="DG177" s="35"/>
      <c r="DH177" s="35"/>
      <c r="DI177" s="35"/>
      <c r="DJ177" s="35"/>
      <c r="DK177" s="35"/>
      <c r="DL177" s="35"/>
      <c r="DM177" s="35"/>
      <c r="DN177" s="35"/>
      <c r="DO177" s="35"/>
      <c r="DP177" s="35"/>
      <c r="DQ177" s="35">
        <v>100</v>
      </c>
      <c r="DR177" s="35"/>
      <c r="DS177" s="35"/>
      <c r="DT177" s="35"/>
      <c r="DU177" s="35"/>
      <c r="DV177" s="35"/>
      <c r="DW177" s="28">
        <f t="shared" si="7"/>
        <v>100</v>
      </c>
      <c r="DX177" s="5"/>
    </row>
    <row r="178" spans="1:128" s="33" customFormat="1" x14ac:dyDescent="0.2">
      <c r="A178" s="47" t="s">
        <v>1</v>
      </c>
      <c r="B178" s="60">
        <f t="shared" si="6"/>
        <v>10</v>
      </c>
      <c r="C178" s="52">
        <v>10</v>
      </c>
      <c r="D178" s="55">
        <v>44924</v>
      </c>
      <c r="E178" s="62">
        <v>30.14</v>
      </c>
      <c r="F178" s="62">
        <f t="shared" si="8"/>
        <v>301.39999999999998</v>
      </c>
      <c r="G178" s="60">
        <v>40</v>
      </c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1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>
        <v>20</v>
      </c>
      <c r="AL178" s="35">
        <v>10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  <c r="CD178" s="35"/>
      <c r="CE178" s="35"/>
      <c r="CF178" s="35"/>
      <c r="CG178" s="35"/>
      <c r="CH178" s="35"/>
      <c r="CI178" s="35"/>
      <c r="CJ178" s="35"/>
      <c r="CK178" s="35"/>
      <c r="CL178" s="35"/>
      <c r="CM178" s="35"/>
      <c r="CN178" s="35"/>
      <c r="CO178" s="35"/>
      <c r="CP178" s="35"/>
      <c r="CQ178" s="35"/>
      <c r="CR178" s="35"/>
      <c r="CS178" s="35"/>
      <c r="CT178" s="35"/>
      <c r="CU178" s="35"/>
      <c r="CV178" s="35"/>
      <c r="CW178" s="35"/>
      <c r="CX178" s="35"/>
      <c r="CY178" s="35"/>
      <c r="CZ178" s="35"/>
      <c r="DA178" s="35"/>
      <c r="DB178" s="35"/>
      <c r="DC178" s="35"/>
      <c r="DD178" s="35"/>
      <c r="DE178" s="35"/>
      <c r="DF178" s="35"/>
      <c r="DG178" s="35"/>
      <c r="DH178" s="35"/>
      <c r="DI178" s="35"/>
      <c r="DJ178" s="35"/>
      <c r="DK178" s="35"/>
      <c r="DL178" s="35"/>
      <c r="DM178" s="35"/>
      <c r="DN178" s="35">
        <v>10</v>
      </c>
      <c r="DO178" s="35"/>
      <c r="DP178" s="35"/>
      <c r="DQ178" s="35"/>
      <c r="DR178" s="35"/>
      <c r="DS178" s="35"/>
      <c r="DT178" s="35"/>
      <c r="DU178" s="35"/>
      <c r="DV178" s="35"/>
      <c r="DW178" s="28">
        <f t="shared" si="7"/>
        <v>0</v>
      </c>
      <c r="DX178" s="5"/>
    </row>
    <row r="179" spans="1:128" s="33" customFormat="1" x14ac:dyDescent="0.2">
      <c r="A179" s="47" t="s">
        <v>299</v>
      </c>
      <c r="B179" s="60">
        <f t="shared" si="6"/>
        <v>0</v>
      </c>
      <c r="C179" s="52">
        <v>1.1000000000000001</v>
      </c>
      <c r="D179" s="54">
        <v>44802</v>
      </c>
      <c r="E179" s="62">
        <v>127.31</v>
      </c>
      <c r="F179" s="62">
        <f t="shared" si="8"/>
        <v>0</v>
      </c>
      <c r="G179" s="60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1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  <c r="AY179" s="35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  <c r="CD179" s="35"/>
      <c r="CE179" s="35"/>
      <c r="CF179" s="35"/>
      <c r="CG179" s="35"/>
      <c r="CH179" s="35"/>
      <c r="CI179" s="35"/>
      <c r="CJ179" s="35"/>
      <c r="CK179" s="35"/>
      <c r="CL179" s="35"/>
      <c r="CM179" s="35"/>
      <c r="CN179" s="35"/>
      <c r="CO179" s="35"/>
      <c r="CP179" s="35"/>
      <c r="CQ179" s="35"/>
      <c r="CR179" s="35"/>
      <c r="CS179" s="35"/>
      <c r="CT179" s="35"/>
      <c r="CU179" s="35"/>
      <c r="CV179" s="35"/>
      <c r="CW179" s="35"/>
      <c r="CX179" s="35"/>
      <c r="CY179" s="35"/>
      <c r="CZ179" s="35"/>
      <c r="DA179" s="35"/>
      <c r="DB179" s="35"/>
      <c r="DC179" s="35"/>
      <c r="DD179" s="35"/>
      <c r="DE179" s="35"/>
      <c r="DF179" s="35"/>
      <c r="DG179" s="35"/>
      <c r="DH179" s="35"/>
      <c r="DI179" s="35"/>
      <c r="DJ179" s="35"/>
      <c r="DK179" s="35"/>
      <c r="DL179" s="35"/>
      <c r="DM179" s="35"/>
      <c r="DN179" s="35"/>
      <c r="DO179" s="35"/>
      <c r="DP179" s="35"/>
      <c r="DQ179" s="35"/>
      <c r="DR179" s="35"/>
      <c r="DS179" s="35"/>
      <c r="DT179" s="35"/>
      <c r="DU179" s="35"/>
      <c r="DV179" s="35"/>
      <c r="DW179" s="28">
        <f t="shared" si="7"/>
        <v>0</v>
      </c>
      <c r="DX179" s="5"/>
    </row>
    <row r="180" spans="1:128" s="33" customFormat="1" x14ac:dyDescent="0.2">
      <c r="A180" s="47" t="s">
        <v>72</v>
      </c>
      <c r="B180" s="60">
        <f t="shared" si="6"/>
        <v>10</v>
      </c>
      <c r="C180" s="52">
        <v>10</v>
      </c>
      <c r="D180" s="54">
        <v>44924</v>
      </c>
      <c r="E180" s="62">
        <v>39.909999999999997</v>
      </c>
      <c r="F180" s="62">
        <f t="shared" si="8"/>
        <v>399.09999999999997</v>
      </c>
      <c r="G180" s="60">
        <v>10</v>
      </c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1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  <c r="CD180" s="35"/>
      <c r="CE180" s="35"/>
      <c r="CF180" s="35"/>
      <c r="CG180" s="35"/>
      <c r="CH180" s="35">
        <v>10</v>
      </c>
      <c r="CI180" s="35"/>
      <c r="CJ180" s="35"/>
      <c r="CK180" s="35"/>
      <c r="CL180" s="35"/>
      <c r="CM180" s="35"/>
      <c r="CN180" s="35"/>
      <c r="CO180" s="35"/>
      <c r="CP180" s="35"/>
      <c r="CQ180" s="35"/>
      <c r="CR180" s="35"/>
      <c r="CS180" s="35"/>
      <c r="CT180" s="35"/>
      <c r="CU180" s="35"/>
      <c r="CV180" s="35"/>
      <c r="CW180" s="35"/>
      <c r="CX180" s="35"/>
      <c r="CY180" s="35"/>
      <c r="CZ180" s="35"/>
      <c r="DA180" s="35"/>
      <c r="DB180" s="35"/>
      <c r="DC180" s="35"/>
      <c r="DD180" s="35"/>
      <c r="DE180" s="35"/>
      <c r="DF180" s="35"/>
      <c r="DG180" s="35"/>
      <c r="DH180" s="35"/>
      <c r="DI180" s="35"/>
      <c r="DJ180" s="35"/>
      <c r="DK180" s="35"/>
      <c r="DL180" s="35"/>
      <c r="DM180" s="35"/>
      <c r="DN180" s="35"/>
      <c r="DO180" s="35"/>
      <c r="DP180" s="35"/>
      <c r="DQ180" s="35"/>
      <c r="DR180" s="35"/>
      <c r="DS180" s="35"/>
      <c r="DT180" s="35"/>
      <c r="DU180" s="35"/>
      <c r="DV180" s="35"/>
      <c r="DW180" s="28">
        <f t="shared" si="7"/>
        <v>0</v>
      </c>
      <c r="DX180" s="5"/>
    </row>
    <row r="181" spans="1:128" s="33" customFormat="1" x14ac:dyDescent="0.2">
      <c r="A181" s="47" t="s">
        <v>72</v>
      </c>
      <c r="B181" s="60">
        <f t="shared" si="6"/>
        <v>0</v>
      </c>
      <c r="C181" s="52">
        <v>1</v>
      </c>
      <c r="D181" s="54">
        <v>44844</v>
      </c>
      <c r="E181" s="62">
        <v>48.05</v>
      </c>
      <c r="F181" s="62">
        <f t="shared" si="8"/>
        <v>0</v>
      </c>
      <c r="G181" s="60">
        <v>2</v>
      </c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1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>
        <v>2</v>
      </c>
      <c r="CA181" s="35"/>
      <c r="CB181" s="35"/>
      <c r="CC181" s="35"/>
      <c r="CD181" s="35"/>
      <c r="CE181" s="35"/>
      <c r="CF181" s="35"/>
      <c r="CG181" s="35"/>
      <c r="CH181" s="35"/>
      <c r="CI181" s="35"/>
      <c r="CJ181" s="35"/>
      <c r="CK181" s="35"/>
      <c r="CL181" s="35"/>
      <c r="CM181" s="35"/>
      <c r="CN181" s="35"/>
      <c r="CO181" s="35"/>
      <c r="CP181" s="35"/>
      <c r="CQ181" s="35"/>
      <c r="CR181" s="35"/>
      <c r="CS181" s="35"/>
      <c r="CT181" s="35"/>
      <c r="CU181" s="35"/>
      <c r="CV181" s="35"/>
      <c r="CW181" s="35"/>
      <c r="CX181" s="35"/>
      <c r="CY181" s="35"/>
      <c r="CZ181" s="35"/>
      <c r="DA181" s="35"/>
      <c r="DB181" s="35"/>
      <c r="DC181" s="35"/>
      <c r="DD181" s="35"/>
      <c r="DE181" s="35"/>
      <c r="DF181" s="35"/>
      <c r="DG181" s="35"/>
      <c r="DH181" s="35"/>
      <c r="DI181" s="35"/>
      <c r="DJ181" s="35"/>
      <c r="DK181" s="35"/>
      <c r="DL181" s="35"/>
      <c r="DM181" s="35"/>
      <c r="DN181" s="35"/>
      <c r="DO181" s="35"/>
      <c r="DP181" s="35"/>
      <c r="DQ181" s="35"/>
      <c r="DR181" s="35"/>
      <c r="DS181" s="35"/>
      <c r="DT181" s="35"/>
      <c r="DU181" s="35"/>
      <c r="DV181" s="35"/>
      <c r="DW181" s="28">
        <f t="shared" si="7"/>
        <v>0</v>
      </c>
      <c r="DX181" s="5"/>
    </row>
    <row r="182" spans="1:128" s="33" customFormat="1" x14ac:dyDescent="0.2">
      <c r="A182" s="39" t="s">
        <v>158</v>
      </c>
      <c r="B182" s="60">
        <f t="shared" si="6"/>
        <v>50</v>
      </c>
      <c r="C182" s="52">
        <v>10</v>
      </c>
      <c r="D182" s="54">
        <v>44851</v>
      </c>
      <c r="E182" s="62">
        <v>57.64</v>
      </c>
      <c r="F182" s="62">
        <f t="shared" si="8"/>
        <v>2882</v>
      </c>
      <c r="G182" s="60">
        <v>50</v>
      </c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1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  <c r="AY182" s="35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  <c r="CD182" s="35"/>
      <c r="CE182" s="35"/>
      <c r="CF182" s="35"/>
      <c r="CG182" s="35"/>
      <c r="CH182" s="35"/>
      <c r="CI182" s="35"/>
      <c r="CJ182" s="35"/>
      <c r="CK182" s="35"/>
      <c r="CL182" s="35"/>
      <c r="CM182" s="35"/>
      <c r="CN182" s="35"/>
      <c r="CO182" s="35"/>
      <c r="CP182" s="35"/>
      <c r="CQ182" s="35"/>
      <c r="CR182" s="35"/>
      <c r="CS182" s="35"/>
      <c r="CT182" s="35"/>
      <c r="CU182" s="35"/>
      <c r="CV182" s="35"/>
      <c r="CW182" s="35"/>
      <c r="CX182" s="35"/>
      <c r="CY182" s="35"/>
      <c r="CZ182" s="35"/>
      <c r="DA182" s="35"/>
      <c r="DB182" s="35"/>
      <c r="DC182" s="35"/>
      <c r="DD182" s="35"/>
      <c r="DE182" s="35"/>
      <c r="DF182" s="35"/>
      <c r="DG182" s="35"/>
      <c r="DH182" s="35"/>
      <c r="DI182" s="35"/>
      <c r="DJ182" s="35"/>
      <c r="DK182" s="35"/>
      <c r="DL182" s="35"/>
      <c r="DM182" s="35"/>
      <c r="DN182" s="35"/>
      <c r="DO182" s="35"/>
      <c r="DP182" s="35"/>
      <c r="DQ182" s="35"/>
      <c r="DR182" s="35"/>
      <c r="DS182" s="35"/>
      <c r="DT182" s="35"/>
      <c r="DU182" s="35"/>
      <c r="DV182" s="35">
        <v>50</v>
      </c>
      <c r="DW182" s="28">
        <f t="shared" si="7"/>
        <v>0</v>
      </c>
      <c r="DX182" s="5"/>
    </row>
    <row r="183" spans="1:128" s="33" customFormat="1" x14ac:dyDescent="0.2">
      <c r="A183" s="39" t="s">
        <v>512</v>
      </c>
      <c r="B183" s="60">
        <f t="shared" si="6"/>
        <v>7</v>
      </c>
      <c r="C183" s="52">
        <v>1</v>
      </c>
      <c r="D183" s="54">
        <v>44970</v>
      </c>
      <c r="E183" s="62">
        <v>37.72</v>
      </c>
      <c r="F183" s="62">
        <f t="shared" si="8"/>
        <v>264.03999999999996</v>
      </c>
      <c r="G183" s="60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1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  <c r="AY183" s="35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  <c r="CD183" s="35"/>
      <c r="CE183" s="35"/>
      <c r="CF183" s="35"/>
      <c r="CG183" s="35"/>
      <c r="CH183" s="35"/>
      <c r="CI183" s="35"/>
      <c r="CJ183" s="35"/>
      <c r="CK183" s="35"/>
      <c r="CL183" s="35"/>
      <c r="CM183" s="35"/>
      <c r="CN183" s="35"/>
      <c r="CO183" s="35"/>
      <c r="CP183" s="35"/>
      <c r="CQ183" s="35"/>
      <c r="CR183" s="35"/>
      <c r="CS183" s="35"/>
      <c r="CT183" s="35"/>
      <c r="CU183" s="35"/>
      <c r="CV183" s="35"/>
      <c r="CW183" s="35"/>
      <c r="CX183" s="35"/>
      <c r="CY183" s="35"/>
      <c r="CZ183" s="35"/>
      <c r="DA183" s="35"/>
      <c r="DB183" s="35"/>
      <c r="DC183" s="35"/>
      <c r="DD183" s="35"/>
      <c r="DE183" s="35"/>
      <c r="DF183" s="35"/>
      <c r="DG183" s="35"/>
      <c r="DH183" s="35"/>
      <c r="DI183" s="35"/>
      <c r="DJ183" s="35"/>
      <c r="DK183" s="35"/>
      <c r="DL183" s="35"/>
      <c r="DM183" s="35"/>
      <c r="DN183" s="35"/>
      <c r="DO183" s="35"/>
      <c r="DP183" s="35"/>
      <c r="DQ183" s="35">
        <v>7</v>
      </c>
      <c r="DR183" s="35"/>
      <c r="DS183" s="35"/>
      <c r="DT183" s="35"/>
      <c r="DU183" s="35"/>
      <c r="DV183" s="35"/>
      <c r="DW183" s="28">
        <f t="shared" si="7"/>
        <v>7</v>
      </c>
      <c r="DX183" s="5"/>
    </row>
    <row r="184" spans="1:128" s="33" customFormat="1" x14ac:dyDescent="0.2">
      <c r="A184" s="39" t="s">
        <v>492</v>
      </c>
      <c r="B184" s="60">
        <f t="shared" si="6"/>
        <v>0</v>
      </c>
      <c r="C184" s="52">
        <v>0.9</v>
      </c>
      <c r="D184" s="54">
        <v>44753</v>
      </c>
      <c r="E184" s="62">
        <v>43.28</v>
      </c>
      <c r="F184" s="62">
        <f t="shared" si="8"/>
        <v>0</v>
      </c>
      <c r="G184" s="60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1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  <c r="CD184" s="35"/>
      <c r="CE184" s="35"/>
      <c r="CF184" s="35"/>
      <c r="CG184" s="35"/>
      <c r="CH184" s="35"/>
      <c r="CI184" s="35"/>
      <c r="CJ184" s="35"/>
      <c r="CK184" s="35"/>
      <c r="CL184" s="35"/>
      <c r="CM184" s="35"/>
      <c r="CN184" s="35"/>
      <c r="CO184" s="35"/>
      <c r="CP184" s="35"/>
      <c r="CQ184" s="35"/>
      <c r="CR184" s="35"/>
      <c r="CS184" s="35"/>
      <c r="CT184" s="35"/>
      <c r="CU184" s="35"/>
      <c r="CV184" s="35"/>
      <c r="CW184" s="35"/>
      <c r="CX184" s="35"/>
      <c r="CY184" s="35"/>
      <c r="CZ184" s="35"/>
      <c r="DA184" s="35"/>
      <c r="DB184" s="35"/>
      <c r="DC184" s="35"/>
      <c r="DD184" s="35"/>
      <c r="DE184" s="35"/>
      <c r="DF184" s="35"/>
      <c r="DG184" s="35"/>
      <c r="DH184" s="35"/>
      <c r="DI184" s="35"/>
      <c r="DJ184" s="35"/>
      <c r="DK184" s="35"/>
      <c r="DL184" s="35"/>
      <c r="DM184" s="35"/>
      <c r="DN184" s="35"/>
      <c r="DO184" s="35"/>
      <c r="DP184" s="35"/>
      <c r="DQ184" s="35"/>
      <c r="DR184" s="35"/>
      <c r="DS184" s="35"/>
      <c r="DT184" s="35"/>
      <c r="DU184" s="35"/>
      <c r="DV184" s="35"/>
      <c r="DW184" s="28">
        <f t="shared" si="7"/>
        <v>0</v>
      </c>
      <c r="DX184" s="5"/>
    </row>
    <row r="185" spans="1:128" s="33" customFormat="1" x14ac:dyDescent="0.2">
      <c r="A185" s="39" t="s">
        <v>306</v>
      </c>
      <c r="B185" s="60">
        <f t="shared" si="6"/>
        <v>0</v>
      </c>
      <c r="C185" s="52">
        <v>1</v>
      </c>
      <c r="D185" s="54">
        <v>44970</v>
      </c>
      <c r="E185" s="62">
        <v>60.76</v>
      </c>
      <c r="F185" s="62">
        <f t="shared" si="8"/>
        <v>0</v>
      </c>
      <c r="G185" s="60">
        <v>10</v>
      </c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1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  <c r="AY185" s="35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>
        <v>10</v>
      </c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  <c r="CD185" s="35"/>
      <c r="CE185" s="35"/>
      <c r="CF185" s="35"/>
      <c r="CG185" s="35"/>
      <c r="CH185" s="35"/>
      <c r="CI185" s="35"/>
      <c r="CJ185" s="35"/>
      <c r="CK185" s="35"/>
      <c r="CL185" s="35"/>
      <c r="CM185" s="35"/>
      <c r="CN185" s="35"/>
      <c r="CO185" s="35"/>
      <c r="CP185" s="35"/>
      <c r="CQ185" s="35"/>
      <c r="CR185" s="35"/>
      <c r="CS185" s="35"/>
      <c r="CT185" s="35"/>
      <c r="CU185" s="35"/>
      <c r="CV185" s="35"/>
      <c r="CW185" s="35"/>
      <c r="CX185" s="35"/>
      <c r="CY185" s="35"/>
      <c r="CZ185" s="35"/>
      <c r="DA185" s="35"/>
      <c r="DB185" s="35"/>
      <c r="DC185" s="35"/>
      <c r="DD185" s="35"/>
      <c r="DE185" s="35"/>
      <c r="DF185" s="35"/>
      <c r="DG185" s="35"/>
      <c r="DH185" s="35"/>
      <c r="DI185" s="35"/>
      <c r="DJ185" s="35"/>
      <c r="DK185" s="35"/>
      <c r="DL185" s="35"/>
      <c r="DM185" s="35"/>
      <c r="DN185" s="35"/>
      <c r="DO185" s="35"/>
      <c r="DP185" s="35"/>
      <c r="DQ185" s="35">
        <v>1</v>
      </c>
      <c r="DR185" s="35"/>
      <c r="DS185" s="35"/>
      <c r="DT185" s="35"/>
      <c r="DU185" s="35">
        <v>1</v>
      </c>
      <c r="DV185" s="35"/>
      <c r="DW185" s="28">
        <f t="shared" si="7"/>
        <v>0</v>
      </c>
      <c r="DX185" s="5"/>
    </row>
    <row r="186" spans="1:128" s="33" customFormat="1" x14ac:dyDescent="0.2">
      <c r="A186" s="39" t="s">
        <v>209</v>
      </c>
      <c r="B186" s="60">
        <f t="shared" si="6"/>
        <v>0</v>
      </c>
      <c r="C186" s="52">
        <v>10</v>
      </c>
      <c r="D186" s="54">
        <v>44651</v>
      </c>
      <c r="E186" s="62">
        <v>43.13</v>
      </c>
      <c r="F186" s="62">
        <f t="shared" si="8"/>
        <v>0</v>
      </c>
      <c r="G186" s="60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111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  <c r="AY186" s="35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  <c r="CD186" s="35"/>
      <c r="CE186" s="35"/>
      <c r="CF186" s="35"/>
      <c r="CG186" s="35"/>
      <c r="CH186" s="35"/>
      <c r="CI186" s="35"/>
      <c r="CJ186" s="35"/>
      <c r="CK186" s="35"/>
      <c r="CL186" s="35"/>
      <c r="CM186" s="35"/>
      <c r="CN186" s="35"/>
      <c r="CO186" s="35"/>
      <c r="CP186" s="35"/>
      <c r="CQ186" s="35"/>
      <c r="CR186" s="35"/>
      <c r="CS186" s="35"/>
      <c r="CT186" s="35"/>
      <c r="CU186" s="35"/>
      <c r="CV186" s="35"/>
      <c r="CW186" s="35"/>
      <c r="CX186" s="35"/>
      <c r="CY186" s="35"/>
      <c r="CZ186" s="35"/>
      <c r="DA186" s="35"/>
      <c r="DB186" s="35"/>
      <c r="DC186" s="35"/>
      <c r="DD186" s="35"/>
      <c r="DE186" s="35"/>
      <c r="DF186" s="35"/>
      <c r="DG186" s="35"/>
      <c r="DH186" s="35"/>
      <c r="DI186" s="35"/>
      <c r="DJ186" s="35"/>
      <c r="DK186" s="35"/>
      <c r="DL186" s="35"/>
      <c r="DM186" s="35"/>
      <c r="DN186" s="35"/>
      <c r="DO186" s="35"/>
      <c r="DP186" s="35"/>
      <c r="DQ186" s="35"/>
      <c r="DR186" s="35"/>
      <c r="DS186" s="35"/>
      <c r="DT186" s="35"/>
      <c r="DU186" s="35"/>
      <c r="DV186" s="35"/>
      <c r="DW186" s="28">
        <f t="shared" si="7"/>
        <v>0</v>
      </c>
      <c r="DX186" s="5"/>
    </row>
    <row r="187" spans="1:128" s="33" customFormat="1" x14ac:dyDescent="0.2">
      <c r="A187" s="39" t="s">
        <v>247</v>
      </c>
      <c r="B187" s="60">
        <f t="shared" si="6"/>
        <v>0</v>
      </c>
      <c r="C187" s="52">
        <v>1</v>
      </c>
      <c r="D187" s="54">
        <v>44886</v>
      </c>
      <c r="E187" s="62">
        <v>37.32</v>
      </c>
      <c r="F187" s="62">
        <f t="shared" si="8"/>
        <v>0</v>
      </c>
      <c r="G187" s="60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111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  <c r="AY187" s="35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  <c r="CD187" s="35"/>
      <c r="CE187" s="35"/>
      <c r="CF187" s="35"/>
      <c r="CG187" s="35"/>
      <c r="CH187" s="35"/>
      <c r="CI187" s="35"/>
      <c r="CJ187" s="35"/>
      <c r="CK187" s="35"/>
      <c r="CL187" s="35"/>
      <c r="CM187" s="35"/>
      <c r="CN187" s="35"/>
      <c r="CO187" s="35"/>
      <c r="CP187" s="35"/>
      <c r="CQ187" s="35"/>
      <c r="CR187" s="35"/>
      <c r="CS187" s="35"/>
      <c r="CT187" s="35"/>
      <c r="CU187" s="35"/>
      <c r="CV187" s="35"/>
      <c r="CW187" s="35"/>
      <c r="CX187" s="35"/>
      <c r="CY187" s="35"/>
      <c r="CZ187" s="35"/>
      <c r="DA187" s="35"/>
      <c r="DB187" s="35"/>
      <c r="DC187" s="35"/>
      <c r="DD187" s="35"/>
      <c r="DE187" s="35"/>
      <c r="DF187" s="35"/>
      <c r="DG187" s="35"/>
      <c r="DH187" s="35"/>
      <c r="DI187" s="35"/>
      <c r="DJ187" s="35"/>
      <c r="DK187" s="35"/>
      <c r="DL187" s="35"/>
      <c r="DM187" s="35"/>
      <c r="DN187" s="35"/>
      <c r="DO187" s="35"/>
      <c r="DP187" s="35"/>
      <c r="DQ187" s="35"/>
      <c r="DR187" s="35"/>
      <c r="DS187" s="35"/>
      <c r="DT187" s="35"/>
      <c r="DU187" s="35"/>
      <c r="DV187" s="35"/>
      <c r="DW187" s="28">
        <f t="shared" si="7"/>
        <v>0</v>
      </c>
      <c r="DX187" s="5"/>
    </row>
    <row r="188" spans="1:128" s="33" customFormat="1" x14ac:dyDescent="0.2">
      <c r="A188" s="39" t="s">
        <v>127</v>
      </c>
      <c r="B188" s="60">
        <f t="shared" si="6"/>
        <v>0</v>
      </c>
      <c r="C188" s="52">
        <v>10</v>
      </c>
      <c r="D188" s="54">
        <v>44711</v>
      </c>
      <c r="E188" s="62">
        <v>31.25</v>
      </c>
      <c r="F188" s="62">
        <f t="shared" si="8"/>
        <v>0</v>
      </c>
      <c r="G188" s="60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111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  <c r="AY188" s="35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  <c r="CD188" s="35"/>
      <c r="CE188" s="35"/>
      <c r="CF188" s="35"/>
      <c r="CG188" s="35"/>
      <c r="CH188" s="35"/>
      <c r="CI188" s="35"/>
      <c r="CJ188" s="35"/>
      <c r="CK188" s="35"/>
      <c r="CL188" s="35"/>
      <c r="CM188" s="35"/>
      <c r="CN188" s="35"/>
      <c r="CO188" s="35"/>
      <c r="CP188" s="35"/>
      <c r="CQ188" s="35"/>
      <c r="CR188" s="35"/>
      <c r="CS188" s="35"/>
      <c r="CT188" s="35"/>
      <c r="CU188" s="35"/>
      <c r="CV188" s="35"/>
      <c r="CW188" s="35"/>
      <c r="CX188" s="35"/>
      <c r="CY188" s="35"/>
      <c r="CZ188" s="35"/>
      <c r="DA188" s="35"/>
      <c r="DB188" s="35"/>
      <c r="DC188" s="35"/>
      <c r="DD188" s="35"/>
      <c r="DE188" s="35"/>
      <c r="DF188" s="35"/>
      <c r="DG188" s="35"/>
      <c r="DH188" s="35"/>
      <c r="DI188" s="35"/>
      <c r="DJ188" s="35"/>
      <c r="DK188" s="35"/>
      <c r="DL188" s="35"/>
      <c r="DM188" s="35"/>
      <c r="DN188" s="35"/>
      <c r="DO188" s="35"/>
      <c r="DP188" s="35"/>
      <c r="DQ188" s="35"/>
      <c r="DR188" s="35"/>
      <c r="DS188" s="35"/>
      <c r="DT188" s="35"/>
      <c r="DU188" s="35"/>
      <c r="DV188" s="35"/>
      <c r="DW188" s="28">
        <f t="shared" si="7"/>
        <v>0</v>
      </c>
      <c r="DX188" s="5"/>
    </row>
    <row r="189" spans="1:128" s="33" customFormat="1" x14ac:dyDescent="0.2">
      <c r="A189" s="39" t="s">
        <v>25</v>
      </c>
      <c r="B189" s="60">
        <f t="shared" si="6"/>
        <v>0</v>
      </c>
      <c r="C189" s="52">
        <v>10</v>
      </c>
      <c r="D189" s="55">
        <v>44775</v>
      </c>
      <c r="E189" s="62">
        <v>33.47</v>
      </c>
      <c r="F189" s="62">
        <f t="shared" si="8"/>
        <v>0</v>
      </c>
      <c r="G189" s="60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1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  <c r="AY189" s="35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  <c r="CD189" s="35"/>
      <c r="CE189" s="35"/>
      <c r="CF189" s="35"/>
      <c r="CG189" s="35"/>
      <c r="CH189" s="35"/>
      <c r="CI189" s="35"/>
      <c r="CJ189" s="35"/>
      <c r="CK189" s="35"/>
      <c r="CL189" s="35"/>
      <c r="CM189" s="35"/>
      <c r="CN189" s="35"/>
      <c r="CO189" s="35"/>
      <c r="CP189" s="35"/>
      <c r="CQ189" s="35"/>
      <c r="CR189" s="35"/>
      <c r="CS189" s="35"/>
      <c r="CT189" s="35"/>
      <c r="CU189" s="35"/>
      <c r="CV189" s="35"/>
      <c r="CW189" s="35"/>
      <c r="CX189" s="35"/>
      <c r="CY189" s="35"/>
      <c r="CZ189" s="35"/>
      <c r="DA189" s="35"/>
      <c r="DB189" s="35"/>
      <c r="DC189" s="35"/>
      <c r="DD189" s="35"/>
      <c r="DE189" s="35"/>
      <c r="DF189" s="35"/>
      <c r="DG189" s="35"/>
      <c r="DH189" s="35"/>
      <c r="DI189" s="35"/>
      <c r="DJ189" s="35"/>
      <c r="DK189" s="35"/>
      <c r="DL189" s="35"/>
      <c r="DM189" s="35"/>
      <c r="DN189" s="35"/>
      <c r="DO189" s="35"/>
      <c r="DP189" s="35"/>
      <c r="DQ189" s="35"/>
      <c r="DR189" s="35"/>
      <c r="DS189" s="35"/>
      <c r="DT189" s="35"/>
      <c r="DU189" s="35"/>
      <c r="DV189" s="35"/>
      <c r="DW189" s="28">
        <f t="shared" si="7"/>
        <v>0</v>
      </c>
      <c r="DX189" s="5"/>
    </row>
    <row r="190" spans="1:128" s="33" customFormat="1" x14ac:dyDescent="0.2">
      <c r="A190" s="39" t="s">
        <v>345</v>
      </c>
      <c r="B190" s="60">
        <f t="shared" si="6"/>
        <v>0</v>
      </c>
      <c r="C190" s="52">
        <v>10</v>
      </c>
      <c r="D190" s="54">
        <v>44949</v>
      </c>
      <c r="E190" s="62">
        <v>33.78</v>
      </c>
      <c r="F190" s="62">
        <f t="shared" si="8"/>
        <v>0</v>
      </c>
      <c r="G190" s="60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1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  <c r="AY190" s="35"/>
      <c r="AZ190" s="35"/>
      <c r="BA190" s="35"/>
      <c r="BB190" s="35"/>
      <c r="BC190" s="35">
        <v>10</v>
      </c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  <c r="CD190" s="35"/>
      <c r="CE190" s="35"/>
      <c r="CF190" s="35"/>
      <c r="CG190" s="35"/>
      <c r="CH190" s="35"/>
      <c r="CI190" s="35"/>
      <c r="CJ190" s="35"/>
      <c r="CK190" s="35"/>
      <c r="CL190" s="35"/>
      <c r="CM190" s="35"/>
      <c r="CN190" s="35"/>
      <c r="CO190" s="35"/>
      <c r="CP190" s="35"/>
      <c r="CQ190" s="35"/>
      <c r="CR190" s="35"/>
      <c r="CS190" s="35">
        <v>20</v>
      </c>
      <c r="CT190" s="35"/>
      <c r="CU190" s="35"/>
      <c r="CV190" s="35"/>
      <c r="CW190" s="35"/>
      <c r="CX190" s="35"/>
      <c r="CY190" s="35"/>
      <c r="CZ190" s="35">
        <v>10</v>
      </c>
      <c r="DA190" s="35"/>
      <c r="DB190" s="35"/>
      <c r="DC190" s="35"/>
      <c r="DD190" s="35"/>
      <c r="DE190" s="35"/>
      <c r="DF190" s="35"/>
      <c r="DG190" s="35"/>
      <c r="DH190" s="35"/>
      <c r="DI190" s="35"/>
      <c r="DJ190" s="35"/>
      <c r="DK190" s="35"/>
      <c r="DL190" s="35"/>
      <c r="DM190" s="35"/>
      <c r="DN190" s="35"/>
      <c r="DO190" s="35"/>
      <c r="DP190" s="35"/>
      <c r="DQ190" s="35"/>
      <c r="DR190" s="35"/>
      <c r="DS190" s="35"/>
      <c r="DT190" s="35"/>
      <c r="DU190" s="35"/>
      <c r="DV190" s="35"/>
      <c r="DW190" s="28">
        <f t="shared" si="7"/>
        <v>0</v>
      </c>
      <c r="DX190" s="5"/>
    </row>
    <row r="191" spans="1:128" s="33" customFormat="1" x14ac:dyDescent="0.2">
      <c r="A191" s="39" t="s">
        <v>345</v>
      </c>
      <c r="B191" s="60">
        <f t="shared" si="6"/>
        <v>30</v>
      </c>
      <c r="C191" s="52">
        <v>10</v>
      </c>
      <c r="D191" s="54">
        <v>44956</v>
      </c>
      <c r="E191" s="62">
        <v>33.619999999999997</v>
      </c>
      <c r="F191" s="62">
        <f t="shared" si="8"/>
        <v>1008.5999999999999</v>
      </c>
      <c r="G191" s="60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1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>
        <v>10</v>
      </c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>
        <v>10</v>
      </c>
      <c r="BV191" s="35"/>
      <c r="BW191" s="35"/>
      <c r="BX191" s="35"/>
      <c r="BY191" s="35"/>
      <c r="BZ191" s="35"/>
      <c r="CA191" s="35"/>
      <c r="CB191" s="35"/>
      <c r="CC191" s="35"/>
      <c r="CD191" s="35"/>
      <c r="CE191" s="35"/>
      <c r="CF191" s="35"/>
      <c r="CG191" s="35"/>
      <c r="CH191" s="35"/>
      <c r="CI191" s="35"/>
      <c r="CJ191" s="35"/>
      <c r="CK191" s="35"/>
      <c r="CL191" s="35"/>
      <c r="CM191" s="35"/>
      <c r="CN191" s="35"/>
      <c r="CO191" s="35"/>
      <c r="CP191" s="35"/>
      <c r="CQ191" s="35"/>
      <c r="CR191" s="35"/>
      <c r="CS191" s="35"/>
      <c r="CT191" s="35"/>
      <c r="CU191" s="35"/>
      <c r="CV191" s="35"/>
      <c r="CW191" s="35"/>
      <c r="CX191" s="35"/>
      <c r="CY191" s="35"/>
      <c r="CZ191" s="35"/>
      <c r="DA191" s="35"/>
      <c r="DB191" s="35">
        <v>40</v>
      </c>
      <c r="DC191" s="35"/>
      <c r="DD191" s="35"/>
      <c r="DE191" s="35"/>
      <c r="DF191" s="35"/>
      <c r="DG191" s="35"/>
      <c r="DH191" s="35"/>
      <c r="DI191" s="35"/>
      <c r="DJ191" s="35"/>
      <c r="DK191" s="35"/>
      <c r="DL191" s="35"/>
      <c r="DM191" s="35"/>
      <c r="DN191" s="35"/>
      <c r="DO191" s="35"/>
      <c r="DP191" s="35"/>
      <c r="DQ191" s="35"/>
      <c r="DR191" s="35"/>
      <c r="DS191" s="35"/>
      <c r="DT191" s="35"/>
      <c r="DU191" s="35"/>
      <c r="DV191" s="35">
        <v>20</v>
      </c>
      <c r="DW191" s="28">
        <f t="shared" si="7"/>
        <v>0</v>
      </c>
      <c r="DX191" s="5"/>
    </row>
    <row r="192" spans="1:128" s="33" customFormat="1" x14ac:dyDescent="0.2">
      <c r="A192" s="39" t="s">
        <v>463</v>
      </c>
      <c r="B192" s="60">
        <f t="shared" si="6"/>
        <v>0</v>
      </c>
      <c r="C192" s="52">
        <v>1</v>
      </c>
      <c r="D192" s="54">
        <v>44809</v>
      </c>
      <c r="E192" s="62">
        <v>27.77</v>
      </c>
      <c r="F192" s="62">
        <f t="shared" si="8"/>
        <v>0</v>
      </c>
      <c r="G192" s="60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1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  <c r="AY192" s="35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  <c r="CD192" s="35"/>
      <c r="CE192" s="35"/>
      <c r="CF192" s="35"/>
      <c r="CG192" s="35"/>
      <c r="CH192" s="35"/>
      <c r="CI192" s="35"/>
      <c r="CJ192" s="35"/>
      <c r="CK192" s="35"/>
      <c r="CL192" s="35"/>
      <c r="CM192" s="35"/>
      <c r="CN192" s="35"/>
      <c r="CO192" s="35"/>
      <c r="CP192" s="35"/>
      <c r="CQ192" s="35"/>
      <c r="CR192" s="35"/>
      <c r="CS192" s="35"/>
      <c r="CT192" s="35"/>
      <c r="CU192" s="35"/>
      <c r="CV192" s="35"/>
      <c r="CW192" s="35"/>
      <c r="CX192" s="35"/>
      <c r="CY192" s="35"/>
      <c r="CZ192" s="35"/>
      <c r="DA192" s="35"/>
      <c r="DB192" s="35"/>
      <c r="DC192" s="35"/>
      <c r="DD192" s="35"/>
      <c r="DE192" s="35"/>
      <c r="DF192" s="35"/>
      <c r="DG192" s="35"/>
      <c r="DH192" s="35"/>
      <c r="DI192" s="35"/>
      <c r="DJ192" s="35"/>
      <c r="DK192" s="35"/>
      <c r="DL192" s="35"/>
      <c r="DM192" s="35"/>
      <c r="DN192" s="35"/>
      <c r="DO192" s="35"/>
      <c r="DP192" s="35"/>
      <c r="DQ192" s="35"/>
      <c r="DR192" s="35"/>
      <c r="DS192" s="35"/>
      <c r="DT192" s="35"/>
      <c r="DU192" s="35"/>
      <c r="DV192" s="35"/>
      <c r="DW192" s="28">
        <f t="shared" si="7"/>
        <v>0</v>
      </c>
      <c r="DX192" s="5"/>
    </row>
    <row r="193" spans="1:128" s="33" customFormat="1" x14ac:dyDescent="0.2">
      <c r="A193" s="39" t="s">
        <v>418</v>
      </c>
      <c r="B193" s="60">
        <f t="shared" si="6"/>
        <v>0</v>
      </c>
      <c r="C193" s="52">
        <v>10</v>
      </c>
      <c r="D193" s="54">
        <v>44781</v>
      </c>
      <c r="E193" s="62">
        <v>23.41</v>
      </c>
      <c r="F193" s="62">
        <f t="shared" si="8"/>
        <v>0</v>
      </c>
      <c r="G193" s="60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1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  <c r="AY193" s="35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  <c r="CD193" s="35"/>
      <c r="CE193" s="35"/>
      <c r="CF193" s="35"/>
      <c r="CG193" s="35"/>
      <c r="CH193" s="35"/>
      <c r="CI193" s="35"/>
      <c r="CJ193" s="35"/>
      <c r="CK193" s="35"/>
      <c r="CL193" s="35"/>
      <c r="CM193" s="35"/>
      <c r="CN193" s="35"/>
      <c r="CO193" s="35"/>
      <c r="CP193" s="35"/>
      <c r="CQ193" s="35"/>
      <c r="CR193" s="35"/>
      <c r="CS193" s="35"/>
      <c r="CT193" s="35"/>
      <c r="CU193" s="35"/>
      <c r="CV193" s="35"/>
      <c r="CW193" s="35"/>
      <c r="CX193" s="35"/>
      <c r="CY193" s="35"/>
      <c r="CZ193" s="35"/>
      <c r="DA193" s="35"/>
      <c r="DB193" s="35"/>
      <c r="DC193" s="35"/>
      <c r="DD193" s="35"/>
      <c r="DE193" s="35"/>
      <c r="DF193" s="35"/>
      <c r="DG193" s="35"/>
      <c r="DH193" s="35"/>
      <c r="DI193" s="35"/>
      <c r="DJ193" s="35"/>
      <c r="DK193" s="35"/>
      <c r="DL193" s="35"/>
      <c r="DM193" s="35"/>
      <c r="DN193" s="35"/>
      <c r="DO193" s="35"/>
      <c r="DP193" s="35"/>
      <c r="DQ193" s="35"/>
      <c r="DR193" s="35"/>
      <c r="DS193" s="35"/>
      <c r="DT193" s="35"/>
      <c r="DU193" s="35"/>
      <c r="DV193" s="35"/>
      <c r="DW193" s="28">
        <f t="shared" si="7"/>
        <v>0</v>
      </c>
      <c r="DX193" s="5"/>
    </row>
    <row r="194" spans="1:128" s="33" customFormat="1" x14ac:dyDescent="0.2">
      <c r="A194" s="95" t="s">
        <v>576</v>
      </c>
      <c r="B194" s="60">
        <f t="shared" si="6"/>
        <v>2.2000000000000002</v>
      </c>
      <c r="C194" s="52">
        <v>1.1000000000000001</v>
      </c>
      <c r="D194" s="54">
        <v>44970</v>
      </c>
      <c r="E194" s="62">
        <v>50.28</v>
      </c>
      <c r="F194" s="62">
        <f t="shared" si="8"/>
        <v>110.61600000000001</v>
      </c>
      <c r="G194" s="60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1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  <c r="AY194" s="35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  <c r="CD194" s="35"/>
      <c r="CE194" s="35"/>
      <c r="CF194" s="35"/>
      <c r="CG194" s="35"/>
      <c r="CH194" s="35"/>
      <c r="CI194" s="35"/>
      <c r="CJ194" s="35"/>
      <c r="CK194" s="35"/>
      <c r="CL194" s="35"/>
      <c r="CM194" s="35"/>
      <c r="CN194" s="35"/>
      <c r="CO194" s="35"/>
      <c r="CP194" s="35"/>
      <c r="CQ194" s="35"/>
      <c r="CR194" s="35"/>
      <c r="CS194" s="35"/>
      <c r="CT194" s="35"/>
      <c r="CU194" s="35"/>
      <c r="CV194" s="35"/>
      <c r="CW194" s="35"/>
      <c r="CX194" s="35"/>
      <c r="CY194" s="35"/>
      <c r="CZ194" s="35"/>
      <c r="DA194" s="35"/>
      <c r="DB194" s="35"/>
      <c r="DC194" s="35"/>
      <c r="DD194" s="35"/>
      <c r="DE194" s="35"/>
      <c r="DF194" s="35"/>
      <c r="DG194" s="35"/>
      <c r="DH194" s="35"/>
      <c r="DI194" s="35"/>
      <c r="DJ194" s="35"/>
      <c r="DK194" s="35"/>
      <c r="DL194" s="35"/>
      <c r="DM194" s="35"/>
      <c r="DN194" s="35"/>
      <c r="DO194" s="35"/>
      <c r="DP194" s="35"/>
      <c r="DQ194" s="35">
        <v>2.2000000000000002</v>
      </c>
      <c r="DR194" s="35"/>
      <c r="DS194" s="35"/>
      <c r="DT194" s="35"/>
      <c r="DU194" s="35"/>
      <c r="DV194" s="35"/>
      <c r="DW194" s="28">
        <f t="shared" si="7"/>
        <v>2.2000000000000002</v>
      </c>
      <c r="DX194" s="5"/>
    </row>
    <row r="195" spans="1:128" s="33" customFormat="1" x14ac:dyDescent="0.2">
      <c r="A195" s="39" t="s">
        <v>493</v>
      </c>
      <c r="B195" s="60">
        <f t="shared" si="6"/>
        <v>0</v>
      </c>
      <c r="C195" s="52">
        <v>0.9</v>
      </c>
      <c r="D195" s="54">
        <v>44753</v>
      </c>
      <c r="E195" s="62">
        <v>117.83</v>
      </c>
      <c r="F195" s="62">
        <f t="shared" si="8"/>
        <v>0</v>
      </c>
      <c r="G195" s="60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1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  <c r="AY195" s="35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  <c r="CD195" s="35"/>
      <c r="CE195" s="35"/>
      <c r="CF195" s="35"/>
      <c r="CG195" s="35"/>
      <c r="CH195" s="35"/>
      <c r="CI195" s="35"/>
      <c r="CJ195" s="35"/>
      <c r="CK195" s="35"/>
      <c r="CL195" s="35"/>
      <c r="CM195" s="35"/>
      <c r="CN195" s="35"/>
      <c r="CO195" s="35"/>
      <c r="CP195" s="35"/>
      <c r="CQ195" s="35"/>
      <c r="CR195" s="35"/>
      <c r="CS195" s="35"/>
      <c r="CT195" s="35"/>
      <c r="CU195" s="35"/>
      <c r="CV195" s="35"/>
      <c r="CW195" s="35"/>
      <c r="CX195" s="35"/>
      <c r="CY195" s="35"/>
      <c r="CZ195" s="35"/>
      <c r="DA195" s="35"/>
      <c r="DB195" s="35"/>
      <c r="DC195" s="35"/>
      <c r="DD195" s="35"/>
      <c r="DE195" s="35"/>
      <c r="DF195" s="35"/>
      <c r="DG195" s="35"/>
      <c r="DH195" s="35"/>
      <c r="DI195" s="35"/>
      <c r="DJ195" s="35"/>
      <c r="DK195" s="35"/>
      <c r="DL195" s="35"/>
      <c r="DM195" s="35"/>
      <c r="DN195" s="35"/>
      <c r="DO195" s="35"/>
      <c r="DP195" s="35"/>
      <c r="DQ195" s="35"/>
      <c r="DR195" s="35"/>
      <c r="DS195" s="35"/>
      <c r="DT195" s="35"/>
      <c r="DU195" s="35"/>
      <c r="DV195" s="35"/>
      <c r="DW195" s="28">
        <f t="shared" si="7"/>
        <v>0</v>
      </c>
      <c r="DX195" s="5"/>
    </row>
    <row r="196" spans="1:128" s="33" customFormat="1" x14ac:dyDescent="0.2">
      <c r="A196" s="47" t="s">
        <v>40</v>
      </c>
      <c r="B196" s="60">
        <f t="shared" ref="B196:B259" si="9">SUMIF(G$3:DV$3,"прих",G196:DV196)-SUMIF(G$3:DV$3,"отгр",G196:DV196)</f>
        <v>0</v>
      </c>
      <c r="C196" s="52">
        <v>5</v>
      </c>
      <c r="D196" s="55">
        <v>44685</v>
      </c>
      <c r="E196" s="62">
        <v>85.12</v>
      </c>
      <c r="F196" s="62">
        <f t="shared" si="8"/>
        <v>0</v>
      </c>
      <c r="G196" s="60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1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  <c r="AY196" s="35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  <c r="CD196" s="35"/>
      <c r="CE196" s="35"/>
      <c r="CF196" s="35"/>
      <c r="CG196" s="35"/>
      <c r="CH196" s="35"/>
      <c r="CI196" s="35"/>
      <c r="CJ196" s="35"/>
      <c r="CK196" s="35"/>
      <c r="CL196" s="35"/>
      <c r="CM196" s="35"/>
      <c r="CN196" s="35"/>
      <c r="CO196" s="35"/>
      <c r="CP196" s="35"/>
      <c r="CQ196" s="35"/>
      <c r="CR196" s="35"/>
      <c r="CS196" s="35"/>
      <c r="CT196" s="35"/>
      <c r="CU196" s="35"/>
      <c r="CV196" s="35"/>
      <c r="CW196" s="35"/>
      <c r="CX196" s="35"/>
      <c r="CY196" s="35"/>
      <c r="CZ196" s="35"/>
      <c r="DA196" s="35"/>
      <c r="DB196" s="35"/>
      <c r="DC196" s="35"/>
      <c r="DD196" s="35"/>
      <c r="DE196" s="35"/>
      <c r="DF196" s="35"/>
      <c r="DG196" s="35"/>
      <c r="DH196" s="35"/>
      <c r="DI196" s="35"/>
      <c r="DJ196" s="35"/>
      <c r="DK196" s="35"/>
      <c r="DL196" s="35"/>
      <c r="DM196" s="35"/>
      <c r="DN196" s="35"/>
      <c r="DO196" s="35"/>
      <c r="DP196" s="35"/>
      <c r="DQ196" s="35"/>
      <c r="DR196" s="35"/>
      <c r="DS196" s="35"/>
      <c r="DT196" s="35"/>
      <c r="DU196" s="35"/>
      <c r="DV196" s="35"/>
      <c r="DW196" s="28">
        <f t="shared" ref="DW196:DW259" si="10">$B196-SUMIF($G$3:$IK$3,"",$G196:$IK196)</f>
        <v>0</v>
      </c>
      <c r="DX196" s="5"/>
    </row>
    <row r="197" spans="1:128" s="33" customFormat="1" x14ac:dyDescent="0.2">
      <c r="A197" s="47" t="s">
        <v>161</v>
      </c>
      <c r="B197" s="60">
        <f t="shared" si="9"/>
        <v>15</v>
      </c>
      <c r="C197" s="52">
        <v>5</v>
      </c>
      <c r="D197" s="55">
        <v>44956</v>
      </c>
      <c r="E197" s="62">
        <v>75.62</v>
      </c>
      <c r="F197" s="62">
        <f t="shared" si="8"/>
        <v>1134.3000000000002</v>
      </c>
      <c r="G197" s="60">
        <v>85</v>
      </c>
      <c r="H197" s="35"/>
      <c r="I197" s="35"/>
      <c r="J197" s="35"/>
      <c r="K197" s="35"/>
      <c r="L197" s="35"/>
      <c r="M197" s="35"/>
      <c r="N197" s="35">
        <v>15</v>
      </c>
      <c r="O197" s="35"/>
      <c r="P197" s="35"/>
      <c r="Q197" s="35"/>
      <c r="R197" s="35"/>
      <c r="S197" s="35"/>
      <c r="T197" s="35"/>
      <c r="U197" s="15"/>
      <c r="V197" s="35">
        <v>70</v>
      </c>
      <c r="W197" s="35"/>
      <c r="X197" s="35"/>
      <c r="Y197" s="35"/>
      <c r="Z197" s="35">
        <v>15</v>
      </c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  <c r="AY197" s="35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  <c r="CD197" s="35"/>
      <c r="CE197" s="35"/>
      <c r="CF197" s="35"/>
      <c r="CG197" s="35"/>
      <c r="CH197" s="35"/>
      <c r="CI197" s="35"/>
      <c r="CJ197" s="35"/>
      <c r="CK197" s="35"/>
      <c r="CL197" s="35"/>
      <c r="CM197" s="35"/>
      <c r="CN197" s="35"/>
      <c r="CO197" s="35"/>
      <c r="CP197" s="35"/>
      <c r="CQ197" s="35"/>
      <c r="CR197" s="35"/>
      <c r="CS197" s="35"/>
      <c r="CT197" s="35"/>
      <c r="CU197" s="35"/>
      <c r="CV197" s="35"/>
      <c r="CW197" s="35"/>
      <c r="CX197" s="35"/>
      <c r="CY197" s="35"/>
      <c r="CZ197" s="35"/>
      <c r="DA197" s="35"/>
      <c r="DB197" s="35">
        <v>15</v>
      </c>
      <c r="DC197" s="35"/>
      <c r="DD197" s="35"/>
      <c r="DE197" s="35"/>
      <c r="DF197" s="35"/>
      <c r="DG197" s="35"/>
      <c r="DH197" s="35"/>
      <c r="DI197" s="35"/>
      <c r="DJ197" s="35"/>
      <c r="DK197" s="35"/>
      <c r="DL197" s="35"/>
      <c r="DM197" s="35"/>
      <c r="DN197" s="35"/>
      <c r="DO197" s="35"/>
      <c r="DP197" s="35"/>
      <c r="DQ197" s="35"/>
      <c r="DR197" s="35"/>
      <c r="DS197" s="35"/>
      <c r="DT197" s="35"/>
      <c r="DU197" s="35"/>
      <c r="DV197" s="35"/>
      <c r="DW197" s="28">
        <f t="shared" si="10"/>
        <v>0</v>
      </c>
      <c r="DX197" s="5"/>
    </row>
    <row r="198" spans="1:128" s="33" customFormat="1" x14ac:dyDescent="0.2">
      <c r="A198" s="47" t="s">
        <v>161</v>
      </c>
      <c r="B198" s="60">
        <f t="shared" si="9"/>
        <v>90</v>
      </c>
      <c r="C198" s="52">
        <v>5</v>
      </c>
      <c r="D198" s="55">
        <v>44949</v>
      </c>
      <c r="E198" s="62">
        <v>75.98</v>
      </c>
      <c r="F198" s="62">
        <f t="shared" si="8"/>
        <v>6838.2000000000007</v>
      </c>
      <c r="G198" s="60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15"/>
      <c r="V198" s="35"/>
      <c r="W198" s="35"/>
      <c r="X198" s="35"/>
      <c r="Y198" s="35">
        <v>30</v>
      </c>
      <c r="Z198" s="35">
        <v>90</v>
      </c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  <c r="CD198" s="35"/>
      <c r="CE198" s="35"/>
      <c r="CF198" s="35"/>
      <c r="CG198" s="35"/>
      <c r="CH198" s="35"/>
      <c r="CI198" s="35"/>
      <c r="CJ198" s="35"/>
      <c r="CK198" s="35"/>
      <c r="CL198" s="35"/>
      <c r="CM198" s="35"/>
      <c r="CN198" s="35"/>
      <c r="CO198" s="35"/>
      <c r="CP198" s="35"/>
      <c r="CQ198" s="35"/>
      <c r="CR198" s="35"/>
      <c r="CS198" s="35">
        <v>120</v>
      </c>
      <c r="CT198" s="35"/>
      <c r="CU198" s="35"/>
      <c r="CV198" s="35"/>
      <c r="CW198" s="35"/>
      <c r="CX198" s="35"/>
      <c r="CY198" s="35"/>
      <c r="CZ198" s="35"/>
      <c r="DA198" s="35"/>
      <c r="DB198" s="35"/>
      <c r="DC198" s="35"/>
      <c r="DD198" s="35"/>
      <c r="DE198" s="35"/>
      <c r="DF198" s="35"/>
      <c r="DG198" s="35"/>
      <c r="DH198" s="35"/>
      <c r="DI198" s="35"/>
      <c r="DJ198" s="35"/>
      <c r="DK198" s="35"/>
      <c r="DL198" s="35"/>
      <c r="DM198" s="35"/>
      <c r="DN198" s="35"/>
      <c r="DO198" s="35"/>
      <c r="DP198" s="35"/>
      <c r="DQ198" s="35"/>
      <c r="DR198" s="35"/>
      <c r="DS198" s="35"/>
      <c r="DT198" s="35"/>
      <c r="DU198" s="35"/>
      <c r="DV198" s="35"/>
      <c r="DW198" s="28">
        <f t="shared" si="10"/>
        <v>0</v>
      </c>
      <c r="DX198" s="5"/>
    </row>
    <row r="199" spans="1:128" s="33" customFormat="1" x14ac:dyDescent="0.2">
      <c r="A199" s="47" t="s">
        <v>172</v>
      </c>
      <c r="B199" s="60">
        <f t="shared" si="9"/>
        <v>0</v>
      </c>
      <c r="C199" s="52">
        <v>10</v>
      </c>
      <c r="D199" s="54">
        <v>44865</v>
      </c>
      <c r="E199" s="62">
        <v>48.74</v>
      </c>
      <c r="F199" s="62">
        <f t="shared" si="8"/>
        <v>0</v>
      </c>
      <c r="G199" s="60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1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  <c r="AY199" s="35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  <c r="CD199" s="35"/>
      <c r="CE199" s="35"/>
      <c r="CF199" s="35"/>
      <c r="CG199" s="35"/>
      <c r="CH199" s="35"/>
      <c r="CI199" s="35"/>
      <c r="CJ199" s="35"/>
      <c r="CK199" s="35"/>
      <c r="CL199" s="35"/>
      <c r="CM199" s="35"/>
      <c r="CN199" s="35"/>
      <c r="CO199" s="35"/>
      <c r="CP199" s="35"/>
      <c r="CQ199" s="35"/>
      <c r="CR199" s="35"/>
      <c r="CS199" s="35"/>
      <c r="CT199" s="35"/>
      <c r="CU199" s="35"/>
      <c r="CV199" s="35"/>
      <c r="CW199" s="35"/>
      <c r="CX199" s="35"/>
      <c r="CY199" s="35"/>
      <c r="CZ199" s="35"/>
      <c r="DA199" s="35"/>
      <c r="DB199" s="35"/>
      <c r="DC199" s="35"/>
      <c r="DD199" s="35"/>
      <c r="DE199" s="35"/>
      <c r="DF199" s="35"/>
      <c r="DG199" s="35"/>
      <c r="DH199" s="35"/>
      <c r="DI199" s="35"/>
      <c r="DJ199" s="35"/>
      <c r="DK199" s="35"/>
      <c r="DL199" s="35"/>
      <c r="DM199" s="35"/>
      <c r="DN199" s="35"/>
      <c r="DO199" s="35"/>
      <c r="DP199" s="35"/>
      <c r="DQ199" s="35"/>
      <c r="DR199" s="35"/>
      <c r="DS199" s="35"/>
      <c r="DT199" s="35"/>
      <c r="DU199" s="35"/>
      <c r="DV199" s="35"/>
      <c r="DW199" s="28">
        <f t="shared" si="10"/>
        <v>0</v>
      </c>
      <c r="DX199" s="5"/>
    </row>
    <row r="200" spans="1:128" s="33" customFormat="1" x14ac:dyDescent="0.2">
      <c r="A200" s="47" t="s">
        <v>26</v>
      </c>
      <c r="B200" s="60">
        <f t="shared" si="9"/>
        <v>0</v>
      </c>
      <c r="C200" s="52">
        <v>10</v>
      </c>
      <c r="D200" s="54">
        <v>44924</v>
      </c>
      <c r="E200" s="62">
        <v>23.11</v>
      </c>
      <c r="F200" s="62">
        <f t="shared" si="8"/>
        <v>0</v>
      </c>
      <c r="G200" s="60">
        <v>20</v>
      </c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15"/>
      <c r="V200" s="35">
        <v>20</v>
      </c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  <c r="CD200" s="35"/>
      <c r="CE200" s="35"/>
      <c r="CF200" s="35"/>
      <c r="CG200" s="35"/>
      <c r="CH200" s="35"/>
      <c r="CI200" s="35"/>
      <c r="CJ200" s="35"/>
      <c r="CK200" s="35"/>
      <c r="CL200" s="35"/>
      <c r="CM200" s="35"/>
      <c r="CN200" s="35"/>
      <c r="CO200" s="35"/>
      <c r="CP200" s="35"/>
      <c r="CQ200" s="35"/>
      <c r="CR200" s="35"/>
      <c r="CS200" s="35"/>
      <c r="CT200" s="35"/>
      <c r="CU200" s="35"/>
      <c r="CV200" s="35"/>
      <c r="CW200" s="35"/>
      <c r="CX200" s="35"/>
      <c r="CY200" s="35"/>
      <c r="CZ200" s="35"/>
      <c r="DA200" s="35"/>
      <c r="DB200" s="35"/>
      <c r="DC200" s="35"/>
      <c r="DD200" s="35"/>
      <c r="DE200" s="35"/>
      <c r="DF200" s="35"/>
      <c r="DG200" s="35"/>
      <c r="DH200" s="35"/>
      <c r="DI200" s="35"/>
      <c r="DJ200" s="35"/>
      <c r="DK200" s="35"/>
      <c r="DL200" s="35"/>
      <c r="DM200" s="35"/>
      <c r="DN200" s="35"/>
      <c r="DO200" s="35"/>
      <c r="DP200" s="35"/>
      <c r="DQ200" s="35"/>
      <c r="DR200" s="35"/>
      <c r="DS200" s="35"/>
      <c r="DT200" s="35"/>
      <c r="DU200" s="35"/>
      <c r="DV200" s="35"/>
      <c r="DW200" s="28">
        <f t="shared" si="10"/>
        <v>0</v>
      </c>
      <c r="DX200" s="5"/>
    </row>
    <row r="201" spans="1:128" s="33" customFormat="1" x14ac:dyDescent="0.2">
      <c r="A201" s="47" t="s">
        <v>350</v>
      </c>
      <c r="B201" s="60">
        <f t="shared" si="9"/>
        <v>0</v>
      </c>
      <c r="C201" s="52">
        <v>10</v>
      </c>
      <c r="D201" s="54">
        <v>44970</v>
      </c>
      <c r="E201" s="62">
        <v>37.72</v>
      </c>
      <c r="F201" s="62">
        <f t="shared" si="8"/>
        <v>0</v>
      </c>
      <c r="G201" s="60"/>
      <c r="H201" s="35"/>
      <c r="I201" s="35">
        <v>20</v>
      </c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1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  <c r="AY201" s="35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  <c r="CD201" s="35"/>
      <c r="CE201" s="35"/>
      <c r="CF201" s="35"/>
      <c r="CG201" s="35"/>
      <c r="CH201" s="35"/>
      <c r="CI201" s="35"/>
      <c r="CJ201" s="35"/>
      <c r="CK201" s="35"/>
      <c r="CL201" s="35"/>
      <c r="CM201" s="35"/>
      <c r="CN201" s="35"/>
      <c r="CO201" s="35"/>
      <c r="CP201" s="35"/>
      <c r="CQ201" s="35"/>
      <c r="CR201" s="35"/>
      <c r="CS201" s="35"/>
      <c r="CT201" s="35"/>
      <c r="CU201" s="35"/>
      <c r="CV201" s="35"/>
      <c r="CW201" s="35"/>
      <c r="CX201" s="35"/>
      <c r="CY201" s="35"/>
      <c r="CZ201" s="35"/>
      <c r="DA201" s="35"/>
      <c r="DB201" s="35"/>
      <c r="DC201" s="35"/>
      <c r="DD201" s="35"/>
      <c r="DE201" s="35"/>
      <c r="DF201" s="35"/>
      <c r="DG201" s="35"/>
      <c r="DH201" s="35"/>
      <c r="DI201" s="35"/>
      <c r="DJ201" s="35"/>
      <c r="DK201" s="35"/>
      <c r="DL201" s="35"/>
      <c r="DM201" s="35"/>
      <c r="DN201" s="35"/>
      <c r="DO201" s="35"/>
      <c r="DP201" s="35"/>
      <c r="DQ201" s="35">
        <v>20</v>
      </c>
      <c r="DR201" s="35"/>
      <c r="DS201" s="35"/>
      <c r="DT201" s="35"/>
      <c r="DU201" s="35"/>
      <c r="DV201" s="35"/>
      <c r="DW201" s="28">
        <f t="shared" si="10"/>
        <v>0</v>
      </c>
      <c r="DX201" s="5"/>
    </row>
    <row r="202" spans="1:128" s="33" customFormat="1" x14ac:dyDescent="0.2">
      <c r="A202" s="47" t="s">
        <v>349</v>
      </c>
      <c r="B202" s="60">
        <f t="shared" si="9"/>
        <v>0</v>
      </c>
      <c r="C202" s="52">
        <v>1.1000000000000001</v>
      </c>
      <c r="D202" s="54">
        <v>44893</v>
      </c>
      <c r="E202" s="62">
        <v>35.130000000000003</v>
      </c>
      <c r="F202" s="62">
        <f t="shared" si="8"/>
        <v>0</v>
      </c>
      <c r="G202" s="60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1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  <c r="AY202" s="35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  <c r="CD202" s="35"/>
      <c r="CE202" s="35"/>
      <c r="CF202" s="35"/>
      <c r="CG202" s="35"/>
      <c r="CH202" s="35"/>
      <c r="CI202" s="35"/>
      <c r="CJ202" s="35"/>
      <c r="CK202" s="35"/>
      <c r="CL202" s="35"/>
      <c r="CM202" s="35"/>
      <c r="CN202" s="35"/>
      <c r="CO202" s="35"/>
      <c r="CP202" s="35"/>
      <c r="CQ202" s="35"/>
      <c r="CR202" s="35"/>
      <c r="CS202" s="35"/>
      <c r="CT202" s="35"/>
      <c r="CU202" s="35"/>
      <c r="CV202" s="35"/>
      <c r="CW202" s="35"/>
      <c r="CX202" s="35"/>
      <c r="CY202" s="35"/>
      <c r="CZ202" s="35"/>
      <c r="DA202" s="35"/>
      <c r="DB202" s="35"/>
      <c r="DC202" s="35"/>
      <c r="DD202" s="35"/>
      <c r="DE202" s="35"/>
      <c r="DF202" s="35"/>
      <c r="DG202" s="35"/>
      <c r="DH202" s="35"/>
      <c r="DI202" s="35"/>
      <c r="DJ202" s="35"/>
      <c r="DK202" s="35"/>
      <c r="DL202" s="35"/>
      <c r="DM202" s="35"/>
      <c r="DN202" s="35"/>
      <c r="DO202" s="35"/>
      <c r="DP202" s="35"/>
      <c r="DQ202" s="35"/>
      <c r="DR202" s="35"/>
      <c r="DS202" s="35"/>
      <c r="DT202" s="35"/>
      <c r="DU202" s="35"/>
      <c r="DV202" s="35"/>
      <c r="DW202" s="28">
        <f t="shared" si="10"/>
        <v>0</v>
      </c>
      <c r="DX202" s="5"/>
    </row>
    <row r="203" spans="1:128" s="33" customFormat="1" x14ac:dyDescent="0.2">
      <c r="A203" s="47" t="s">
        <v>184</v>
      </c>
      <c r="B203" s="60">
        <f t="shared" si="9"/>
        <v>0</v>
      </c>
      <c r="C203" s="52">
        <v>10</v>
      </c>
      <c r="D203" s="54">
        <v>44893</v>
      </c>
      <c r="E203" s="62">
        <v>35.22</v>
      </c>
      <c r="F203" s="62">
        <f t="shared" si="8"/>
        <v>0</v>
      </c>
      <c r="G203" s="60">
        <v>30</v>
      </c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1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>
        <v>30</v>
      </c>
      <c r="BW203" s="35"/>
      <c r="BX203" s="35"/>
      <c r="BY203" s="35"/>
      <c r="BZ203" s="35"/>
      <c r="CA203" s="35"/>
      <c r="CB203" s="35"/>
      <c r="CC203" s="35"/>
      <c r="CD203" s="35"/>
      <c r="CE203" s="35"/>
      <c r="CF203" s="35"/>
      <c r="CG203" s="35"/>
      <c r="CH203" s="35"/>
      <c r="CI203" s="35"/>
      <c r="CJ203" s="35"/>
      <c r="CK203" s="35"/>
      <c r="CL203" s="35"/>
      <c r="CM203" s="35"/>
      <c r="CN203" s="35"/>
      <c r="CO203" s="35"/>
      <c r="CP203" s="35"/>
      <c r="CQ203" s="35"/>
      <c r="CR203" s="35"/>
      <c r="CS203" s="35"/>
      <c r="CT203" s="35"/>
      <c r="CU203" s="35"/>
      <c r="CV203" s="35"/>
      <c r="CW203" s="35"/>
      <c r="CX203" s="35"/>
      <c r="CY203" s="35"/>
      <c r="CZ203" s="35"/>
      <c r="DA203" s="35"/>
      <c r="DB203" s="35"/>
      <c r="DC203" s="35"/>
      <c r="DD203" s="35"/>
      <c r="DE203" s="35"/>
      <c r="DF203" s="35"/>
      <c r="DG203" s="35"/>
      <c r="DH203" s="35"/>
      <c r="DI203" s="35"/>
      <c r="DJ203" s="35"/>
      <c r="DK203" s="35"/>
      <c r="DL203" s="35"/>
      <c r="DM203" s="35"/>
      <c r="DN203" s="35"/>
      <c r="DO203" s="35"/>
      <c r="DP203" s="35"/>
      <c r="DQ203" s="35"/>
      <c r="DR203" s="35"/>
      <c r="DS203" s="35"/>
      <c r="DT203" s="35"/>
      <c r="DU203" s="35"/>
      <c r="DV203" s="35"/>
      <c r="DW203" s="28">
        <f t="shared" si="10"/>
        <v>0</v>
      </c>
      <c r="DX203" s="5"/>
    </row>
    <row r="204" spans="1:128" s="33" customFormat="1" x14ac:dyDescent="0.2">
      <c r="A204" s="39" t="s">
        <v>89</v>
      </c>
      <c r="B204" s="60">
        <f t="shared" si="9"/>
        <v>0</v>
      </c>
      <c r="C204" s="52">
        <v>10</v>
      </c>
      <c r="D204" s="54">
        <v>44956</v>
      </c>
      <c r="E204" s="62">
        <v>35.700000000000003</v>
      </c>
      <c r="F204" s="62">
        <f t="shared" si="8"/>
        <v>0</v>
      </c>
      <c r="G204" s="60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15"/>
      <c r="V204" s="35"/>
      <c r="W204" s="35"/>
      <c r="X204" s="35"/>
      <c r="Y204" s="35">
        <v>20</v>
      </c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  <c r="CD204" s="35"/>
      <c r="CE204" s="35"/>
      <c r="CF204" s="35"/>
      <c r="CG204" s="35"/>
      <c r="CH204" s="35"/>
      <c r="CI204" s="35"/>
      <c r="CJ204" s="35"/>
      <c r="CK204" s="35"/>
      <c r="CL204" s="35"/>
      <c r="CM204" s="35"/>
      <c r="CN204" s="35"/>
      <c r="CO204" s="35"/>
      <c r="CP204" s="35"/>
      <c r="CQ204" s="35"/>
      <c r="CR204" s="35"/>
      <c r="CS204" s="35"/>
      <c r="CT204" s="35"/>
      <c r="CU204" s="35"/>
      <c r="CV204" s="35"/>
      <c r="CW204" s="35"/>
      <c r="CX204" s="35"/>
      <c r="CY204" s="35"/>
      <c r="CZ204" s="35"/>
      <c r="DA204" s="35"/>
      <c r="DB204" s="35">
        <v>20</v>
      </c>
      <c r="DC204" s="35"/>
      <c r="DD204" s="35"/>
      <c r="DE204" s="35"/>
      <c r="DF204" s="35"/>
      <c r="DG204" s="35"/>
      <c r="DH204" s="35"/>
      <c r="DI204" s="35"/>
      <c r="DJ204" s="35"/>
      <c r="DK204" s="35"/>
      <c r="DL204" s="35"/>
      <c r="DM204" s="35"/>
      <c r="DN204" s="35"/>
      <c r="DO204" s="35"/>
      <c r="DP204" s="35"/>
      <c r="DQ204" s="35"/>
      <c r="DR204" s="35"/>
      <c r="DS204" s="35"/>
      <c r="DT204" s="35"/>
      <c r="DU204" s="35"/>
      <c r="DV204" s="35"/>
      <c r="DW204" s="28">
        <f t="shared" si="10"/>
        <v>0</v>
      </c>
      <c r="DX204" s="5"/>
    </row>
    <row r="205" spans="1:128" s="33" customFormat="1" x14ac:dyDescent="0.2">
      <c r="A205" s="47" t="s">
        <v>67</v>
      </c>
      <c r="B205" s="60">
        <f t="shared" si="9"/>
        <v>40</v>
      </c>
      <c r="C205" s="52">
        <v>10</v>
      </c>
      <c r="D205" s="55">
        <v>44914</v>
      </c>
      <c r="E205" s="62">
        <v>34.880000000000003</v>
      </c>
      <c r="F205" s="62">
        <f t="shared" si="8"/>
        <v>1395.2</v>
      </c>
      <c r="G205" s="60">
        <v>40</v>
      </c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1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  <c r="AY205" s="35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  <c r="CD205" s="35">
        <v>40</v>
      </c>
      <c r="CE205" s="35"/>
      <c r="CF205" s="35"/>
      <c r="CG205" s="35"/>
      <c r="CH205" s="35"/>
      <c r="CI205" s="35"/>
      <c r="CJ205" s="35"/>
      <c r="CK205" s="35"/>
      <c r="CL205" s="35"/>
      <c r="CM205" s="35"/>
      <c r="CN205" s="35"/>
      <c r="CO205" s="35"/>
      <c r="CP205" s="35"/>
      <c r="CQ205" s="35"/>
      <c r="CR205" s="35"/>
      <c r="CS205" s="35"/>
      <c r="CT205" s="35"/>
      <c r="CU205" s="35"/>
      <c r="CV205" s="35"/>
      <c r="CW205" s="35"/>
      <c r="CX205" s="35"/>
      <c r="CY205" s="35"/>
      <c r="CZ205" s="35"/>
      <c r="DA205" s="35"/>
      <c r="DB205" s="35"/>
      <c r="DC205" s="35"/>
      <c r="DD205" s="35"/>
      <c r="DE205" s="35"/>
      <c r="DF205" s="35"/>
      <c r="DG205" s="35"/>
      <c r="DH205" s="35"/>
      <c r="DI205" s="35"/>
      <c r="DJ205" s="35"/>
      <c r="DK205" s="35"/>
      <c r="DL205" s="35"/>
      <c r="DM205" s="35"/>
      <c r="DN205" s="35"/>
      <c r="DO205" s="35"/>
      <c r="DP205" s="35"/>
      <c r="DQ205" s="35"/>
      <c r="DR205" s="35"/>
      <c r="DS205" s="35"/>
      <c r="DT205" s="35"/>
      <c r="DU205" s="35"/>
      <c r="DV205" s="35"/>
      <c r="DW205" s="28">
        <f t="shared" si="10"/>
        <v>0</v>
      </c>
      <c r="DX205" s="5"/>
    </row>
    <row r="206" spans="1:128" s="33" customFormat="1" x14ac:dyDescent="0.2">
      <c r="A206" s="47" t="s">
        <v>358</v>
      </c>
      <c r="B206" s="60">
        <f t="shared" si="9"/>
        <v>0</v>
      </c>
      <c r="C206" s="52">
        <v>1</v>
      </c>
      <c r="D206" s="55">
        <v>44809</v>
      </c>
      <c r="E206" s="62">
        <v>43.98</v>
      </c>
      <c r="F206" s="62">
        <f t="shared" si="8"/>
        <v>0</v>
      </c>
      <c r="G206" s="60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1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  <c r="AY206" s="35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  <c r="CD206" s="35"/>
      <c r="CE206" s="35"/>
      <c r="CF206" s="35"/>
      <c r="CG206" s="35"/>
      <c r="CH206" s="35"/>
      <c r="CI206" s="35"/>
      <c r="CJ206" s="35"/>
      <c r="CK206" s="35"/>
      <c r="CL206" s="35"/>
      <c r="CM206" s="35"/>
      <c r="CN206" s="35"/>
      <c r="CO206" s="35"/>
      <c r="CP206" s="35"/>
      <c r="CQ206" s="35"/>
      <c r="CR206" s="35"/>
      <c r="CS206" s="35"/>
      <c r="CT206" s="35"/>
      <c r="CU206" s="35"/>
      <c r="CV206" s="35"/>
      <c r="CW206" s="35"/>
      <c r="CX206" s="35"/>
      <c r="CY206" s="35"/>
      <c r="CZ206" s="35"/>
      <c r="DA206" s="35"/>
      <c r="DB206" s="35"/>
      <c r="DC206" s="35"/>
      <c r="DD206" s="35"/>
      <c r="DE206" s="35"/>
      <c r="DF206" s="35"/>
      <c r="DG206" s="35"/>
      <c r="DH206" s="35"/>
      <c r="DI206" s="35"/>
      <c r="DJ206" s="35"/>
      <c r="DK206" s="35"/>
      <c r="DL206" s="35"/>
      <c r="DM206" s="35"/>
      <c r="DN206" s="35"/>
      <c r="DO206" s="35"/>
      <c r="DP206" s="35"/>
      <c r="DQ206" s="35"/>
      <c r="DR206" s="35"/>
      <c r="DS206" s="35"/>
      <c r="DT206" s="35"/>
      <c r="DU206" s="35"/>
      <c r="DV206" s="35"/>
      <c r="DW206" s="28">
        <f t="shared" si="10"/>
        <v>0</v>
      </c>
      <c r="DX206" s="5"/>
    </row>
    <row r="207" spans="1:128" s="33" customFormat="1" x14ac:dyDescent="0.2">
      <c r="A207" s="47" t="s">
        <v>309</v>
      </c>
      <c r="B207" s="60">
        <f t="shared" si="9"/>
        <v>0</v>
      </c>
      <c r="C207" s="52">
        <v>10</v>
      </c>
      <c r="D207" s="55">
        <v>44354</v>
      </c>
      <c r="E207" s="62">
        <v>19.48</v>
      </c>
      <c r="F207" s="62">
        <f t="shared" si="8"/>
        <v>0</v>
      </c>
      <c r="G207" s="60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1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  <c r="AY207" s="35"/>
      <c r="AZ207" s="35"/>
      <c r="BA207" s="35"/>
      <c r="BB207" s="35"/>
      <c r="BC207" s="35"/>
      <c r="BD207" s="35"/>
      <c r="BE207" s="35"/>
      <c r="BF207" s="35"/>
      <c r="BG207" s="35"/>
      <c r="BH207" s="35"/>
      <c r="BI207" s="35"/>
      <c r="BJ207" s="35"/>
      <c r="BK207" s="35"/>
      <c r="BL207" s="35"/>
      <c r="BM207" s="35"/>
      <c r="BN207" s="35"/>
      <c r="BO207" s="35"/>
      <c r="BP207" s="35"/>
      <c r="BQ207" s="35"/>
      <c r="BR207" s="35"/>
      <c r="BS207" s="35"/>
      <c r="BT207" s="35"/>
      <c r="BU207" s="35"/>
      <c r="BV207" s="35"/>
      <c r="BW207" s="35"/>
      <c r="BX207" s="35"/>
      <c r="BY207" s="35"/>
      <c r="BZ207" s="35"/>
      <c r="CA207" s="35"/>
      <c r="CB207" s="35"/>
      <c r="CC207" s="35"/>
      <c r="CD207" s="35"/>
      <c r="CE207" s="35"/>
      <c r="CF207" s="35"/>
      <c r="CG207" s="35"/>
      <c r="CH207" s="35"/>
      <c r="CI207" s="35"/>
      <c r="CJ207" s="35"/>
      <c r="CK207" s="35"/>
      <c r="CL207" s="35"/>
      <c r="CM207" s="35"/>
      <c r="CN207" s="35"/>
      <c r="CO207" s="35"/>
      <c r="CP207" s="35"/>
      <c r="CQ207" s="35"/>
      <c r="CR207" s="35"/>
      <c r="CS207" s="35"/>
      <c r="CT207" s="35"/>
      <c r="CU207" s="35"/>
      <c r="CV207" s="35"/>
      <c r="CW207" s="35"/>
      <c r="CX207" s="35"/>
      <c r="CY207" s="35"/>
      <c r="CZ207" s="35"/>
      <c r="DA207" s="35"/>
      <c r="DB207" s="35"/>
      <c r="DC207" s="35"/>
      <c r="DD207" s="35"/>
      <c r="DE207" s="35"/>
      <c r="DF207" s="35"/>
      <c r="DG207" s="35"/>
      <c r="DH207" s="35"/>
      <c r="DI207" s="35"/>
      <c r="DJ207" s="35"/>
      <c r="DK207" s="35"/>
      <c r="DL207" s="35"/>
      <c r="DM207" s="35"/>
      <c r="DN207" s="35"/>
      <c r="DO207" s="35"/>
      <c r="DP207" s="35"/>
      <c r="DQ207" s="35"/>
      <c r="DR207" s="35"/>
      <c r="DS207" s="35"/>
      <c r="DT207" s="35"/>
      <c r="DU207" s="35"/>
      <c r="DV207" s="35"/>
      <c r="DW207" s="28">
        <f t="shared" si="10"/>
        <v>0</v>
      </c>
      <c r="DX207" s="5"/>
    </row>
    <row r="208" spans="1:128" s="33" customFormat="1" x14ac:dyDescent="0.2">
      <c r="A208" s="47" t="s">
        <v>416</v>
      </c>
      <c r="B208" s="60">
        <f t="shared" si="9"/>
        <v>0.8</v>
      </c>
      <c r="C208" s="52">
        <v>1.1000000000000001</v>
      </c>
      <c r="D208" s="55">
        <v>44494</v>
      </c>
      <c r="E208" s="62">
        <v>59.37</v>
      </c>
      <c r="F208" s="62">
        <f t="shared" si="8"/>
        <v>47.496000000000002</v>
      </c>
      <c r="G208" s="60">
        <v>0.8</v>
      </c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1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BH208" s="35"/>
      <c r="BI208" s="35"/>
      <c r="BJ208" s="35"/>
      <c r="BK208" s="35"/>
      <c r="BL208" s="35"/>
      <c r="BM208" s="35"/>
      <c r="BN208" s="35"/>
      <c r="BO208" s="35"/>
      <c r="BP208" s="35"/>
      <c r="BQ208" s="35"/>
      <c r="BR208" s="35"/>
      <c r="BS208" s="35"/>
      <c r="BT208" s="35"/>
      <c r="BU208" s="35"/>
      <c r="BV208" s="35"/>
      <c r="BW208" s="35"/>
      <c r="BX208" s="35"/>
      <c r="BY208" s="35"/>
      <c r="BZ208" s="35"/>
      <c r="CA208" s="35"/>
      <c r="CB208" s="35"/>
      <c r="CC208" s="35"/>
      <c r="CD208" s="35"/>
      <c r="CE208" s="35"/>
      <c r="CF208" s="35"/>
      <c r="CG208" s="35"/>
      <c r="CH208" s="35"/>
      <c r="CI208" s="35"/>
      <c r="CJ208" s="35"/>
      <c r="CK208" s="35"/>
      <c r="CL208" s="35"/>
      <c r="CM208" s="35"/>
      <c r="CN208" s="35"/>
      <c r="CO208" s="35"/>
      <c r="CP208" s="35"/>
      <c r="CQ208" s="35"/>
      <c r="CR208" s="35"/>
      <c r="CS208" s="35"/>
      <c r="CT208" s="35"/>
      <c r="CU208" s="35"/>
      <c r="CV208" s="35"/>
      <c r="CW208" s="35"/>
      <c r="CX208" s="35"/>
      <c r="CY208" s="35"/>
      <c r="CZ208" s="35"/>
      <c r="DA208" s="35"/>
      <c r="DB208" s="35"/>
      <c r="DC208" s="35"/>
      <c r="DD208" s="35"/>
      <c r="DE208" s="35"/>
      <c r="DF208" s="35"/>
      <c r="DG208" s="35"/>
      <c r="DH208" s="35"/>
      <c r="DI208" s="35"/>
      <c r="DJ208" s="35"/>
      <c r="DK208" s="35"/>
      <c r="DL208" s="35"/>
      <c r="DM208" s="35"/>
      <c r="DN208" s="35"/>
      <c r="DO208" s="35"/>
      <c r="DP208" s="35"/>
      <c r="DQ208" s="35"/>
      <c r="DR208" s="35"/>
      <c r="DS208" s="35"/>
      <c r="DT208" s="35"/>
      <c r="DU208" s="35"/>
      <c r="DV208" s="35">
        <v>0.8</v>
      </c>
      <c r="DW208" s="28">
        <f t="shared" si="10"/>
        <v>0</v>
      </c>
      <c r="DX208" s="5"/>
    </row>
    <row r="209" spans="1:128" s="33" customFormat="1" x14ac:dyDescent="0.2">
      <c r="A209" s="47" t="s">
        <v>500</v>
      </c>
      <c r="B209" s="60">
        <f t="shared" si="9"/>
        <v>0</v>
      </c>
      <c r="C209" s="52">
        <v>1</v>
      </c>
      <c r="D209" s="55">
        <v>44781</v>
      </c>
      <c r="E209" s="62">
        <v>42.13</v>
      </c>
      <c r="F209" s="62">
        <f t="shared" si="8"/>
        <v>0</v>
      </c>
      <c r="G209" s="60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1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  <c r="AY209" s="35"/>
      <c r="AZ209" s="35"/>
      <c r="BA209" s="35"/>
      <c r="BB209" s="35"/>
      <c r="BC209" s="35"/>
      <c r="BD209" s="35"/>
      <c r="BE209" s="35"/>
      <c r="BF209" s="35"/>
      <c r="BG209" s="35"/>
      <c r="BH209" s="35"/>
      <c r="BI209" s="35"/>
      <c r="BJ209" s="35"/>
      <c r="BK209" s="35"/>
      <c r="BL209" s="35"/>
      <c r="BM209" s="35"/>
      <c r="BN209" s="35"/>
      <c r="BO209" s="35"/>
      <c r="BP209" s="35"/>
      <c r="BQ209" s="35"/>
      <c r="BR209" s="35"/>
      <c r="BS209" s="35"/>
      <c r="BT209" s="35"/>
      <c r="BU209" s="35"/>
      <c r="BV209" s="35"/>
      <c r="BW209" s="35"/>
      <c r="BX209" s="35"/>
      <c r="BY209" s="35"/>
      <c r="BZ209" s="35"/>
      <c r="CA209" s="35"/>
      <c r="CB209" s="35"/>
      <c r="CC209" s="35"/>
      <c r="CD209" s="35"/>
      <c r="CE209" s="35"/>
      <c r="CF209" s="35"/>
      <c r="CG209" s="35"/>
      <c r="CH209" s="35"/>
      <c r="CI209" s="35"/>
      <c r="CJ209" s="35"/>
      <c r="CK209" s="35"/>
      <c r="CL209" s="35"/>
      <c r="CM209" s="35"/>
      <c r="CN209" s="35"/>
      <c r="CO209" s="35"/>
      <c r="CP209" s="35"/>
      <c r="CQ209" s="35"/>
      <c r="CR209" s="35"/>
      <c r="CS209" s="35"/>
      <c r="CT209" s="35"/>
      <c r="CU209" s="35"/>
      <c r="CV209" s="35"/>
      <c r="CW209" s="35"/>
      <c r="CX209" s="35"/>
      <c r="CY209" s="35"/>
      <c r="CZ209" s="35"/>
      <c r="DA209" s="35"/>
      <c r="DB209" s="35"/>
      <c r="DC209" s="35"/>
      <c r="DD209" s="35"/>
      <c r="DE209" s="35"/>
      <c r="DF209" s="35"/>
      <c r="DG209" s="35"/>
      <c r="DH209" s="35"/>
      <c r="DI209" s="35"/>
      <c r="DJ209" s="35"/>
      <c r="DK209" s="35"/>
      <c r="DL209" s="35"/>
      <c r="DM209" s="35"/>
      <c r="DN209" s="35"/>
      <c r="DO209" s="35"/>
      <c r="DP209" s="35"/>
      <c r="DQ209" s="35"/>
      <c r="DR209" s="35"/>
      <c r="DS209" s="35"/>
      <c r="DT209" s="35"/>
      <c r="DU209" s="35"/>
      <c r="DV209" s="35"/>
      <c r="DW209" s="28">
        <f t="shared" si="10"/>
        <v>0</v>
      </c>
      <c r="DX209" s="5"/>
    </row>
    <row r="210" spans="1:128" s="33" customFormat="1" x14ac:dyDescent="0.2">
      <c r="A210" s="23" t="s">
        <v>28</v>
      </c>
      <c r="B210" s="60">
        <f t="shared" si="9"/>
        <v>0</v>
      </c>
      <c r="C210" s="52">
        <v>0.9</v>
      </c>
      <c r="D210" s="55">
        <v>44844</v>
      </c>
      <c r="E210" s="62">
        <v>75.510000000000005</v>
      </c>
      <c r="F210" s="62">
        <f t="shared" si="8"/>
        <v>0</v>
      </c>
      <c r="G210" s="60">
        <v>0.9</v>
      </c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>
        <v>0.9</v>
      </c>
      <c r="S210" s="35"/>
      <c r="T210" s="35"/>
      <c r="U210" s="1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  <c r="AY210" s="35"/>
      <c r="AZ210" s="35"/>
      <c r="BA210" s="35"/>
      <c r="BB210" s="35"/>
      <c r="BC210" s="35"/>
      <c r="BD210" s="35"/>
      <c r="BE210" s="35"/>
      <c r="BF210" s="35"/>
      <c r="BG210" s="35"/>
      <c r="BH210" s="35"/>
      <c r="BI210" s="35"/>
      <c r="BJ210" s="35"/>
      <c r="BK210" s="35"/>
      <c r="BL210" s="35"/>
      <c r="BM210" s="35"/>
      <c r="BN210" s="35"/>
      <c r="BO210" s="35"/>
      <c r="BP210" s="35"/>
      <c r="BQ210" s="35"/>
      <c r="BR210" s="35"/>
      <c r="BS210" s="35"/>
      <c r="BT210" s="35"/>
      <c r="BU210" s="35"/>
      <c r="BV210" s="35"/>
      <c r="BW210" s="35"/>
      <c r="BX210" s="35"/>
      <c r="BY210" s="35"/>
      <c r="BZ210" s="35"/>
      <c r="CA210" s="35"/>
      <c r="CB210" s="35"/>
      <c r="CC210" s="35"/>
      <c r="CD210" s="35"/>
      <c r="CE210" s="35"/>
      <c r="CF210" s="35"/>
      <c r="CG210" s="35"/>
      <c r="CH210" s="35"/>
      <c r="CI210" s="35"/>
      <c r="CJ210" s="35"/>
      <c r="CK210" s="35"/>
      <c r="CL210" s="35"/>
      <c r="CM210" s="35"/>
      <c r="CN210" s="35"/>
      <c r="CO210" s="35"/>
      <c r="CP210" s="35"/>
      <c r="CQ210" s="35"/>
      <c r="CR210" s="35"/>
      <c r="CS210" s="35"/>
      <c r="CT210" s="35"/>
      <c r="CU210" s="35"/>
      <c r="CV210" s="35"/>
      <c r="CW210" s="35"/>
      <c r="CX210" s="35"/>
      <c r="CY210" s="35"/>
      <c r="CZ210" s="35"/>
      <c r="DA210" s="35"/>
      <c r="DB210" s="35"/>
      <c r="DC210" s="35"/>
      <c r="DD210" s="35"/>
      <c r="DE210" s="35"/>
      <c r="DF210" s="35"/>
      <c r="DG210" s="35"/>
      <c r="DH210" s="35"/>
      <c r="DI210" s="35"/>
      <c r="DJ210" s="35"/>
      <c r="DK210" s="35"/>
      <c r="DL210" s="35"/>
      <c r="DM210" s="35"/>
      <c r="DN210" s="35"/>
      <c r="DO210" s="35"/>
      <c r="DP210" s="35"/>
      <c r="DQ210" s="35"/>
      <c r="DR210" s="35"/>
      <c r="DS210" s="35"/>
      <c r="DT210" s="35"/>
      <c r="DU210" s="35"/>
      <c r="DV210" s="35"/>
      <c r="DW210" s="28">
        <f t="shared" si="10"/>
        <v>0</v>
      </c>
      <c r="DX210" s="5"/>
    </row>
    <row r="211" spans="1:128" s="33" customFormat="1" x14ac:dyDescent="0.2">
      <c r="A211" s="47" t="s">
        <v>149</v>
      </c>
      <c r="B211" s="60">
        <f t="shared" si="9"/>
        <v>0</v>
      </c>
      <c r="C211" s="52">
        <v>0.9</v>
      </c>
      <c r="D211" s="55">
        <v>44851</v>
      </c>
      <c r="E211" s="62">
        <v>69.16</v>
      </c>
      <c r="F211" s="62">
        <f t="shared" si="8"/>
        <v>0</v>
      </c>
      <c r="G211" s="60">
        <v>2.7</v>
      </c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>
        <v>2.7</v>
      </c>
      <c r="S211" s="35"/>
      <c r="T211" s="35"/>
      <c r="U211" s="1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BH211" s="35"/>
      <c r="BI211" s="35"/>
      <c r="BJ211" s="35"/>
      <c r="BK211" s="35"/>
      <c r="BL211" s="35"/>
      <c r="BM211" s="35"/>
      <c r="BN211" s="35"/>
      <c r="BO211" s="35"/>
      <c r="BP211" s="35"/>
      <c r="BQ211" s="35"/>
      <c r="BR211" s="35"/>
      <c r="BS211" s="35"/>
      <c r="BT211" s="35"/>
      <c r="BU211" s="35"/>
      <c r="BV211" s="35"/>
      <c r="BW211" s="35"/>
      <c r="BX211" s="35"/>
      <c r="BY211" s="35"/>
      <c r="BZ211" s="35"/>
      <c r="CA211" s="35"/>
      <c r="CB211" s="35"/>
      <c r="CC211" s="35"/>
      <c r="CD211" s="35"/>
      <c r="CE211" s="35"/>
      <c r="CF211" s="35"/>
      <c r="CG211" s="35"/>
      <c r="CH211" s="35"/>
      <c r="CI211" s="35"/>
      <c r="CJ211" s="35"/>
      <c r="CK211" s="35"/>
      <c r="CL211" s="35"/>
      <c r="CM211" s="35"/>
      <c r="CN211" s="35"/>
      <c r="CO211" s="35"/>
      <c r="CP211" s="35"/>
      <c r="CQ211" s="35"/>
      <c r="CR211" s="35"/>
      <c r="CS211" s="35"/>
      <c r="CT211" s="35"/>
      <c r="CU211" s="35"/>
      <c r="CV211" s="35"/>
      <c r="CW211" s="35"/>
      <c r="CX211" s="35"/>
      <c r="CY211" s="35"/>
      <c r="CZ211" s="35"/>
      <c r="DA211" s="35"/>
      <c r="DB211" s="35"/>
      <c r="DC211" s="35"/>
      <c r="DD211" s="35"/>
      <c r="DE211" s="35"/>
      <c r="DF211" s="35"/>
      <c r="DG211" s="35"/>
      <c r="DH211" s="35"/>
      <c r="DI211" s="35"/>
      <c r="DJ211" s="35"/>
      <c r="DK211" s="35"/>
      <c r="DL211" s="35"/>
      <c r="DM211" s="35"/>
      <c r="DN211" s="35"/>
      <c r="DO211" s="35"/>
      <c r="DP211" s="35"/>
      <c r="DQ211" s="35"/>
      <c r="DR211" s="35"/>
      <c r="DS211" s="35"/>
      <c r="DT211" s="35"/>
      <c r="DU211" s="35"/>
      <c r="DV211" s="35"/>
      <c r="DW211" s="28">
        <f t="shared" si="10"/>
        <v>0</v>
      </c>
      <c r="DX211" s="5"/>
    </row>
    <row r="212" spans="1:128" s="33" customFormat="1" x14ac:dyDescent="0.2">
      <c r="A212" s="39" t="s">
        <v>177</v>
      </c>
      <c r="B212" s="60">
        <f t="shared" si="9"/>
        <v>0</v>
      </c>
      <c r="C212" s="52">
        <v>0.9</v>
      </c>
      <c r="D212" s="54">
        <v>44669</v>
      </c>
      <c r="E212" s="62">
        <v>124.29</v>
      </c>
      <c r="F212" s="62">
        <f t="shared" si="8"/>
        <v>0</v>
      </c>
      <c r="G212" s="60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1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BH212" s="35"/>
      <c r="BI212" s="35"/>
      <c r="BJ212" s="35"/>
      <c r="BK212" s="35"/>
      <c r="BL212" s="35"/>
      <c r="BM212" s="35"/>
      <c r="BN212" s="35"/>
      <c r="BO212" s="35"/>
      <c r="BP212" s="35"/>
      <c r="BQ212" s="35"/>
      <c r="BR212" s="35"/>
      <c r="BS212" s="35"/>
      <c r="BT212" s="35"/>
      <c r="BU212" s="35"/>
      <c r="BV212" s="35"/>
      <c r="BW212" s="35"/>
      <c r="BX212" s="35"/>
      <c r="BY212" s="35"/>
      <c r="BZ212" s="35"/>
      <c r="CA212" s="35"/>
      <c r="CB212" s="35"/>
      <c r="CC212" s="35"/>
      <c r="CD212" s="35"/>
      <c r="CE212" s="35"/>
      <c r="CF212" s="35"/>
      <c r="CG212" s="35"/>
      <c r="CH212" s="35"/>
      <c r="CI212" s="35"/>
      <c r="CJ212" s="35"/>
      <c r="CK212" s="35"/>
      <c r="CL212" s="35"/>
      <c r="CM212" s="35"/>
      <c r="CN212" s="35"/>
      <c r="CO212" s="35"/>
      <c r="CP212" s="35"/>
      <c r="CQ212" s="35"/>
      <c r="CR212" s="35"/>
      <c r="CS212" s="35"/>
      <c r="CT212" s="35"/>
      <c r="CU212" s="35"/>
      <c r="CV212" s="35"/>
      <c r="CW212" s="35"/>
      <c r="CX212" s="35"/>
      <c r="CY212" s="35"/>
      <c r="CZ212" s="35"/>
      <c r="DA212" s="35"/>
      <c r="DB212" s="35"/>
      <c r="DC212" s="35"/>
      <c r="DD212" s="35"/>
      <c r="DE212" s="35"/>
      <c r="DF212" s="35"/>
      <c r="DG212" s="35"/>
      <c r="DH212" s="35"/>
      <c r="DI212" s="35"/>
      <c r="DJ212" s="35"/>
      <c r="DK212" s="35"/>
      <c r="DL212" s="35"/>
      <c r="DM212" s="35"/>
      <c r="DN212" s="35"/>
      <c r="DO212" s="35"/>
      <c r="DP212" s="35"/>
      <c r="DQ212" s="35"/>
      <c r="DR212" s="35"/>
      <c r="DS212" s="35"/>
      <c r="DT212" s="35"/>
      <c r="DU212" s="35"/>
      <c r="DV212" s="35"/>
      <c r="DW212" s="28">
        <f t="shared" si="10"/>
        <v>0</v>
      </c>
      <c r="DX212" s="5"/>
    </row>
    <row r="213" spans="1:128" s="33" customFormat="1" x14ac:dyDescent="0.2">
      <c r="A213" s="39" t="s">
        <v>322</v>
      </c>
      <c r="B213" s="60">
        <f t="shared" si="9"/>
        <v>0</v>
      </c>
      <c r="C213" s="52">
        <v>1.1000000000000001</v>
      </c>
      <c r="D213" s="54">
        <v>44732</v>
      </c>
      <c r="E213" s="62">
        <v>53.42</v>
      </c>
      <c r="F213" s="62">
        <f t="shared" si="8"/>
        <v>0</v>
      </c>
      <c r="G213" s="60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1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  <c r="AY213" s="35"/>
      <c r="AZ213" s="35"/>
      <c r="BA213" s="35"/>
      <c r="BB213" s="35"/>
      <c r="BC213" s="35"/>
      <c r="BD213" s="35"/>
      <c r="BE213" s="35"/>
      <c r="BF213" s="35"/>
      <c r="BG213" s="35"/>
      <c r="BH213" s="35"/>
      <c r="BI213" s="35"/>
      <c r="BJ213" s="35"/>
      <c r="BK213" s="35"/>
      <c r="BL213" s="35"/>
      <c r="BM213" s="35"/>
      <c r="BN213" s="35"/>
      <c r="BO213" s="35"/>
      <c r="BP213" s="35"/>
      <c r="BQ213" s="35"/>
      <c r="BR213" s="35"/>
      <c r="BS213" s="35"/>
      <c r="BT213" s="35"/>
      <c r="BU213" s="35"/>
      <c r="BV213" s="35"/>
      <c r="BW213" s="35"/>
      <c r="BX213" s="35"/>
      <c r="BY213" s="35"/>
      <c r="BZ213" s="35"/>
      <c r="CA213" s="35"/>
      <c r="CB213" s="35"/>
      <c r="CC213" s="35"/>
      <c r="CD213" s="35"/>
      <c r="CE213" s="35"/>
      <c r="CF213" s="35"/>
      <c r="CG213" s="35"/>
      <c r="CH213" s="35"/>
      <c r="CI213" s="35"/>
      <c r="CJ213" s="35"/>
      <c r="CK213" s="35"/>
      <c r="CL213" s="35"/>
      <c r="CM213" s="35"/>
      <c r="CN213" s="35"/>
      <c r="CO213" s="35"/>
      <c r="CP213" s="35"/>
      <c r="CQ213" s="35"/>
      <c r="CR213" s="35"/>
      <c r="CS213" s="35"/>
      <c r="CT213" s="35"/>
      <c r="CU213" s="35"/>
      <c r="CV213" s="35"/>
      <c r="CW213" s="35"/>
      <c r="CX213" s="35"/>
      <c r="CY213" s="35"/>
      <c r="CZ213" s="35"/>
      <c r="DA213" s="35"/>
      <c r="DB213" s="35"/>
      <c r="DC213" s="35"/>
      <c r="DD213" s="35"/>
      <c r="DE213" s="35"/>
      <c r="DF213" s="35"/>
      <c r="DG213" s="35"/>
      <c r="DH213" s="35"/>
      <c r="DI213" s="35"/>
      <c r="DJ213" s="35"/>
      <c r="DK213" s="35"/>
      <c r="DL213" s="35"/>
      <c r="DM213" s="35"/>
      <c r="DN213" s="35"/>
      <c r="DO213" s="35"/>
      <c r="DP213" s="35"/>
      <c r="DQ213" s="35"/>
      <c r="DR213" s="35"/>
      <c r="DS213" s="35"/>
      <c r="DT213" s="35"/>
      <c r="DU213" s="35"/>
      <c r="DV213" s="35"/>
      <c r="DW213" s="28">
        <f t="shared" si="10"/>
        <v>0</v>
      </c>
      <c r="DX213" s="5"/>
    </row>
    <row r="214" spans="1:128" s="33" customFormat="1" x14ac:dyDescent="0.2">
      <c r="A214" s="39" t="s">
        <v>351</v>
      </c>
      <c r="B214" s="60">
        <f t="shared" si="9"/>
        <v>0</v>
      </c>
      <c r="C214" s="52">
        <v>10</v>
      </c>
      <c r="D214" s="54">
        <v>44844</v>
      </c>
      <c r="E214" s="62">
        <v>34.32</v>
      </c>
      <c r="F214" s="62">
        <f t="shared" si="8"/>
        <v>0</v>
      </c>
      <c r="G214" s="60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1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  <c r="AY214" s="35"/>
      <c r="AZ214" s="35"/>
      <c r="BA214" s="35"/>
      <c r="BB214" s="35"/>
      <c r="BC214" s="35"/>
      <c r="BD214" s="35"/>
      <c r="BE214" s="35"/>
      <c r="BF214" s="35"/>
      <c r="BG214" s="35"/>
      <c r="BH214" s="35"/>
      <c r="BI214" s="35"/>
      <c r="BJ214" s="35"/>
      <c r="BK214" s="35"/>
      <c r="BL214" s="35"/>
      <c r="BM214" s="35"/>
      <c r="BN214" s="35"/>
      <c r="BO214" s="35"/>
      <c r="BP214" s="35"/>
      <c r="BQ214" s="35"/>
      <c r="BR214" s="35"/>
      <c r="BS214" s="35"/>
      <c r="BT214" s="35"/>
      <c r="BU214" s="35"/>
      <c r="BV214" s="35"/>
      <c r="BW214" s="35"/>
      <c r="BX214" s="35"/>
      <c r="BY214" s="35"/>
      <c r="BZ214" s="35"/>
      <c r="CA214" s="35"/>
      <c r="CB214" s="35"/>
      <c r="CC214" s="35"/>
      <c r="CD214" s="35"/>
      <c r="CE214" s="35"/>
      <c r="CF214" s="35"/>
      <c r="CG214" s="35"/>
      <c r="CH214" s="35"/>
      <c r="CI214" s="35"/>
      <c r="CJ214" s="35"/>
      <c r="CK214" s="35"/>
      <c r="CL214" s="35"/>
      <c r="CM214" s="35"/>
      <c r="CN214" s="35"/>
      <c r="CO214" s="35"/>
      <c r="CP214" s="35"/>
      <c r="CQ214" s="35"/>
      <c r="CR214" s="35"/>
      <c r="CS214" s="35"/>
      <c r="CT214" s="35"/>
      <c r="CU214" s="35"/>
      <c r="CV214" s="35"/>
      <c r="CW214" s="35"/>
      <c r="CX214" s="35"/>
      <c r="CY214" s="35"/>
      <c r="CZ214" s="35"/>
      <c r="DA214" s="35"/>
      <c r="DB214" s="35"/>
      <c r="DC214" s="35"/>
      <c r="DD214" s="35"/>
      <c r="DE214" s="35"/>
      <c r="DF214" s="35"/>
      <c r="DG214" s="35"/>
      <c r="DH214" s="35"/>
      <c r="DI214" s="35"/>
      <c r="DJ214" s="35"/>
      <c r="DK214" s="35"/>
      <c r="DL214" s="35"/>
      <c r="DM214" s="35"/>
      <c r="DN214" s="35"/>
      <c r="DO214" s="35"/>
      <c r="DP214" s="35"/>
      <c r="DQ214" s="35"/>
      <c r="DR214" s="35"/>
      <c r="DS214" s="35"/>
      <c r="DT214" s="35"/>
      <c r="DU214" s="35"/>
      <c r="DV214" s="35"/>
      <c r="DW214" s="28">
        <f t="shared" si="10"/>
        <v>0</v>
      </c>
      <c r="DX214" s="5"/>
    </row>
    <row r="215" spans="1:128" s="33" customFormat="1" x14ac:dyDescent="0.2">
      <c r="A215" s="39" t="s">
        <v>263</v>
      </c>
      <c r="B215" s="60">
        <f t="shared" si="9"/>
        <v>0</v>
      </c>
      <c r="C215" s="52">
        <v>10</v>
      </c>
      <c r="D215" s="54">
        <v>44732</v>
      </c>
      <c r="E215" s="62">
        <v>33.85</v>
      </c>
      <c r="F215" s="62">
        <f t="shared" si="8"/>
        <v>0</v>
      </c>
      <c r="G215" s="60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1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  <c r="AY215" s="35"/>
      <c r="AZ215" s="35"/>
      <c r="BA215" s="35"/>
      <c r="BB215" s="35"/>
      <c r="BC215" s="35"/>
      <c r="BD215" s="35"/>
      <c r="BE215" s="35"/>
      <c r="BF215" s="35"/>
      <c r="BG215" s="35"/>
      <c r="BH215" s="35"/>
      <c r="BI215" s="35"/>
      <c r="BJ215" s="35"/>
      <c r="BK215" s="35"/>
      <c r="BL215" s="35"/>
      <c r="BM215" s="35"/>
      <c r="BN215" s="35"/>
      <c r="BO215" s="35"/>
      <c r="BP215" s="35"/>
      <c r="BQ215" s="35"/>
      <c r="BR215" s="35"/>
      <c r="BS215" s="35"/>
      <c r="BT215" s="35"/>
      <c r="BU215" s="35"/>
      <c r="BV215" s="35"/>
      <c r="BW215" s="35"/>
      <c r="BX215" s="35"/>
      <c r="BY215" s="35"/>
      <c r="BZ215" s="35"/>
      <c r="CA215" s="35"/>
      <c r="CB215" s="35"/>
      <c r="CC215" s="35"/>
      <c r="CD215" s="35"/>
      <c r="CE215" s="35"/>
      <c r="CF215" s="35"/>
      <c r="CG215" s="35"/>
      <c r="CH215" s="35"/>
      <c r="CI215" s="35"/>
      <c r="CJ215" s="35"/>
      <c r="CK215" s="35"/>
      <c r="CL215" s="35"/>
      <c r="CM215" s="35"/>
      <c r="CN215" s="35"/>
      <c r="CO215" s="35"/>
      <c r="CP215" s="35"/>
      <c r="CQ215" s="35"/>
      <c r="CR215" s="35"/>
      <c r="CS215" s="35"/>
      <c r="CT215" s="35"/>
      <c r="CU215" s="35"/>
      <c r="CV215" s="35"/>
      <c r="CW215" s="35"/>
      <c r="CX215" s="35"/>
      <c r="CY215" s="35"/>
      <c r="CZ215" s="35"/>
      <c r="DA215" s="35"/>
      <c r="DB215" s="35"/>
      <c r="DC215" s="35"/>
      <c r="DD215" s="35"/>
      <c r="DE215" s="35"/>
      <c r="DF215" s="35"/>
      <c r="DG215" s="35"/>
      <c r="DH215" s="35"/>
      <c r="DI215" s="35"/>
      <c r="DJ215" s="35"/>
      <c r="DK215" s="35"/>
      <c r="DL215" s="35"/>
      <c r="DM215" s="35"/>
      <c r="DN215" s="35"/>
      <c r="DO215" s="35"/>
      <c r="DP215" s="35"/>
      <c r="DQ215" s="35"/>
      <c r="DR215" s="35"/>
      <c r="DS215" s="35"/>
      <c r="DT215" s="35"/>
      <c r="DU215" s="35"/>
      <c r="DV215" s="35"/>
      <c r="DW215" s="28">
        <f t="shared" si="10"/>
        <v>0</v>
      </c>
      <c r="DX215" s="5"/>
    </row>
    <row r="216" spans="1:128" s="33" customFormat="1" x14ac:dyDescent="0.2">
      <c r="A216" s="39" t="s">
        <v>461</v>
      </c>
      <c r="B216" s="60">
        <f t="shared" si="9"/>
        <v>0</v>
      </c>
      <c r="C216" s="52">
        <v>1</v>
      </c>
      <c r="D216" s="54">
        <v>44970</v>
      </c>
      <c r="E216" s="62">
        <v>41.88</v>
      </c>
      <c r="F216" s="62">
        <f t="shared" si="8"/>
        <v>0</v>
      </c>
      <c r="G216" s="60"/>
      <c r="H216" s="35"/>
      <c r="I216" s="35"/>
      <c r="J216" s="35"/>
      <c r="K216" s="35"/>
      <c r="L216" s="35">
        <v>6</v>
      </c>
      <c r="M216" s="35"/>
      <c r="N216" s="35"/>
      <c r="O216" s="35"/>
      <c r="P216" s="35"/>
      <c r="Q216" s="35"/>
      <c r="R216" s="35"/>
      <c r="S216" s="35"/>
      <c r="T216" s="35"/>
      <c r="U216" s="1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BH216" s="35"/>
      <c r="BI216" s="35"/>
      <c r="BJ216" s="35"/>
      <c r="BK216" s="35"/>
      <c r="BL216" s="35"/>
      <c r="BM216" s="35"/>
      <c r="BN216" s="35"/>
      <c r="BO216" s="35"/>
      <c r="BP216" s="35"/>
      <c r="BQ216" s="35"/>
      <c r="BR216" s="35"/>
      <c r="BS216" s="35"/>
      <c r="BT216" s="35"/>
      <c r="BU216" s="35"/>
      <c r="BV216" s="35"/>
      <c r="BW216" s="35"/>
      <c r="BX216" s="35"/>
      <c r="BY216" s="35"/>
      <c r="BZ216" s="35"/>
      <c r="CA216" s="35"/>
      <c r="CB216" s="35"/>
      <c r="CC216" s="35"/>
      <c r="CD216" s="35"/>
      <c r="CE216" s="35"/>
      <c r="CF216" s="35"/>
      <c r="CG216" s="35"/>
      <c r="CH216" s="35"/>
      <c r="CI216" s="35"/>
      <c r="CJ216" s="35"/>
      <c r="CK216" s="35"/>
      <c r="CL216" s="35"/>
      <c r="CM216" s="35"/>
      <c r="CN216" s="35"/>
      <c r="CO216" s="35"/>
      <c r="CP216" s="35"/>
      <c r="CQ216" s="35"/>
      <c r="CR216" s="35"/>
      <c r="CS216" s="35"/>
      <c r="CT216" s="35"/>
      <c r="CU216" s="35"/>
      <c r="CV216" s="35"/>
      <c r="CW216" s="35"/>
      <c r="CX216" s="35"/>
      <c r="CY216" s="35"/>
      <c r="CZ216" s="35"/>
      <c r="DA216" s="35"/>
      <c r="DB216" s="35"/>
      <c r="DC216" s="35"/>
      <c r="DD216" s="35"/>
      <c r="DE216" s="35"/>
      <c r="DF216" s="35"/>
      <c r="DG216" s="35"/>
      <c r="DH216" s="35"/>
      <c r="DI216" s="35"/>
      <c r="DJ216" s="35"/>
      <c r="DK216" s="35"/>
      <c r="DL216" s="35"/>
      <c r="DM216" s="35"/>
      <c r="DN216" s="35"/>
      <c r="DO216" s="35"/>
      <c r="DP216" s="35"/>
      <c r="DQ216" s="35">
        <v>6</v>
      </c>
      <c r="DR216" s="35"/>
      <c r="DS216" s="35"/>
      <c r="DT216" s="35"/>
      <c r="DU216" s="35"/>
      <c r="DV216" s="35"/>
      <c r="DW216" s="28">
        <f t="shared" si="10"/>
        <v>0</v>
      </c>
      <c r="DX216" s="5"/>
    </row>
    <row r="217" spans="1:128" s="33" customFormat="1" x14ac:dyDescent="0.2">
      <c r="A217" s="39" t="s">
        <v>17</v>
      </c>
      <c r="B217" s="60">
        <f t="shared" si="9"/>
        <v>0</v>
      </c>
      <c r="C217" s="52">
        <v>10</v>
      </c>
      <c r="D217" s="55">
        <v>44824</v>
      </c>
      <c r="E217" s="62">
        <v>36.700000000000003</v>
      </c>
      <c r="F217" s="62">
        <f t="shared" si="8"/>
        <v>0</v>
      </c>
      <c r="G217" s="60">
        <v>70</v>
      </c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1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>
        <v>10</v>
      </c>
      <c r="AK217" s="35">
        <v>60</v>
      </c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BH217" s="35"/>
      <c r="BI217" s="35"/>
      <c r="BJ217" s="35"/>
      <c r="BK217" s="35"/>
      <c r="BL217" s="35"/>
      <c r="BM217" s="35"/>
      <c r="BN217" s="35"/>
      <c r="BO217" s="35"/>
      <c r="BP217" s="35"/>
      <c r="BQ217" s="35"/>
      <c r="BR217" s="35"/>
      <c r="BS217" s="35"/>
      <c r="BT217" s="35"/>
      <c r="BU217" s="35"/>
      <c r="BV217" s="35"/>
      <c r="BW217" s="35"/>
      <c r="BX217" s="35"/>
      <c r="BY217" s="35"/>
      <c r="BZ217" s="35"/>
      <c r="CA217" s="35"/>
      <c r="CB217" s="35"/>
      <c r="CC217" s="35"/>
      <c r="CD217" s="35"/>
      <c r="CE217" s="35"/>
      <c r="CF217" s="35"/>
      <c r="CG217" s="35"/>
      <c r="CH217" s="35"/>
      <c r="CI217" s="35"/>
      <c r="CJ217" s="35"/>
      <c r="CK217" s="35"/>
      <c r="CL217" s="35"/>
      <c r="CM217" s="35"/>
      <c r="CN217" s="35"/>
      <c r="CO217" s="35"/>
      <c r="CP217" s="35"/>
      <c r="CQ217" s="35"/>
      <c r="CR217" s="35"/>
      <c r="CS217" s="35"/>
      <c r="CT217" s="35"/>
      <c r="CU217" s="35"/>
      <c r="CV217" s="35"/>
      <c r="CW217" s="35"/>
      <c r="CX217" s="35"/>
      <c r="CY217" s="35"/>
      <c r="CZ217" s="35"/>
      <c r="DA217" s="35"/>
      <c r="DB217" s="35"/>
      <c r="DC217" s="35"/>
      <c r="DD217" s="35"/>
      <c r="DE217" s="35"/>
      <c r="DF217" s="35"/>
      <c r="DG217" s="35"/>
      <c r="DH217" s="35"/>
      <c r="DI217" s="35"/>
      <c r="DJ217" s="35"/>
      <c r="DK217" s="35"/>
      <c r="DL217" s="35"/>
      <c r="DM217" s="35"/>
      <c r="DN217" s="35"/>
      <c r="DO217" s="35"/>
      <c r="DP217" s="35"/>
      <c r="DQ217" s="35"/>
      <c r="DR217" s="35"/>
      <c r="DS217" s="35"/>
      <c r="DT217" s="35"/>
      <c r="DU217" s="35"/>
      <c r="DV217" s="35"/>
      <c r="DW217" s="28">
        <f t="shared" si="10"/>
        <v>0</v>
      </c>
      <c r="DX217" s="5"/>
    </row>
    <row r="218" spans="1:128" s="33" customFormat="1" x14ac:dyDescent="0.2">
      <c r="A218" s="39" t="s">
        <v>17</v>
      </c>
      <c r="B218" s="60">
        <f t="shared" si="9"/>
        <v>70</v>
      </c>
      <c r="C218" s="52">
        <v>10</v>
      </c>
      <c r="D218" s="55">
        <v>44879</v>
      </c>
      <c r="E218" s="62">
        <v>35.46</v>
      </c>
      <c r="F218" s="62">
        <f t="shared" si="8"/>
        <v>2482.2000000000003</v>
      </c>
      <c r="G218" s="60">
        <v>80</v>
      </c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1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>
        <v>10</v>
      </c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  <c r="AY218" s="35"/>
      <c r="AZ218" s="35"/>
      <c r="BA218" s="35"/>
      <c r="BB218" s="35"/>
      <c r="BC218" s="35"/>
      <c r="BD218" s="35"/>
      <c r="BE218" s="35"/>
      <c r="BF218" s="35"/>
      <c r="BG218" s="35"/>
      <c r="BH218" s="35"/>
      <c r="BI218" s="35"/>
      <c r="BJ218" s="35"/>
      <c r="BK218" s="35"/>
      <c r="BL218" s="35">
        <v>70</v>
      </c>
      <c r="BM218" s="35"/>
      <c r="BN218" s="35"/>
      <c r="BO218" s="35"/>
      <c r="BP218" s="35"/>
      <c r="BQ218" s="35"/>
      <c r="BR218" s="35"/>
      <c r="BS218" s="35"/>
      <c r="BT218" s="35"/>
      <c r="BU218" s="35"/>
      <c r="BV218" s="35"/>
      <c r="BW218" s="35"/>
      <c r="BX218" s="35"/>
      <c r="BY218" s="35"/>
      <c r="BZ218" s="35"/>
      <c r="CA218" s="35"/>
      <c r="CB218" s="35"/>
      <c r="CC218" s="35"/>
      <c r="CD218" s="35"/>
      <c r="CE218" s="35"/>
      <c r="CF218" s="35"/>
      <c r="CG218" s="35"/>
      <c r="CH218" s="35"/>
      <c r="CI218" s="35"/>
      <c r="CJ218" s="35"/>
      <c r="CK218" s="35"/>
      <c r="CL218" s="35"/>
      <c r="CM218" s="35"/>
      <c r="CN218" s="35"/>
      <c r="CO218" s="35"/>
      <c r="CP218" s="35"/>
      <c r="CQ218" s="35"/>
      <c r="CR218" s="35"/>
      <c r="CS218" s="35"/>
      <c r="CT218" s="35"/>
      <c r="CU218" s="35"/>
      <c r="CV218" s="35"/>
      <c r="CW218" s="35"/>
      <c r="CX218" s="35"/>
      <c r="CY218" s="35"/>
      <c r="CZ218" s="35"/>
      <c r="DA218" s="35"/>
      <c r="DB218" s="35"/>
      <c r="DC218" s="35"/>
      <c r="DD218" s="35"/>
      <c r="DE218" s="35"/>
      <c r="DF218" s="35"/>
      <c r="DG218" s="35"/>
      <c r="DH218" s="35"/>
      <c r="DI218" s="35"/>
      <c r="DJ218" s="35"/>
      <c r="DK218" s="35"/>
      <c r="DL218" s="35"/>
      <c r="DM218" s="35"/>
      <c r="DN218" s="35"/>
      <c r="DO218" s="35"/>
      <c r="DP218" s="35"/>
      <c r="DQ218" s="35"/>
      <c r="DR218" s="35"/>
      <c r="DS218" s="35"/>
      <c r="DT218" s="35"/>
      <c r="DU218" s="35"/>
      <c r="DV218" s="35"/>
      <c r="DW218" s="28">
        <f t="shared" si="10"/>
        <v>0</v>
      </c>
      <c r="DX218" s="5"/>
    </row>
    <row r="219" spans="1:128" s="33" customFormat="1" x14ac:dyDescent="0.2">
      <c r="A219" s="39" t="s">
        <v>17</v>
      </c>
      <c r="B219" s="60">
        <f t="shared" si="9"/>
        <v>8</v>
      </c>
      <c r="C219" s="52">
        <v>1</v>
      </c>
      <c r="D219" s="55">
        <v>44970</v>
      </c>
      <c r="E219" s="62">
        <v>35.6</v>
      </c>
      <c r="F219" s="62">
        <f t="shared" si="8"/>
        <v>284.8</v>
      </c>
      <c r="G219" s="60">
        <v>3</v>
      </c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1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  <c r="AY219" s="35"/>
      <c r="AZ219" s="35"/>
      <c r="BA219" s="35"/>
      <c r="BB219" s="35"/>
      <c r="BC219" s="35"/>
      <c r="BD219" s="35"/>
      <c r="BE219" s="35"/>
      <c r="BF219" s="35"/>
      <c r="BG219" s="35"/>
      <c r="BH219" s="35"/>
      <c r="BI219" s="35"/>
      <c r="BJ219" s="35"/>
      <c r="BK219" s="35"/>
      <c r="BL219" s="35"/>
      <c r="BM219" s="35"/>
      <c r="BN219" s="35"/>
      <c r="BO219" s="35"/>
      <c r="BP219" s="35"/>
      <c r="BQ219" s="35"/>
      <c r="BR219" s="35"/>
      <c r="BS219" s="35"/>
      <c r="BT219" s="35"/>
      <c r="BU219" s="35"/>
      <c r="BV219" s="35"/>
      <c r="BW219" s="35"/>
      <c r="BX219" s="35"/>
      <c r="BY219" s="35"/>
      <c r="BZ219" s="35"/>
      <c r="CA219" s="35"/>
      <c r="CB219" s="35"/>
      <c r="CC219" s="35"/>
      <c r="CD219" s="35"/>
      <c r="CE219" s="35"/>
      <c r="CF219" s="35"/>
      <c r="CG219" s="35"/>
      <c r="CH219" s="35"/>
      <c r="CI219" s="35">
        <v>3</v>
      </c>
      <c r="CJ219" s="35"/>
      <c r="CK219" s="35"/>
      <c r="CL219" s="35"/>
      <c r="CM219" s="35"/>
      <c r="CN219" s="35"/>
      <c r="CO219" s="35"/>
      <c r="CP219" s="35"/>
      <c r="CQ219" s="35"/>
      <c r="CR219" s="35"/>
      <c r="CS219" s="35"/>
      <c r="CT219" s="35"/>
      <c r="CU219" s="35"/>
      <c r="CV219" s="35"/>
      <c r="CW219" s="35"/>
      <c r="CX219" s="35"/>
      <c r="CY219" s="35"/>
      <c r="CZ219" s="35"/>
      <c r="DA219" s="35"/>
      <c r="DB219" s="35"/>
      <c r="DC219" s="35"/>
      <c r="DD219" s="35"/>
      <c r="DE219" s="35"/>
      <c r="DF219" s="35"/>
      <c r="DG219" s="35"/>
      <c r="DH219" s="35"/>
      <c r="DI219" s="35"/>
      <c r="DJ219" s="35"/>
      <c r="DK219" s="35"/>
      <c r="DL219" s="35"/>
      <c r="DM219" s="35"/>
      <c r="DN219" s="35"/>
      <c r="DO219" s="35"/>
      <c r="DP219" s="35"/>
      <c r="DQ219" s="35">
        <v>8</v>
      </c>
      <c r="DR219" s="35"/>
      <c r="DS219" s="35"/>
      <c r="DT219" s="35"/>
      <c r="DU219" s="35"/>
      <c r="DV219" s="35"/>
      <c r="DW219" s="28">
        <f t="shared" si="10"/>
        <v>8</v>
      </c>
      <c r="DX219" s="5"/>
    </row>
    <row r="220" spans="1:128" s="33" customFormat="1" x14ac:dyDescent="0.2">
      <c r="A220" s="39" t="s">
        <v>17</v>
      </c>
      <c r="B220" s="60">
        <f t="shared" si="9"/>
        <v>100</v>
      </c>
      <c r="C220" s="52">
        <v>10</v>
      </c>
      <c r="D220" s="55">
        <v>44924</v>
      </c>
      <c r="E220" s="62">
        <v>33.619999999999997</v>
      </c>
      <c r="F220" s="62">
        <f t="shared" si="8"/>
        <v>3361.9999999999995</v>
      </c>
      <c r="G220" s="60">
        <v>100</v>
      </c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1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>
        <v>100</v>
      </c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  <c r="AY220" s="35"/>
      <c r="AZ220" s="35"/>
      <c r="BA220" s="35"/>
      <c r="BB220" s="35"/>
      <c r="BC220" s="35"/>
      <c r="BD220" s="35"/>
      <c r="BE220" s="35"/>
      <c r="BF220" s="35"/>
      <c r="BG220" s="35"/>
      <c r="BH220" s="35"/>
      <c r="BI220" s="35"/>
      <c r="BJ220" s="35"/>
      <c r="BK220" s="35"/>
      <c r="BL220" s="35"/>
      <c r="BM220" s="35"/>
      <c r="BN220" s="35"/>
      <c r="BO220" s="35"/>
      <c r="BP220" s="35"/>
      <c r="BQ220" s="35"/>
      <c r="BR220" s="35"/>
      <c r="BS220" s="35"/>
      <c r="BT220" s="35"/>
      <c r="BU220" s="35"/>
      <c r="BV220" s="35"/>
      <c r="BW220" s="35"/>
      <c r="BX220" s="35"/>
      <c r="BY220" s="35"/>
      <c r="BZ220" s="35"/>
      <c r="CA220" s="35"/>
      <c r="CB220" s="35"/>
      <c r="CC220" s="35"/>
      <c r="CD220" s="35"/>
      <c r="CE220" s="35"/>
      <c r="CF220" s="35"/>
      <c r="CG220" s="35"/>
      <c r="CH220" s="35"/>
      <c r="CI220" s="35"/>
      <c r="CJ220" s="35"/>
      <c r="CK220" s="35"/>
      <c r="CL220" s="35"/>
      <c r="CM220" s="35"/>
      <c r="CN220" s="35"/>
      <c r="CO220" s="35"/>
      <c r="CP220" s="35"/>
      <c r="CQ220" s="35"/>
      <c r="CR220" s="35"/>
      <c r="CS220" s="35"/>
      <c r="CT220" s="35"/>
      <c r="CU220" s="35"/>
      <c r="CV220" s="35"/>
      <c r="CW220" s="35"/>
      <c r="CX220" s="35"/>
      <c r="CY220" s="35"/>
      <c r="CZ220" s="35"/>
      <c r="DA220" s="35"/>
      <c r="DB220" s="35"/>
      <c r="DC220" s="35"/>
      <c r="DD220" s="35"/>
      <c r="DE220" s="35"/>
      <c r="DF220" s="35"/>
      <c r="DG220" s="35"/>
      <c r="DH220" s="35"/>
      <c r="DI220" s="35"/>
      <c r="DJ220" s="35"/>
      <c r="DK220" s="35"/>
      <c r="DL220" s="35"/>
      <c r="DM220" s="35"/>
      <c r="DN220" s="35"/>
      <c r="DO220" s="35"/>
      <c r="DP220" s="35"/>
      <c r="DQ220" s="35"/>
      <c r="DR220" s="35"/>
      <c r="DS220" s="35"/>
      <c r="DT220" s="35"/>
      <c r="DU220" s="35"/>
      <c r="DV220" s="35"/>
      <c r="DW220" s="28">
        <f t="shared" si="10"/>
        <v>0</v>
      </c>
      <c r="DX220" s="5"/>
    </row>
    <row r="221" spans="1:128" s="33" customFormat="1" x14ac:dyDescent="0.2">
      <c r="A221" s="39" t="s">
        <v>107</v>
      </c>
      <c r="B221" s="60">
        <f t="shared" si="9"/>
        <v>0</v>
      </c>
      <c r="C221" s="52">
        <v>10</v>
      </c>
      <c r="D221" s="54">
        <v>44879</v>
      </c>
      <c r="E221" s="62">
        <v>37.75</v>
      </c>
      <c r="F221" s="62">
        <f t="shared" ref="F221:F289" si="11">E221*B221</f>
        <v>0</v>
      </c>
      <c r="G221" s="60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1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  <c r="AY221" s="35"/>
      <c r="AZ221" s="35"/>
      <c r="BA221" s="35"/>
      <c r="BB221" s="35"/>
      <c r="BC221" s="35"/>
      <c r="BD221" s="35"/>
      <c r="BE221" s="35"/>
      <c r="BF221" s="35"/>
      <c r="BG221" s="35"/>
      <c r="BH221" s="35"/>
      <c r="BI221" s="35"/>
      <c r="BJ221" s="35"/>
      <c r="BK221" s="35"/>
      <c r="BL221" s="35"/>
      <c r="BM221" s="35"/>
      <c r="BN221" s="35"/>
      <c r="BO221" s="35"/>
      <c r="BP221" s="35"/>
      <c r="BQ221" s="35"/>
      <c r="BR221" s="35"/>
      <c r="BS221" s="35"/>
      <c r="BT221" s="35"/>
      <c r="BU221" s="35"/>
      <c r="BV221" s="35"/>
      <c r="BW221" s="35"/>
      <c r="BX221" s="35"/>
      <c r="BY221" s="35"/>
      <c r="BZ221" s="35"/>
      <c r="CA221" s="35"/>
      <c r="CB221" s="35"/>
      <c r="CC221" s="35"/>
      <c r="CD221" s="35"/>
      <c r="CE221" s="35"/>
      <c r="CF221" s="35"/>
      <c r="CG221" s="35"/>
      <c r="CH221" s="35"/>
      <c r="CI221" s="35"/>
      <c r="CJ221" s="35"/>
      <c r="CK221" s="35"/>
      <c r="CL221" s="35"/>
      <c r="CM221" s="35"/>
      <c r="CN221" s="35"/>
      <c r="CO221" s="35"/>
      <c r="CP221" s="35"/>
      <c r="CQ221" s="35"/>
      <c r="CR221" s="35"/>
      <c r="CS221" s="35"/>
      <c r="CT221" s="35"/>
      <c r="CU221" s="35"/>
      <c r="CV221" s="35"/>
      <c r="CW221" s="35"/>
      <c r="CX221" s="35"/>
      <c r="CY221" s="35"/>
      <c r="CZ221" s="35"/>
      <c r="DA221" s="35"/>
      <c r="DB221" s="35"/>
      <c r="DC221" s="35"/>
      <c r="DD221" s="35"/>
      <c r="DE221" s="35"/>
      <c r="DF221" s="35"/>
      <c r="DG221" s="35"/>
      <c r="DH221" s="35"/>
      <c r="DI221" s="35"/>
      <c r="DJ221" s="35"/>
      <c r="DK221" s="35"/>
      <c r="DL221" s="35"/>
      <c r="DM221" s="35"/>
      <c r="DN221" s="35"/>
      <c r="DO221" s="35"/>
      <c r="DP221" s="35"/>
      <c r="DQ221" s="35"/>
      <c r="DR221" s="35"/>
      <c r="DS221" s="35"/>
      <c r="DT221" s="35"/>
      <c r="DU221" s="35"/>
      <c r="DV221" s="35"/>
      <c r="DW221" s="28">
        <f t="shared" si="10"/>
        <v>0</v>
      </c>
      <c r="DX221" s="5"/>
    </row>
    <row r="222" spans="1:128" s="33" customFormat="1" x14ac:dyDescent="0.2">
      <c r="A222" s="39" t="s">
        <v>471</v>
      </c>
      <c r="B222" s="60">
        <f t="shared" si="9"/>
        <v>0</v>
      </c>
      <c r="C222" s="52">
        <v>10</v>
      </c>
      <c r="D222" s="54">
        <v>44697</v>
      </c>
      <c r="E222" s="62">
        <v>66.2</v>
      </c>
      <c r="F222" s="62">
        <f t="shared" si="11"/>
        <v>0</v>
      </c>
      <c r="G222" s="60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1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  <c r="AY222" s="35"/>
      <c r="AZ222" s="35"/>
      <c r="BA222" s="35"/>
      <c r="BB222" s="35"/>
      <c r="BC222" s="35"/>
      <c r="BD222" s="35"/>
      <c r="BE222" s="35"/>
      <c r="BF222" s="35"/>
      <c r="BG222" s="35"/>
      <c r="BH222" s="35"/>
      <c r="BI222" s="35"/>
      <c r="BJ222" s="35"/>
      <c r="BK222" s="35"/>
      <c r="BL222" s="35"/>
      <c r="BM222" s="35"/>
      <c r="BN222" s="35"/>
      <c r="BO222" s="35"/>
      <c r="BP222" s="35"/>
      <c r="BQ222" s="35"/>
      <c r="BR222" s="35"/>
      <c r="BS222" s="35"/>
      <c r="BT222" s="35"/>
      <c r="BU222" s="35"/>
      <c r="BV222" s="35"/>
      <c r="BW222" s="35"/>
      <c r="BX222" s="35"/>
      <c r="BY222" s="35"/>
      <c r="BZ222" s="35"/>
      <c r="CA222" s="35"/>
      <c r="CB222" s="35"/>
      <c r="CC222" s="35"/>
      <c r="CD222" s="35"/>
      <c r="CE222" s="35"/>
      <c r="CF222" s="35"/>
      <c r="CG222" s="35"/>
      <c r="CH222" s="35"/>
      <c r="CI222" s="35"/>
      <c r="CJ222" s="35"/>
      <c r="CK222" s="35"/>
      <c r="CL222" s="35"/>
      <c r="CM222" s="35"/>
      <c r="CN222" s="35"/>
      <c r="CO222" s="35"/>
      <c r="CP222" s="35"/>
      <c r="CQ222" s="35"/>
      <c r="CR222" s="35"/>
      <c r="CS222" s="35"/>
      <c r="CT222" s="35"/>
      <c r="CU222" s="35"/>
      <c r="CV222" s="35"/>
      <c r="CW222" s="35"/>
      <c r="CX222" s="35"/>
      <c r="CY222" s="35"/>
      <c r="CZ222" s="35"/>
      <c r="DA222" s="35"/>
      <c r="DB222" s="35"/>
      <c r="DC222" s="35"/>
      <c r="DD222" s="35"/>
      <c r="DE222" s="35"/>
      <c r="DF222" s="35"/>
      <c r="DG222" s="35"/>
      <c r="DH222" s="35"/>
      <c r="DI222" s="35"/>
      <c r="DJ222" s="35"/>
      <c r="DK222" s="35"/>
      <c r="DL222" s="35"/>
      <c r="DM222" s="35"/>
      <c r="DN222" s="35"/>
      <c r="DO222" s="35"/>
      <c r="DP222" s="35"/>
      <c r="DQ222" s="35"/>
      <c r="DR222" s="35"/>
      <c r="DS222" s="35"/>
      <c r="DT222" s="35"/>
      <c r="DU222" s="35"/>
      <c r="DV222" s="35"/>
      <c r="DW222" s="28">
        <f t="shared" si="10"/>
        <v>0</v>
      </c>
      <c r="DX222" s="5"/>
    </row>
    <row r="223" spans="1:128" s="33" customFormat="1" x14ac:dyDescent="0.2">
      <c r="A223" s="39" t="s">
        <v>104</v>
      </c>
      <c r="B223" s="60">
        <f t="shared" si="9"/>
        <v>0</v>
      </c>
      <c r="C223" s="52">
        <v>1</v>
      </c>
      <c r="D223" s="54">
        <v>44879</v>
      </c>
      <c r="E223" s="62">
        <v>35.46</v>
      </c>
      <c r="F223" s="62">
        <f t="shared" si="11"/>
        <v>0</v>
      </c>
      <c r="G223" s="60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1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  <c r="AY223" s="35"/>
      <c r="AZ223" s="35"/>
      <c r="BA223" s="35"/>
      <c r="BB223" s="35"/>
      <c r="BC223" s="35"/>
      <c r="BD223" s="35"/>
      <c r="BE223" s="35"/>
      <c r="BF223" s="35"/>
      <c r="BG223" s="35"/>
      <c r="BH223" s="35"/>
      <c r="BI223" s="35"/>
      <c r="BJ223" s="35"/>
      <c r="BK223" s="35"/>
      <c r="BL223" s="35"/>
      <c r="BM223" s="35"/>
      <c r="BN223" s="35"/>
      <c r="BO223" s="35"/>
      <c r="BP223" s="35"/>
      <c r="BQ223" s="35"/>
      <c r="BR223" s="35"/>
      <c r="BS223" s="35"/>
      <c r="BT223" s="35"/>
      <c r="BU223" s="35"/>
      <c r="BV223" s="35"/>
      <c r="BW223" s="35"/>
      <c r="BX223" s="35"/>
      <c r="BY223" s="35"/>
      <c r="BZ223" s="35"/>
      <c r="CA223" s="35"/>
      <c r="CB223" s="35"/>
      <c r="CC223" s="35"/>
      <c r="CD223" s="35"/>
      <c r="CE223" s="35"/>
      <c r="CF223" s="35"/>
      <c r="CG223" s="35"/>
      <c r="CH223" s="35"/>
      <c r="CI223" s="35"/>
      <c r="CJ223" s="35"/>
      <c r="CK223" s="35"/>
      <c r="CL223" s="35"/>
      <c r="CM223" s="35"/>
      <c r="CN223" s="35"/>
      <c r="CO223" s="35"/>
      <c r="CP223" s="35"/>
      <c r="CQ223" s="35"/>
      <c r="CR223" s="35"/>
      <c r="CS223" s="35"/>
      <c r="CT223" s="35"/>
      <c r="CU223" s="35"/>
      <c r="CV223" s="35"/>
      <c r="CW223" s="35"/>
      <c r="CX223" s="35"/>
      <c r="CY223" s="35"/>
      <c r="CZ223" s="35"/>
      <c r="DA223" s="35"/>
      <c r="DB223" s="35"/>
      <c r="DC223" s="35"/>
      <c r="DD223" s="35"/>
      <c r="DE223" s="35"/>
      <c r="DF223" s="35"/>
      <c r="DG223" s="35"/>
      <c r="DH223" s="35"/>
      <c r="DI223" s="35"/>
      <c r="DJ223" s="35"/>
      <c r="DK223" s="35"/>
      <c r="DL223" s="35"/>
      <c r="DM223" s="35"/>
      <c r="DN223" s="35"/>
      <c r="DO223" s="35"/>
      <c r="DP223" s="35"/>
      <c r="DQ223" s="35"/>
      <c r="DR223" s="35"/>
      <c r="DS223" s="35"/>
      <c r="DT223" s="35"/>
      <c r="DU223" s="35"/>
      <c r="DV223" s="35"/>
      <c r="DW223" s="28">
        <f t="shared" si="10"/>
        <v>0</v>
      </c>
      <c r="DX223" s="5"/>
    </row>
    <row r="224" spans="1:128" s="33" customFormat="1" x14ac:dyDescent="0.2">
      <c r="A224" s="39" t="s">
        <v>85</v>
      </c>
      <c r="B224" s="60">
        <f t="shared" si="9"/>
        <v>0</v>
      </c>
      <c r="C224" s="52">
        <v>1</v>
      </c>
      <c r="D224" s="54">
        <v>44970</v>
      </c>
      <c r="E224" s="62">
        <v>48.16</v>
      </c>
      <c r="F224" s="62">
        <f t="shared" si="11"/>
        <v>0</v>
      </c>
      <c r="G224" s="60"/>
      <c r="H224" s="35"/>
      <c r="I224" s="35"/>
      <c r="J224" s="35"/>
      <c r="K224" s="35"/>
      <c r="L224" s="35">
        <v>3</v>
      </c>
      <c r="M224" s="35"/>
      <c r="N224" s="35"/>
      <c r="O224" s="35"/>
      <c r="P224" s="35"/>
      <c r="Q224" s="35"/>
      <c r="R224" s="35"/>
      <c r="S224" s="35"/>
      <c r="T224" s="35"/>
      <c r="U224" s="15"/>
      <c r="V224" s="35"/>
      <c r="W224" s="35"/>
      <c r="X224" s="35">
        <v>2</v>
      </c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  <c r="AY224" s="35"/>
      <c r="AZ224" s="35"/>
      <c r="BA224" s="35"/>
      <c r="BB224" s="35"/>
      <c r="BC224" s="35"/>
      <c r="BD224" s="35"/>
      <c r="BE224" s="35"/>
      <c r="BF224" s="35"/>
      <c r="BG224" s="35"/>
      <c r="BH224" s="35"/>
      <c r="BI224" s="35"/>
      <c r="BJ224" s="35"/>
      <c r="BK224" s="35"/>
      <c r="BL224" s="35"/>
      <c r="BM224" s="35"/>
      <c r="BN224" s="35"/>
      <c r="BO224" s="35"/>
      <c r="BP224" s="35"/>
      <c r="BQ224" s="35"/>
      <c r="BR224" s="35"/>
      <c r="BS224" s="35"/>
      <c r="BT224" s="35"/>
      <c r="BU224" s="35"/>
      <c r="BV224" s="35"/>
      <c r="BW224" s="35"/>
      <c r="BX224" s="35"/>
      <c r="BY224" s="35"/>
      <c r="BZ224" s="35"/>
      <c r="CA224" s="35"/>
      <c r="CB224" s="35"/>
      <c r="CC224" s="35"/>
      <c r="CD224" s="35"/>
      <c r="CE224" s="35"/>
      <c r="CF224" s="35"/>
      <c r="CG224" s="35"/>
      <c r="CH224" s="35"/>
      <c r="CI224" s="35"/>
      <c r="CJ224" s="35"/>
      <c r="CK224" s="35"/>
      <c r="CL224" s="35"/>
      <c r="CM224" s="35"/>
      <c r="CN224" s="35"/>
      <c r="CO224" s="35"/>
      <c r="CP224" s="35"/>
      <c r="CQ224" s="35"/>
      <c r="CR224" s="35"/>
      <c r="CS224" s="35"/>
      <c r="CT224" s="35"/>
      <c r="CU224" s="35"/>
      <c r="CV224" s="35"/>
      <c r="CW224" s="35"/>
      <c r="CX224" s="35"/>
      <c r="CY224" s="35"/>
      <c r="CZ224" s="35"/>
      <c r="DA224" s="35"/>
      <c r="DB224" s="35">
        <v>2</v>
      </c>
      <c r="DC224" s="35"/>
      <c r="DD224" s="35"/>
      <c r="DE224" s="35"/>
      <c r="DF224" s="35"/>
      <c r="DG224" s="35"/>
      <c r="DH224" s="35"/>
      <c r="DI224" s="35"/>
      <c r="DJ224" s="35"/>
      <c r="DK224" s="35"/>
      <c r="DL224" s="35"/>
      <c r="DM224" s="35"/>
      <c r="DN224" s="35"/>
      <c r="DO224" s="35"/>
      <c r="DP224" s="35"/>
      <c r="DQ224" s="35">
        <v>3</v>
      </c>
      <c r="DR224" s="35"/>
      <c r="DS224" s="35"/>
      <c r="DT224" s="35"/>
      <c r="DU224" s="35"/>
      <c r="DV224" s="35"/>
      <c r="DW224" s="28">
        <f t="shared" si="10"/>
        <v>0</v>
      </c>
      <c r="DX224" s="5"/>
    </row>
    <row r="225" spans="1:128" s="33" customFormat="1" x14ac:dyDescent="0.2">
      <c r="A225" s="39" t="s">
        <v>116</v>
      </c>
      <c r="B225" s="60">
        <f t="shared" si="9"/>
        <v>20</v>
      </c>
      <c r="C225" s="52">
        <v>10</v>
      </c>
      <c r="D225" s="54">
        <v>44956</v>
      </c>
      <c r="E225" s="62">
        <v>33.619999999999997</v>
      </c>
      <c r="F225" s="62">
        <f t="shared" si="11"/>
        <v>672.4</v>
      </c>
      <c r="G225" s="60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1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  <c r="AY225" s="35"/>
      <c r="AZ225" s="35"/>
      <c r="BA225" s="35"/>
      <c r="BB225" s="35"/>
      <c r="BC225" s="35"/>
      <c r="BD225" s="35"/>
      <c r="BE225" s="35"/>
      <c r="BF225" s="35"/>
      <c r="BG225" s="35"/>
      <c r="BH225" s="35"/>
      <c r="BI225" s="35"/>
      <c r="BJ225" s="35"/>
      <c r="BK225" s="35"/>
      <c r="BL225" s="35"/>
      <c r="BM225" s="35"/>
      <c r="BN225" s="35"/>
      <c r="BO225" s="35"/>
      <c r="BP225" s="35"/>
      <c r="BQ225" s="35"/>
      <c r="BR225" s="35"/>
      <c r="BS225" s="35"/>
      <c r="BT225" s="35"/>
      <c r="BU225" s="35"/>
      <c r="BV225" s="35"/>
      <c r="BW225" s="35"/>
      <c r="BX225" s="35"/>
      <c r="BY225" s="35"/>
      <c r="BZ225" s="35"/>
      <c r="CA225" s="35"/>
      <c r="CB225" s="35">
        <v>20</v>
      </c>
      <c r="CC225" s="35"/>
      <c r="CD225" s="35"/>
      <c r="CE225" s="35"/>
      <c r="CF225" s="35"/>
      <c r="CG225" s="35"/>
      <c r="CH225" s="35"/>
      <c r="CI225" s="35"/>
      <c r="CJ225" s="35"/>
      <c r="CK225" s="35"/>
      <c r="CL225" s="35"/>
      <c r="CM225" s="35"/>
      <c r="CN225" s="35"/>
      <c r="CO225" s="35"/>
      <c r="CP225" s="35"/>
      <c r="CQ225" s="35"/>
      <c r="CR225" s="35"/>
      <c r="CS225" s="35"/>
      <c r="CT225" s="35"/>
      <c r="CU225" s="35"/>
      <c r="CV225" s="35"/>
      <c r="CW225" s="35"/>
      <c r="CX225" s="35"/>
      <c r="CY225" s="35"/>
      <c r="CZ225" s="35"/>
      <c r="DA225" s="35"/>
      <c r="DB225" s="35">
        <v>20</v>
      </c>
      <c r="DC225" s="35"/>
      <c r="DD225" s="35"/>
      <c r="DE225" s="35"/>
      <c r="DF225" s="35"/>
      <c r="DG225" s="35"/>
      <c r="DH225" s="35"/>
      <c r="DI225" s="35"/>
      <c r="DJ225" s="35"/>
      <c r="DK225" s="35"/>
      <c r="DL225" s="35"/>
      <c r="DM225" s="35"/>
      <c r="DN225" s="35"/>
      <c r="DO225" s="35"/>
      <c r="DP225" s="35"/>
      <c r="DQ225" s="35"/>
      <c r="DR225" s="35"/>
      <c r="DS225" s="35"/>
      <c r="DT225" s="35"/>
      <c r="DU225" s="35"/>
      <c r="DV225" s="35"/>
      <c r="DW225" s="28">
        <f t="shared" si="10"/>
        <v>0</v>
      </c>
      <c r="DX225" s="5"/>
    </row>
    <row r="226" spans="1:128" s="33" customFormat="1" x14ac:dyDescent="0.2">
      <c r="A226" s="39" t="s">
        <v>404</v>
      </c>
      <c r="B226" s="60">
        <f t="shared" si="9"/>
        <v>0</v>
      </c>
      <c r="C226" s="52">
        <v>1.1000000000000001</v>
      </c>
      <c r="D226" s="54">
        <v>44781</v>
      </c>
      <c r="E226" s="62">
        <v>35.119999999999997</v>
      </c>
      <c r="F226" s="62">
        <f t="shared" si="11"/>
        <v>0</v>
      </c>
      <c r="G226" s="60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1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BH226" s="35"/>
      <c r="BI226" s="35"/>
      <c r="BJ226" s="35"/>
      <c r="BK226" s="35"/>
      <c r="BL226" s="35"/>
      <c r="BM226" s="35"/>
      <c r="BN226" s="35"/>
      <c r="BO226" s="35"/>
      <c r="BP226" s="35"/>
      <c r="BQ226" s="35"/>
      <c r="BR226" s="35"/>
      <c r="BS226" s="35"/>
      <c r="BT226" s="35"/>
      <c r="BU226" s="35"/>
      <c r="BV226" s="35"/>
      <c r="BW226" s="35"/>
      <c r="BX226" s="35"/>
      <c r="BY226" s="35"/>
      <c r="BZ226" s="35"/>
      <c r="CA226" s="35"/>
      <c r="CB226" s="35"/>
      <c r="CC226" s="35"/>
      <c r="CD226" s="35"/>
      <c r="CE226" s="35"/>
      <c r="CF226" s="35"/>
      <c r="CG226" s="35"/>
      <c r="CH226" s="35"/>
      <c r="CI226" s="35"/>
      <c r="CJ226" s="35"/>
      <c r="CK226" s="35"/>
      <c r="CL226" s="35"/>
      <c r="CM226" s="35"/>
      <c r="CN226" s="35"/>
      <c r="CO226" s="35"/>
      <c r="CP226" s="35"/>
      <c r="CQ226" s="35"/>
      <c r="CR226" s="35"/>
      <c r="CS226" s="35"/>
      <c r="CT226" s="35"/>
      <c r="CU226" s="35"/>
      <c r="CV226" s="35"/>
      <c r="CW226" s="35"/>
      <c r="CX226" s="35"/>
      <c r="CY226" s="35"/>
      <c r="CZ226" s="35"/>
      <c r="DA226" s="35"/>
      <c r="DB226" s="35"/>
      <c r="DC226" s="35"/>
      <c r="DD226" s="35"/>
      <c r="DE226" s="35"/>
      <c r="DF226" s="35"/>
      <c r="DG226" s="35"/>
      <c r="DH226" s="35"/>
      <c r="DI226" s="35"/>
      <c r="DJ226" s="35"/>
      <c r="DK226" s="35"/>
      <c r="DL226" s="35"/>
      <c r="DM226" s="35"/>
      <c r="DN226" s="35"/>
      <c r="DO226" s="35"/>
      <c r="DP226" s="35"/>
      <c r="DQ226" s="35"/>
      <c r="DR226" s="35"/>
      <c r="DS226" s="35"/>
      <c r="DT226" s="35"/>
      <c r="DU226" s="35"/>
      <c r="DV226" s="35"/>
      <c r="DW226" s="28">
        <f t="shared" si="10"/>
        <v>0</v>
      </c>
      <c r="DX226" s="5"/>
    </row>
    <row r="227" spans="1:128" s="33" customFormat="1" x14ac:dyDescent="0.2">
      <c r="A227" s="39" t="s">
        <v>294</v>
      </c>
      <c r="B227" s="60">
        <f t="shared" si="9"/>
        <v>0</v>
      </c>
      <c r="C227" s="52">
        <v>8</v>
      </c>
      <c r="D227" s="54">
        <v>44816</v>
      </c>
      <c r="E227" s="62">
        <v>25.42</v>
      </c>
      <c r="F227" s="62">
        <f t="shared" si="11"/>
        <v>0</v>
      </c>
      <c r="G227" s="60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1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  <c r="AY227" s="35"/>
      <c r="AZ227" s="35"/>
      <c r="BA227" s="35"/>
      <c r="BB227" s="35"/>
      <c r="BC227" s="35"/>
      <c r="BD227" s="35"/>
      <c r="BE227" s="35"/>
      <c r="BF227" s="35"/>
      <c r="BG227" s="35"/>
      <c r="BH227" s="35"/>
      <c r="BI227" s="35"/>
      <c r="BJ227" s="35"/>
      <c r="BK227" s="35"/>
      <c r="BL227" s="35"/>
      <c r="BM227" s="35"/>
      <c r="BN227" s="35"/>
      <c r="BO227" s="35"/>
      <c r="BP227" s="35"/>
      <c r="BQ227" s="35"/>
      <c r="BR227" s="35"/>
      <c r="BS227" s="35"/>
      <c r="BT227" s="35"/>
      <c r="BU227" s="35"/>
      <c r="BV227" s="35"/>
      <c r="BW227" s="35"/>
      <c r="BX227" s="35"/>
      <c r="BY227" s="35"/>
      <c r="BZ227" s="35"/>
      <c r="CA227" s="35"/>
      <c r="CB227" s="35"/>
      <c r="CC227" s="35"/>
      <c r="CD227" s="35"/>
      <c r="CE227" s="35"/>
      <c r="CF227" s="35"/>
      <c r="CG227" s="35"/>
      <c r="CH227" s="35"/>
      <c r="CI227" s="35"/>
      <c r="CJ227" s="35"/>
      <c r="CK227" s="35"/>
      <c r="CL227" s="35"/>
      <c r="CM227" s="35"/>
      <c r="CN227" s="35"/>
      <c r="CO227" s="35"/>
      <c r="CP227" s="35"/>
      <c r="CQ227" s="35"/>
      <c r="CR227" s="35"/>
      <c r="CS227" s="35"/>
      <c r="CT227" s="35"/>
      <c r="CU227" s="35"/>
      <c r="CV227" s="35"/>
      <c r="CW227" s="35"/>
      <c r="CX227" s="35"/>
      <c r="CY227" s="35"/>
      <c r="CZ227" s="35"/>
      <c r="DA227" s="35"/>
      <c r="DB227" s="35"/>
      <c r="DC227" s="35"/>
      <c r="DD227" s="35"/>
      <c r="DE227" s="35"/>
      <c r="DF227" s="35"/>
      <c r="DG227" s="35"/>
      <c r="DH227" s="35"/>
      <c r="DI227" s="35"/>
      <c r="DJ227" s="35"/>
      <c r="DK227" s="35"/>
      <c r="DL227" s="35"/>
      <c r="DM227" s="35"/>
      <c r="DN227" s="35"/>
      <c r="DO227" s="35"/>
      <c r="DP227" s="35"/>
      <c r="DQ227" s="35"/>
      <c r="DR227" s="35"/>
      <c r="DS227" s="35"/>
      <c r="DT227" s="35"/>
      <c r="DU227" s="35"/>
      <c r="DV227" s="35"/>
      <c r="DW227" s="28">
        <f t="shared" si="10"/>
        <v>0</v>
      </c>
      <c r="DX227" s="5"/>
    </row>
    <row r="228" spans="1:128" s="33" customFormat="1" x14ac:dyDescent="0.2">
      <c r="A228" s="39" t="s">
        <v>166</v>
      </c>
      <c r="B228" s="60">
        <f t="shared" si="9"/>
        <v>70</v>
      </c>
      <c r="C228" s="52">
        <v>10</v>
      </c>
      <c r="D228" s="55">
        <v>44949</v>
      </c>
      <c r="E228" s="62">
        <v>35.869999999999997</v>
      </c>
      <c r="F228" s="62">
        <f t="shared" si="11"/>
        <v>2510.8999999999996</v>
      </c>
      <c r="G228" s="60">
        <v>10</v>
      </c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1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  <c r="AY228" s="35"/>
      <c r="AZ228" s="35"/>
      <c r="BA228" s="35"/>
      <c r="BB228" s="35">
        <v>70</v>
      </c>
      <c r="BC228" s="35"/>
      <c r="BD228" s="35"/>
      <c r="BE228" s="35"/>
      <c r="BF228" s="35"/>
      <c r="BG228" s="35"/>
      <c r="BH228" s="35"/>
      <c r="BI228" s="35"/>
      <c r="BJ228" s="35"/>
      <c r="BK228" s="35"/>
      <c r="BL228" s="35"/>
      <c r="BM228" s="35"/>
      <c r="BN228" s="35"/>
      <c r="BO228" s="35"/>
      <c r="BP228" s="35"/>
      <c r="BQ228" s="35"/>
      <c r="BR228" s="35"/>
      <c r="BS228" s="35"/>
      <c r="BT228" s="35"/>
      <c r="BU228" s="35"/>
      <c r="BV228" s="35"/>
      <c r="BW228" s="35"/>
      <c r="BX228" s="35"/>
      <c r="BY228" s="35"/>
      <c r="BZ228" s="35"/>
      <c r="CA228" s="35"/>
      <c r="CB228" s="35"/>
      <c r="CC228" s="35"/>
      <c r="CD228" s="35"/>
      <c r="CE228" s="35"/>
      <c r="CF228" s="35"/>
      <c r="CG228" s="35"/>
      <c r="CH228" s="35"/>
      <c r="CI228" s="35"/>
      <c r="CJ228" s="35"/>
      <c r="CK228" s="35"/>
      <c r="CL228" s="35"/>
      <c r="CM228" s="35"/>
      <c r="CN228" s="35"/>
      <c r="CO228" s="35"/>
      <c r="CP228" s="35"/>
      <c r="CQ228" s="35"/>
      <c r="CR228" s="35"/>
      <c r="CS228" s="35">
        <v>60</v>
      </c>
      <c r="CT228" s="35"/>
      <c r="CU228" s="35"/>
      <c r="CV228" s="35"/>
      <c r="CW228" s="35"/>
      <c r="CX228" s="35"/>
      <c r="CY228" s="35"/>
      <c r="CZ228" s="35"/>
      <c r="DA228" s="35"/>
      <c r="DB228" s="35"/>
      <c r="DC228" s="35"/>
      <c r="DD228" s="35"/>
      <c r="DE228" s="35"/>
      <c r="DF228" s="35"/>
      <c r="DG228" s="35"/>
      <c r="DH228" s="35"/>
      <c r="DI228" s="35"/>
      <c r="DJ228" s="35"/>
      <c r="DK228" s="35"/>
      <c r="DL228" s="35"/>
      <c r="DM228" s="35"/>
      <c r="DN228" s="35"/>
      <c r="DO228" s="35"/>
      <c r="DP228" s="35"/>
      <c r="DQ228" s="35"/>
      <c r="DR228" s="35"/>
      <c r="DS228" s="35"/>
      <c r="DT228" s="35"/>
      <c r="DU228" s="35"/>
      <c r="DV228" s="35"/>
      <c r="DW228" s="28">
        <f t="shared" si="10"/>
        <v>0</v>
      </c>
      <c r="DX228" s="5"/>
    </row>
    <row r="229" spans="1:128" s="33" customFormat="1" x14ac:dyDescent="0.2">
      <c r="A229" s="39" t="s">
        <v>166</v>
      </c>
      <c r="B229" s="60">
        <f t="shared" si="9"/>
        <v>10</v>
      </c>
      <c r="C229" s="52">
        <v>10</v>
      </c>
      <c r="D229" s="55">
        <v>44865</v>
      </c>
      <c r="E229" s="62">
        <v>37.659999999999997</v>
      </c>
      <c r="F229" s="62">
        <f t="shared" si="11"/>
        <v>376.59999999999997</v>
      </c>
      <c r="G229" s="60">
        <v>10</v>
      </c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1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  <c r="AY229" s="35"/>
      <c r="AZ229" s="35"/>
      <c r="BA229" s="35"/>
      <c r="BB229" s="35">
        <v>10</v>
      </c>
      <c r="BC229" s="35"/>
      <c r="BD229" s="35"/>
      <c r="BE229" s="35"/>
      <c r="BF229" s="35"/>
      <c r="BG229" s="35"/>
      <c r="BH229" s="35"/>
      <c r="BI229" s="35"/>
      <c r="BJ229" s="35"/>
      <c r="BK229" s="35"/>
      <c r="BL229" s="35"/>
      <c r="BM229" s="35"/>
      <c r="BN229" s="35"/>
      <c r="BO229" s="35"/>
      <c r="BP229" s="35"/>
      <c r="BQ229" s="35"/>
      <c r="BR229" s="35"/>
      <c r="BS229" s="35"/>
      <c r="BT229" s="35"/>
      <c r="BU229" s="35"/>
      <c r="BV229" s="35"/>
      <c r="BW229" s="35"/>
      <c r="BX229" s="35"/>
      <c r="BY229" s="35"/>
      <c r="BZ229" s="35"/>
      <c r="CA229" s="35"/>
      <c r="CB229" s="35"/>
      <c r="CC229" s="35"/>
      <c r="CD229" s="35"/>
      <c r="CE229" s="35"/>
      <c r="CF229" s="35"/>
      <c r="CG229" s="35"/>
      <c r="CH229" s="35"/>
      <c r="CI229" s="35"/>
      <c r="CJ229" s="35"/>
      <c r="CK229" s="35"/>
      <c r="CL229" s="35"/>
      <c r="CM229" s="35"/>
      <c r="CN229" s="35"/>
      <c r="CO229" s="35"/>
      <c r="CP229" s="35"/>
      <c r="CQ229" s="35"/>
      <c r="CR229" s="35"/>
      <c r="CS229" s="35"/>
      <c r="CT229" s="35"/>
      <c r="CU229" s="35"/>
      <c r="CV229" s="35"/>
      <c r="CW229" s="35"/>
      <c r="CX229" s="35"/>
      <c r="CY229" s="35"/>
      <c r="CZ229" s="35"/>
      <c r="DA229" s="35"/>
      <c r="DB229" s="35"/>
      <c r="DC229" s="35"/>
      <c r="DD229" s="35"/>
      <c r="DE229" s="35"/>
      <c r="DF229" s="35"/>
      <c r="DG229" s="35"/>
      <c r="DH229" s="35"/>
      <c r="DI229" s="35"/>
      <c r="DJ229" s="35"/>
      <c r="DK229" s="35"/>
      <c r="DL229" s="35"/>
      <c r="DM229" s="35"/>
      <c r="DN229" s="35"/>
      <c r="DO229" s="35"/>
      <c r="DP229" s="35"/>
      <c r="DQ229" s="35"/>
      <c r="DR229" s="35"/>
      <c r="DS229" s="35"/>
      <c r="DT229" s="35"/>
      <c r="DU229" s="35"/>
      <c r="DV229" s="35"/>
      <c r="DW229" s="28">
        <f t="shared" si="10"/>
        <v>0</v>
      </c>
      <c r="DX229" s="5"/>
    </row>
    <row r="230" spans="1:128" s="33" customFormat="1" x14ac:dyDescent="0.2">
      <c r="A230" s="39" t="s">
        <v>225</v>
      </c>
      <c r="B230" s="60">
        <f t="shared" si="9"/>
        <v>16</v>
      </c>
      <c r="C230" s="52">
        <v>8</v>
      </c>
      <c r="D230" s="55">
        <v>44865</v>
      </c>
      <c r="E230" s="62">
        <v>37.659999999999997</v>
      </c>
      <c r="F230" s="62">
        <f t="shared" si="11"/>
        <v>602.55999999999995</v>
      </c>
      <c r="G230" s="60">
        <v>16</v>
      </c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1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  <c r="AY230" s="35"/>
      <c r="AZ230" s="35"/>
      <c r="BA230" s="35"/>
      <c r="BB230" s="35">
        <v>16</v>
      </c>
      <c r="BC230" s="35"/>
      <c r="BD230" s="35"/>
      <c r="BE230" s="35"/>
      <c r="BF230" s="35"/>
      <c r="BG230" s="35"/>
      <c r="BH230" s="35"/>
      <c r="BI230" s="35"/>
      <c r="BJ230" s="35"/>
      <c r="BK230" s="35"/>
      <c r="BL230" s="35"/>
      <c r="BM230" s="35"/>
      <c r="BN230" s="35"/>
      <c r="BO230" s="35"/>
      <c r="BP230" s="35"/>
      <c r="BQ230" s="35"/>
      <c r="BR230" s="35"/>
      <c r="BS230" s="35"/>
      <c r="BT230" s="35"/>
      <c r="BU230" s="35"/>
      <c r="BV230" s="35"/>
      <c r="BW230" s="35"/>
      <c r="BX230" s="35"/>
      <c r="BY230" s="35"/>
      <c r="BZ230" s="35"/>
      <c r="CA230" s="35"/>
      <c r="CB230" s="35"/>
      <c r="CC230" s="35"/>
      <c r="CD230" s="35"/>
      <c r="CE230" s="35"/>
      <c r="CF230" s="35"/>
      <c r="CG230" s="35"/>
      <c r="CH230" s="35"/>
      <c r="CI230" s="35"/>
      <c r="CJ230" s="35"/>
      <c r="CK230" s="35"/>
      <c r="CL230" s="35"/>
      <c r="CM230" s="35"/>
      <c r="CN230" s="35"/>
      <c r="CO230" s="35"/>
      <c r="CP230" s="35"/>
      <c r="CQ230" s="35"/>
      <c r="CR230" s="35"/>
      <c r="CS230" s="35"/>
      <c r="CT230" s="35"/>
      <c r="CU230" s="35"/>
      <c r="CV230" s="35"/>
      <c r="CW230" s="35"/>
      <c r="CX230" s="35"/>
      <c r="CY230" s="35"/>
      <c r="CZ230" s="35"/>
      <c r="DA230" s="35"/>
      <c r="DB230" s="35"/>
      <c r="DC230" s="35"/>
      <c r="DD230" s="35"/>
      <c r="DE230" s="35"/>
      <c r="DF230" s="35"/>
      <c r="DG230" s="35"/>
      <c r="DH230" s="35"/>
      <c r="DI230" s="35"/>
      <c r="DJ230" s="35"/>
      <c r="DK230" s="35"/>
      <c r="DL230" s="35"/>
      <c r="DM230" s="35"/>
      <c r="DN230" s="35"/>
      <c r="DO230" s="35"/>
      <c r="DP230" s="35"/>
      <c r="DQ230" s="35"/>
      <c r="DR230" s="35"/>
      <c r="DS230" s="35"/>
      <c r="DT230" s="35"/>
      <c r="DU230" s="35"/>
      <c r="DV230" s="35"/>
      <c r="DW230" s="28">
        <f t="shared" si="10"/>
        <v>0</v>
      </c>
      <c r="DX230" s="5"/>
    </row>
    <row r="231" spans="1:128" s="33" customFormat="1" x14ac:dyDescent="0.2">
      <c r="A231" s="39" t="s">
        <v>108</v>
      </c>
      <c r="B231" s="60">
        <f t="shared" si="9"/>
        <v>0</v>
      </c>
      <c r="C231" s="52">
        <v>10</v>
      </c>
      <c r="D231" s="55">
        <v>44970</v>
      </c>
      <c r="E231" s="62">
        <v>24.9</v>
      </c>
      <c r="F231" s="62">
        <f t="shared" si="11"/>
        <v>0</v>
      </c>
      <c r="G231" s="60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1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>
        <v>50</v>
      </c>
      <c r="AV231" s="35"/>
      <c r="AW231" s="35"/>
      <c r="AX231" s="35"/>
      <c r="AY231" s="35"/>
      <c r="AZ231" s="35"/>
      <c r="BA231" s="35"/>
      <c r="BB231" s="35"/>
      <c r="BC231" s="35"/>
      <c r="BD231" s="35"/>
      <c r="BE231" s="35"/>
      <c r="BF231" s="35"/>
      <c r="BG231" s="35"/>
      <c r="BH231" s="35"/>
      <c r="BI231" s="35"/>
      <c r="BJ231" s="35"/>
      <c r="BK231" s="35"/>
      <c r="BL231" s="35"/>
      <c r="BM231" s="35"/>
      <c r="BN231" s="35"/>
      <c r="BO231" s="35"/>
      <c r="BP231" s="35"/>
      <c r="BQ231" s="35"/>
      <c r="BR231" s="35"/>
      <c r="BS231" s="35"/>
      <c r="BT231" s="35"/>
      <c r="BU231" s="35"/>
      <c r="BV231" s="35"/>
      <c r="BW231" s="35"/>
      <c r="BX231" s="35"/>
      <c r="BY231" s="35"/>
      <c r="BZ231" s="35"/>
      <c r="CA231" s="35"/>
      <c r="CB231" s="35"/>
      <c r="CC231" s="35"/>
      <c r="CD231" s="35"/>
      <c r="CE231" s="35"/>
      <c r="CF231" s="35"/>
      <c r="CG231" s="35"/>
      <c r="CH231" s="35"/>
      <c r="CI231" s="35"/>
      <c r="CJ231" s="35"/>
      <c r="CK231" s="35"/>
      <c r="CL231" s="35"/>
      <c r="CM231" s="35"/>
      <c r="CN231" s="35"/>
      <c r="CO231" s="35"/>
      <c r="CP231" s="35"/>
      <c r="CQ231" s="35"/>
      <c r="CR231" s="35"/>
      <c r="CS231" s="35"/>
      <c r="CT231" s="35"/>
      <c r="CU231" s="35"/>
      <c r="CV231" s="35"/>
      <c r="CW231" s="35"/>
      <c r="CX231" s="35"/>
      <c r="CY231" s="35"/>
      <c r="CZ231" s="35"/>
      <c r="DA231" s="35"/>
      <c r="DB231" s="35"/>
      <c r="DC231" s="35"/>
      <c r="DD231" s="35"/>
      <c r="DE231" s="35"/>
      <c r="DF231" s="35"/>
      <c r="DG231" s="35"/>
      <c r="DH231" s="35"/>
      <c r="DI231" s="35"/>
      <c r="DJ231" s="35"/>
      <c r="DK231" s="35"/>
      <c r="DL231" s="35"/>
      <c r="DM231" s="35"/>
      <c r="DN231" s="35"/>
      <c r="DO231" s="35"/>
      <c r="DP231" s="35"/>
      <c r="DQ231" s="35">
        <v>50</v>
      </c>
      <c r="DR231" s="35"/>
      <c r="DS231" s="35"/>
      <c r="DT231" s="35"/>
      <c r="DU231" s="35"/>
      <c r="DV231" s="35"/>
      <c r="DW231" s="28">
        <f t="shared" si="10"/>
        <v>0</v>
      </c>
      <c r="DX231" s="5"/>
    </row>
    <row r="232" spans="1:128" s="33" customFormat="1" x14ac:dyDescent="0.2">
      <c r="A232" s="39" t="s">
        <v>224</v>
      </c>
      <c r="B232" s="60">
        <f t="shared" si="9"/>
        <v>0</v>
      </c>
      <c r="C232" s="52">
        <v>0.9</v>
      </c>
      <c r="D232" s="55">
        <v>44672</v>
      </c>
      <c r="E232" s="62">
        <v>34.06</v>
      </c>
      <c r="F232" s="62">
        <f t="shared" si="11"/>
        <v>0</v>
      </c>
      <c r="G232" s="60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1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BH232" s="35"/>
      <c r="BI232" s="35"/>
      <c r="BJ232" s="35"/>
      <c r="BK232" s="35"/>
      <c r="BL232" s="35"/>
      <c r="BM232" s="35"/>
      <c r="BN232" s="35"/>
      <c r="BO232" s="35"/>
      <c r="BP232" s="35"/>
      <c r="BQ232" s="35"/>
      <c r="BR232" s="35"/>
      <c r="BS232" s="35"/>
      <c r="BT232" s="35"/>
      <c r="BU232" s="35"/>
      <c r="BV232" s="35"/>
      <c r="BW232" s="35"/>
      <c r="BX232" s="35"/>
      <c r="BY232" s="35"/>
      <c r="BZ232" s="35"/>
      <c r="CA232" s="35"/>
      <c r="CB232" s="35"/>
      <c r="CC232" s="35"/>
      <c r="CD232" s="35"/>
      <c r="CE232" s="35"/>
      <c r="CF232" s="35"/>
      <c r="CG232" s="35"/>
      <c r="CH232" s="35"/>
      <c r="CI232" s="35"/>
      <c r="CJ232" s="35"/>
      <c r="CK232" s="35"/>
      <c r="CL232" s="35"/>
      <c r="CM232" s="35"/>
      <c r="CN232" s="35"/>
      <c r="CO232" s="35"/>
      <c r="CP232" s="35"/>
      <c r="CQ232" s="35"/>
      <c r="CR232" s="35"/>
      <c r="CS232" s="35"/>
      <c r="CT232" s="35"/>
      <c r="CU232" s="35"/>
      <c r="CV232" s="35"/>
      <c r="CW232" s="35"/>
      <c r="CX232" s="35"/>
      <c r="CY232" s="35"/>
      <c r="CZ232" s="35"/>
      <c r="DA232" s="35"/>
      <c r="DB232" s="35"/>
      <c r="DC232" s="35"/>
      <c r="DD232" s="35"/>
      <c r="DE232" s="35"/>
      <c r="DF232" s="35"/>
      <c r="DG232" s="35"/>
      <c r="DH232" s="35"/>
      <c r="DI232" s="35"/>
      <c r="DJ232" s="35"/>
      <c r="DK232" s="35"/>
      <c r="DL232" s="35"/>
      <c r="DM232" s="35"/>
      <c r="DN232" s="35"/>
      <c r="DO232" s="35"/>
      <c r="DP232" s="35"/>
      <c r="DQ232" s="35"/>
      <c r="DR232" s="35"/>
      <c r="DS232" s="35"/>
      <c r="DT232" s="35"/>
      <c r="DU232" s="35"/>
      <c r="DV232" s="35"/>
      <c r="DW232" s="28">
        <f t="shared" si="10"/>
        <v>0</v>
      </c>
      <c r="DX232" s="5"/>
    </row>
    <row r="233" spans="1:128" s="33" customFormat="1" x14ac:dyDescent="0.2">
      <c r="A233" s="39" t="s">
        <v>2</v>
      </c>
      <c r="B233" s="60">
        <f t="shared" si="9"/>
        <v>36</v>
      </c>
      <c r="C233" s="52">
        <v>9</v>
      </c>
      <c r="D233" s="55">
        <v>44970</v>
      </c>
      <c r="E233" s="62">
        <v>24.9</v>
      </c>
      <c r="F233" s="62">
        <f t="shared" si="11"/>
        <v>896.4</v>
      </c>
      <c r="G233" s="60">
        <v>9</v>
      </c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15"/>
      <c r="V233" s="35"/>
      <c r="W233" s="35"/>
      <c r="X233" s="35">
        <v>0.9</v>
      </c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  <c r="AY233" s="35"/>
      <c r="AZ233" s="35"/>
      <c r="BA233" s="35"/>
      <c r="BB233" s="35"/>
      <c r="BC233" s="35"/>
      <c r="BD233" s="35"/>
      <c r="BE233" s="35"/>
      <c r="BF233" s="35"/>
      <c r="BG233" s="35"/>
      <c r="BH233" s="35"/>
      <c r="BI233" s="35"/>
      <c r="BJ233" s="35"/>
      <c r="BK233" s="35"/>
      <c r="BL233" s="35"/>
      <c r="BM233" s="35"/>
      <c r="BN233" s="35"/>
      <c r="BO233" s="35"/>
      <c r="BP233" s="35"/>
      <c r="BQ233" s="35"/>
      <c r="BR233" s="35"/>
      <c r="BS233" s="35"/>
      <c r="BT233" s="35"/>
      <c r="BU233" s="35"/>
      <c r="BV233" s="35"/>
      <c r="BW233" s="35"/>
      <c r="BX233" s="35"/>
      <c r="BY233" s="35"/>
      <c r="BZ233" s="35"/>
      <c r="CA233" s="35"/>
      <c r="CB233" s="35"/>
      <c r="CC233" s="35"/>
      <c r="CD233" s="35"/>
      <c r="CE233" s="35"/>
      <c r="CF233" s="35">
        <v>9</v>
      </c>
      <c r="CG233" s="35"/>
      <c r="CH233" s="35"/>
      <c r="CI233" s="35"/>
      <c r="CJ233" s="35"/>
      <c r="CK233" s="35"/>
      <c r="CL233" s="35"/>
      <c r="CM233" s="35"/>
      <c r="CN233" s="35"/>
      <c r="CO233" s="35"/>
      <c r="CP233" s="35"/>
      <c r="CQ233" s="35"/>
      <c r="CR233" s="35"/>
      <c r="CS233" s="35"/>
      <c r="CT233" s="35"/>
      <c r="CU233" s="35"/>
      <c r="CV233" s="35"/>
      <c r="CW233" s="35"/>
      <c r="CX233" s="35"/>
      <c r="CY233" s="35"/>
      <c r="CZ233" s="35"/>
      <c r="DA233" s="35"/>
      <c r="DB233" s="35">
        <v>0.9</v>
      </c>
      <c r="DC233" s="35"/>
      <c r="DD233" s="35"/>
      <c r="DE233" s="35"/>
      <c r="DF233" s="35"/>
      <c r="DG233" s="35"/>
      <c r="DH233" s="35"/>
      <c r="DI233" s="35"/>
      <c r="DJ233" s="35"/>
      <c r="DK233" s="35"/>
      <c r="DL233" s="35"/>
      <c r="DM233" s="35"/>
      <c r="DN233" s="35"/>
      <c r="DO233" s="35"/>
      <c r="DP233" s="35"/>
      <c r="DQ233" s="35">
        <v>36</v>
      </c>
      <c r="DR233" s="35"/>
      <c r="DS233" s="35"/>
      <c r="DT233" s="35"/>
      <c r="DU233" s="35"/>
      <c r="DV233" s="35"/>
      <c r="DW233" s="28">
        <f t="shared" si="10"/>
        <v>36</v>
      </c>
      <c r="DX233" s="5"/>
    </row>
    <row r="234" spans="1:128" s="33" customFormat="1" x14ac:dyDescent="0.2">
      <c r="A234" s="39" t="s">
        <v>2</v>
      </c>
      <c r="B234" s="60">
        <f t="shared" si="9"/>
        <v>9</v>
      </c>
      <c r="C234" s="52">
        <v>9</v>
      </c>
      <c r="D234" s="55">
        <v>44970</v>
      </c>
      <c r="E234" s="62">
        <v>27.24</v>
      </c>
      <c r="F234" s="62">
        <f t="shared" si="11"/>
        <v>245.16</v>
      </c>
      <c r="G234" s="60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1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  <c r="AY234" s="35"/>
      <c r="AZ234" s="35"/>
      <c r="BA234" s="35"/>
      <c r="BB234" s="35"/>
      <c r="BC234" s="35"/>
      <c r="BD234" s="35"/>
      <c r="BE234" s="35"/>
      <c r="BF234" s="35"/>
      <c r="BG234" s="35"/>
      <c r="BH234" s="35"/>
      <c r="BI234" s="35"/>
      <c r="BJ234" s="35"/>
      <c r="BK234" s="35"/>
      <c r="BL234" s="35"/>
      <c r="BM234" s="35"/>
      <c r="BN234" s="35"/>
      <c r="BO234" s="35"/>
      <c r="BP234" s="35"/>
      <c r="BQ234" s="35"/>
      <c r="BR234" s="35"/>
      <c r="BS234" s="35"/>
      <c r="BT234" s="35"/>
      <c r="BU234" s="35"/>
      <c r="BV234" s="35"/>
      <c r="BW234" s="35"/>
      <c r="BX234" s="35"/>
      <c r="BY234" s="35"/>
      <c r="BZ234" s="35"/>
      <c r="CA234" s="35"/>
      <c r="CB234" s="35"/>
      <c r="CC234" s="35"/>
      <c r="CD234" s="35"/>
      <c r="CE234" s="35"/>
      <c r="CF234" s="35"/>
      <c r="CG234" s="35"/>
      <c r="CH234" s="35"/>
      <c r="CI234" s="35"/>
      <c r="CJ234" s="35"/>
      <c r="CK234" s="35"/>
      <c r="CL234" s="35"/>
      <c r="CM234" s="35"/>
      <c r="CN234" s="35"/>
      <c r="CO234" s="35"/>
      <c r="CP234" s="35"/>
      <c r="CQ234" s="35"/>
      <c r="CR234" s="35"/>
      <c r="CS234" s="35"/>
      <c r="CT234" s="35"/>
      <c r="CU234" s="35"/>
      <c r="CV234" s="35"/>
      <c r="CW234" s="35"/>
      <c r="CX234" s="35"/>
      <c r="CY234" s="35"/>
      <c r="CZ234" s="35"/>
      <c r="DA234" s="35"/>
      <c r="DB234" s="35"/>
      <c r="DC234" s="35"/>
      <c r="DD234" s="35"/>
      <c r="DE234" s="35"/>
      <c r="DF234" s="35"/>
      <c r="DG234" s="35"/>
      <c r="DH234" s="35"/>
      <c r="DI234" s="35"/>
      <c r="DJ234" s="35"/>
      <c r="DK234" s="35"/>
      <c r="DL234" s="35"/>
      <c r="DM234" s="35"/>
      <c r="DN234" s="35"/>
      <c r="DO234" s="35"/>
      <c r="DP234" s="35"/>
      <c r="DQ234" s="35">
        <v>9</v>
      </c>
      <c r="DR234" s="35"/>
      <c r="DS234" s="35"/>
      <c r="DT234" s="35"/>
      <c r="DU234" s="35"/>
      <c r="DV234" s="35"/>
      <c r="DW234" s="28">
        <f t="shared" si="10"/>
        <v>9</v>
      </c>
      <c r="DX234" s="5"/>
    </row>
    <row r="235" spans="1:128" s="33" customFormat="1" x14ac:dyDescent="0.2">
      <c r="A235" s="39" t="s">
        <v>185</v>
      </c>
      <c r="B235" s="60">
        <f t="shared" si="9"/>
        <v>10</v>
      </c>
      <c r="C235" s="52">
        <v>10</v>
      </c>
      <c r="D235" s="55">
        <v>44865</v>
      </c>
      <c r="E235" s="62">
        <v>33.21</v>
      </c>
      <c r="F235" s="62">
        <f t="shared" si="11"/>
        <v>332.1</v>
      </c>
      <c r="G235" s="60">
        <v>30</v>
      </c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1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  <c r="AY235" s="35"/>
      <c r="AZ235" s="35"/>
      <c r="BA235" s="35"/>
      <c r="BB235" s="35"/>
      <c r="BC235" s="35"/>
      <c r="BD235" s="35"/>
      <c r="BE235" s="35"/>
      <c r="BF235" s="35"/>
      <c r="BG235" s="35"/>
      <c r="BH235" s="35"/>
      <c r="BI235" s="35"/>
      <c r="BJ235" s="35"/>
      <c r="BK235" s="35"/>
      <c r="BL235" s="35"/>
      <c r="BM235" s="35"/>
      <c r="BN235" s="35"/>
      <c r="BO235" s="35"/>
      <c r="BP235" s="35"/>
      <c r="BQ235" s="35"/>
      <c r="BR235" s="35"/>
      <c r="BS235" s="35"/>
      <c r="BT235" s="35"/>
      <c r="BU235" s="35"/>
      <c r="BV235" s="35">
        <v>20</v>
      </c>
      <c r="BW235" s="35">
        <v>10</v>
      </c>
      <c r="BX235" s="35"/>
      <c r="BY235" s="35"/>
      <c r="BZ235" s="35"/>
      <c r="CA235" s="35"/>
      <c r="CB235" s="35"/>
      <c r="CC235" s="35"/>
      <c r="CD235" s="35"/>
      <c r="CE235" s="35"/>
      <c r="CF235" s="35"/>
      <c r="CG235" s="35"/>
      <c r="CH235" s="35"/>
      <c r="CI235" s="35"/>
      <c r="CJ235" s="35"/>
      <c r="CK235" s="35"/>
      <c r="CL235" s="35"/>
      <c r="CM235" s="35"/>
      <c r="CN235" s="35"/>
      <c r="CO235" s="35"/>
      <c r="CP235" s="35"/>
      <c r="CQ235" s="35"/>
      <c r="CR235" s="35"/>
      <c r="CS235" s="35"/>
      <c r="CT235" s="35"/>
      <c r="CU235" s="35"/>
      <c r="CV235" s="35"/>
      <c r="CW235" s="35"/>
      <c r="CX235" s="35"/>
      <c r="CY235" s="35"/>
      <c r="CZ235" s="35"/>
      <c r="DA235" s="35"/>
      <c r="DB235" s="35"/>
      <c r="DC235" s="35"/>
      <c r="DD235" s="35"/>
      <c r="DE235" s="35"/>
      <c r="DF235" s="35"/>
      <c r="DG235" s="35"/>
      <c r="DH235" s="35"/>
      <c r="DI235" s="35"/>
      <c r="DJ235" s="35"/>
      <c r="DK235" s="35"/>
      <c r="DL235" s="35"/>
      <c r="DM235" s="35"/>
      <c r="DN235" s="35"/>
      <c r="DO235" s="35"/>
      <c r="DP235" s="35"/>
      <c r="DQ235" s="35"/>
      <c r="DR235" s="35"/>
      <c r="DS235" s="35"/>
      <c r="DT235" s="35"/>
      <c r="DU235" s="35"/>
      <c r="DV235" s="35"/>
      <c r="DW235" s="28">
        <f t="shared" si="10"/>
        <v>0</v>
      </c>
      <c r="DX235" s="5"/>
    </row>
    <row r="236" spans="1:128" s="33" customFormat="1" x14ac:dyDescent="0.2">
      <c r="A236" s="39" t="s">
        <v>42</v>
      </c>
      <c r="B236" s="60">
        <f t="shared" si="9"/>
        <v>11</v>
      </c>
      <c r="C236" s="52">
        <v>11</v>
      </c>
      <c r="D236" s="54">
        <v>44858</v>
      </c>
      <c r="E236" s="62">
        <v>46.96</v>
      </c>
      <c r="F236" s="62">
        <f t="shared" si="11"/>
        <v>516.56000000000006</v>
      </c>
      <c r="G236" s="60">
        <v>11</v>
      </c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1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  <c r="AY236" s="35"/>
      <c r="AZ236" s="35"/>
      <c r="BA236" s="35"/>
      <c r="BB236" s="35">
        <v>11</v>
      </c>
      <c r="BC236" s="35"/>
      <c r="BD236" s="35"/>
      <c r="BE236" s="35"/>
      <c r="BF236" s="35"/>
      <c r="BG236" s="35"/>
      <c r="BH236" s="35"/>
      <c r="BI236" s="35"/>
      <c r="BJ236" s="35"/>
      <c r="BK236" s="35"/>
      <c r="BL236" s="35"/>
      <c r="BM236" s="35"/>
      <c r="BN236" s="35"/>
      <c r="BO236" s="35"/>
      <c r="BP236" s="35"/>
      <c r="BQ236" s="35"/>
      <c r="BR236" s="35"/>
      <c r="BS236" s="35"/>
      <c r="BT236" s="35"/>
      <c r="BU236" s="35"/>
      <c r="BV236" s="35"/>
      <c r="BW236" s="35"/>
      <c r="BX236" s="35"/>
      <c r="BY236" s="35"/>
      <c r="BZ236" s="35"/>
      <c r="CA236" s="35"/>
      <c r="CB236" s="35"/>
      <c r="CC236" s="35"/>
      <c r="CD236" s="35"/>
      <c r="CE236" s="35"/>
      <c r="CF236" s="35"/>
      <c r="CG236" s="35"/>
      <c r="CH236" s="35"/>
      <c r="CI236" s="35"/>
      <c r="CJ236" s="35"/>
      <c r="CK236" s="35"/>
      <c r="CL236" s="35"/>
      <c r="CM236" s="35"/>
      <c r="CN236" s="35"/>
      <c r="CO236" s="35"/>
      <c r="CP236" s="35"/>
      <c r="CQ236" s="35"/>
      <c r="CR236" s="35"/>
      <c r="CS236" s="35"/>
      <c r="CT236" s="35"/>
      <c r="CU236" s="35"/>
      <c r="CV236" s="35"/>
      <c r="CW236" s="35"/>
      <c r="CX236" s="35"/>
      <c r="CY236" s="35"/>
      <c r="CZ236" s="35"/>
      <c r="DA236" s="35"/>
      <c r="DB236" s="35"/>
      <c r="DC236" s="35"/>
      <c r="DD236" s="35"/>
      <c r="DE236" s="35"/>
      <c r="DF236" s="35"/>
      <c r="DG236" s="35"/>
      <c r="DH236" s="35"/>
      <c r="DI236" s="35"/>
      <c r="DJ236" s="35"/>
      <c r="DK236" s="35"/>
      <c r="DL236" s="35"/>
      <c r="DM236" s="35"/>
      <c r="DN236" s="35"/>
      <c r="DO236" s="35"/>
      <c r="DP236" s="35"/>
      <c r="DQ236" s="35"/>
      <c r="DR236" s="35"/>
      <c r="DS236" s="35"/>
      <c r="DT236" s="35"/>
      <c r="DU236" s="35"/>
      <c r="DV236" s="35"/>
      <c r="DW236" s="28">
        <f t="shared" si="10"/>
        <v>0</v>
      </c>
      <c r="DX236" s="5"/>
    </row>
    <row r="237" spans="1:128" s="33" customFormat="1" x14ac:dyDescent="0.2">
      <c r="A237" s="39" t="s">
        <v>49</v>
      </c>
      <c r="B237" s="60">
        <f t="shared" si="9"/>
        <v>99</v>
      </c>
      <c r="C237" s="52">
        <v>11</v>
      </c>
      <c r="D237" s="54">
        <v>44970</v>
      </c>
      <c r="E237" s="62">
        <v>27.24</v>
      </c>
      <c r="F237" s="62">
        <f t="shared" si="11"/>
        <v>2696.7599999999998</v>
      </c>
      <c r="G237" s="60">
        <v>33</v>
      </c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1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  <c r="AY237" s="35"/>
      <c r="AZ237" s="35"/>
      <c r="BA237" s="35"/>
      <c r="BB237" s="35"/>
      <c r="BC237" s="35"/>
      <c r="BD237" s="35"/>
      <c r="BE237" s="35"/>
      <c r="BF237" s="35"/>
      <c r="BG237" s="35"/>
      <c r="BH237" s="35"/>
      <c r="BI237" s="35"/>
      <c r="BJ237" s="35"/>
      <c r="BK237" s="35"/>
      <c r="BL237" s="35"/>
      <c r="BM237" s="35"/>
      <c r="BN237" s="35"/>
      <c r="BO237" s="35"/>
      <c r="BP237" s="35"/>
      <c r="BQ237" s="35"/>
      <c r="BR237" s="35"/>
      <c r="BS237" s="35"/>
      <c r="BT237" s="35"/>
      <c r="BU237" s="35"/>
      <c r="BV237" s="35"/>
      <c r="BW237" s="35"/>
      <c r="BX237" s="35"/>
      <c r="BY237" s="35"/>
      <c r="BZ237" s="35"/>
      <c r="CA237" s="35"/>
      <c r="CB237" s="35"/>
      <c r="CC237" s="35"/>
      <c r="CD237" s="35"/>
      <c r="CE237" s="35"/>
      <c r="CF237" s="35"/>
      <c r="CG237" s="35"/>
      <c r="CH237" s="35"/>
      <c r="CI237" s="35"/>
      <c r="CJ237" s="35"/>
      <c r="CK237" s="35"/>
      <c r="CL237" s="35">
        <v>11</v>
      </c>
      <c r="CM237" s="35"/>
      <c r="CN237" s="35"/>
      <c r="CO237" s="35"/>
      <c r="CP237" s="35"/>
      <c r="CQ237" s="35"/>
      <c r="CR237" s="35"/>
      <c r="CS237" s="35"/>
      <c r="CT237" s="35"/>
      <c r="CU237" s="35"/>
      <c r="CV237" s="35"/>
      <c r="CW237" s="35"/>
      <c r="CX237" s="35"/>
      <c r="CY237" s="35"/>
      <c r="CZ237" s="35"/>
      <c r="DA237" s="35"/>
      <c r="DB237" s="35"/>
      <c r="DC237" s="35"/>
      <c r="DD237" s="35">
        <v>11</v>
      </c>
      <c r="DE237" s="35"/>
      <c r="DF237" s="35"/>
      <c r="DG237" s="35"/>
      <c r="DH237" s="35"/>
      <c r="DI237" s="35">
        <v>11</v>
      </c>
      <c r="DJ237" s="35"/>
      <c r="DK237" s="35"/>
      <c r="DL237" s="35"/>
      <c r="DM237" s="35"/>
      <c r="DN237" s="35"/>
      <c r="DO237" s="35"/>
      <c r="DP237" s="35"/>
      <c r="DQ237" s="35">
        <v>110</v>
      </c>
      <c r="DR237" s="35">
        <v>11</v>
      </c>
      <c r="DS237" s="35"/>
      <c r="DT237" s="35"/>
      <c r="DU237" s="35"/>
      <c r="DV237" s="35"/>
      <c r="DW237" s="28">
        <f t="shared" si="10"/>
        <v>99</v>
      </c>
      <c r="DX237" s="5"/>
    </row>
    <row r="238" spans="1:128" s="33" customFormat="1" x14ac:dyDescent="0.2">
      <c r="A238" s="39" t="s">
        <v>119</v>
      </c>
      <c r="B238" s="60">
        <f t="shared" si="9"/>
        <v>0</v>
      </c>
      <c r="C238" s="52">
        <v>10</v>
      </c>
      <c r="D238" s="54">
        <v>44914</v>
      </c>
      <c r="E238" s="62">
        <v>28.35</v>
      </c>
      <c r="F238" s="62">
        <f t="shared" si="11"/>
        <v>0</v>
      </c>
      <c r="G238" s="60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1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  <c r="AY238" s="35"/>
      <c r="AZ238" s="35"/>
      <c r="BA238" s="35"/>
      <c r="BB238" s="35"/>
      <c r="BC238" s="35"/>
      <c r="BD238" s="35"/>
      <c r="BE238" s="35"/>
      <c r="BF238" s="35"/>
      <c r="BG238" s="35"/>
      <c r="BH238" s="35"/>
      <c r="BI238" s="35"/>
      <c r="BJ238" s="35"/>
      <c r="BK238" s="35"/>
      <c r="BL238" s="35"/>
      <c r="BM238" s="35"/>
      <c r="BN238" s="35"/>
      <c r="BO238" s="35"/>
      <c r="BP238" s="35"/>
      <c r="BQ238" s="35"/>
      <c r="BR238" s="35"/>
      <c r="BS238" s="35"/>
      <c r="BT238" s="35"/>
      <c r="BU238" s="35"/>
      <c r="BV238" s="35"/>
      <c r="BW238" s="35"/>
      <c r="BX238" s="35"/>
      <c r="BY238" s="35"/>
      <c r="BZ238" s="35"/>
      <c r="CA238" s="35"/>
      <c r="CB238" s="35"/>
      <c r="CC238" s="35"/>
      <c r="CD238" s="35"/>
      <c r="CE238" s="35"/>
      <c r="CF238" s="35"/>
      <c r="CG238" s="35"/>
      <c r="CH238" s="35"/>
      <c r="CI238" s="35"/>
      <c r="CJ238" s="35"/>
      <c r="CK238" s="35"/>
      <c r="CL238" s="35"/>
      <c r="CM238" s="35"/>
      <c r="CN238" s="35"/>
      <c r="CO238" s="35"/>
      <c r="CP238" s="35"/>
      <c r="CQ238" s="35"/>
      <c r="CR238" s="35"/>
      <c r="CS238" s="35"/>
      <c r="CT238" s="35"/>
      <c r="CU238" s="35"/>
      <c r="CV238" s="35"/>
      <c r="CW238" s="35"/>
      <c r="CX238" s="35"/>
      <c r="CY238" s="35"/>
      <c r="CZ238" s="35"/>
      <c r="DA238" s="35"/>
      <c r="DB238" s="35"/>
      <c r="DC238" s="35"/>
      <c r="DD238" s="35"/>
      <c r="DE238" s="35"/>
      <c r="DF238" s="35"/>
      <c r="DG238" s="35"/>
      <c r="DH238" s="35"/>
      <c r="DI238" s="35"/>
      <c r="DJ238" s="35"/>
      <c r="DK238" s="35"/>
      <c r="DL238" s="35"/>
      <c r="DM238" s="35"/>
      <c r="DN238" s="35"/>
      <c r="DO238" s="35"/>
      <c r="DP238" s="35"/>
      <c r="DQ238" s="35"/>
      <c r="DR238" s="35"/>
      <c r="DS238" s="35"/>
      <c r="DT238" s="35"/>
      <c r="DU238" s="35"/>
      <c r="DV238" s="35"/>
      <c r="DW238" s="28">
        <f t="shared" si="10"/>
        <v>0</v>
      </c>
      <c r="DX238" s="5"/>
    </row>
    <row r="239" spans="1:128" s="33" customFormat="1" x14ac:dyDescent="0.2">
      <c r="A239" s="39" t="s">
        <v>453</v>
      </c>
      <c r="B239" s="60">
        <f t="shared" si="9"/>
        <v>0</v>
      </c>
      <c r="C239" s="52">
        <v>1.1000000000000001</v>
      </c>
      <c r="D239" s="54">
        <v>44669</v>
      </c>
      <c r="E239" s="62">
        <v>81.010000000000005</v>
      </c>
      <c r="F239" s="62">
        <f t="shared" si="11"/>
        <v>0</v>
      </c>
      <c r="G239" s="60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1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  <c r="BJ239" s="35"/>
      <c r="BK239" s="35"/>
      <c r="BL239" s="35"/>
      <c r="BM239" s="35"/>
      <c r="BN239" s="35"/>
      <c r="BO239" s="35"/>
      <c r="BP239" s="35"/>
      <c r="BQ239" s="35"/>
      <c r="BR239" s="35"/>
      <c r="BS239" s="35"/>
      <c r="BT239" s="35"/>
      <c r="BU239" s="35"/>
      <c r="BV239" s="35"/>
      <c r="BW239" s="35"/>
      <c r="BX239" s="35"/>
      <c r="BY239" s="35"/>
      <c r="BZ239" s="35"/>
      <c r="CA239" s="35"/>
      <c r="CB239" s="35"/>
      <c r="CC239" s="35"/>
      <c r="CD239" s="35"/>
      <c r="CE239" s="35"/>
      <c r="CF239" s="35"/>
      <c r="CG239" s="35"/>
      <c r="CH239" s="35"/>
      <c r="CI239" s="35"/>
      <c r="CJ239" s="35"/>
      <c r="CK239" s="35"/>
      <c r="CL239" s="35"/>
      <c r="CM239" s="35"/>
      <c r="CN239" s="35"/>
      <c r="CO239" s="35"/>
      <c r="CP239" s="35"/>
      <c r="CQ239" s="35"/>
      <c r="CR239" s="35"/>
      <c r="CS239" s="35"/>
      <c r="CT239" s="35"/>
      <c r="CU239" s="35"/>
      <c r="CV239" s="35"/>
      <c r="CW239" s="35"/>
      <c r="CX239" s="35"/>
      <c r="CY239" s="35"/>
      <c r="CZ239" s="35"/>
      <c r="DA239" s="35"/>
      <c r="DB239" s="35"/>
      <c r="DC239" s="35"/>
      <c r="DD239" s="35"/>
      <c r="DE239" s="35"/>
      <c r="DF239" s="35"/>
      <c r="DG239" s="35"/>
      <c r="DH239" s="35"/>
      <c r="DI239" s="35"/>
      <c r="DJ239" s="35"/>
      <c r="DK239" s="35"/>
      <c r="DL239" s="35"/>
      <c r="DM239" s="35"/>
      <c r="DN239" s="35"/>
      <c r="DO239" s="35"/>
      <c r="DP239" s="35"/>
      <c r="DQ239" s="35"/>
      <c r="DR239" s="35"/>
      <c r="DS239" s="35"/>
      <c r="DT239" s="35"/>
      <c r="DU239" s="35"/>
      <c r="DV239" s="35"/>
      <c r="DW239" s="28">
        <f t="shared" si="10"/>
        <v>0</v>
      </c>
      <c r="DX239" s="5"/>
    </row>
    <row r="240" spans="1:128" s="33" customFormat="1" x14ac:dyDescent="0.2">
      <c r="A240" s="39" t="s">
        <v>242</v>
      </c>
      <c r="B240" s="60">
        <f t="shared" si="9"/>
        <v>0</v>
      </c>
      <c r="C240" s="52">
        <v>11</v>
      </c>
      <c r="D240" s="54">
        <v>44585</v>
      </c>
      <c r="E240" s="62">
        <v>18.2</v>
      </c>
      <c r="F240" s="62">
        <f t="shared" si="11"/>
        <v>0</v>
      </c>
      <c r="G240" s="60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1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  <c r="AY240" s="35"/>
      <c r="AZ240" s="35"/>
      <c r="BA240" s="35"/>
      <c r="BB240" s="35"/>
      <c r="BC240" s="35"/>
      <c r="BD240" s="35"/>
      <c r="BE240" s="35"/>
      <c r="BF240" s="35"/>
      <c r="BG240" s="35"/>
      <c r="BH240" s="35"/>
      <c r="BI240" s="35"/>
      <c r="BJ240" s="35"/>
      <c r="BK240" s="35"/>
      <c r="BL240" s="35"/>
      <c r="BM240" s="35"/>
      <c r="BN240" s="35"/>
      <c r="BO240" s="35"/>
      <c r="BP240" s="35"/>
      <c r="BQ240" s="35"/>
      <c r="BR240" s="35"/>
      <c r="BS240" s="35"/>
      <c r="BT240" s="35"/>
      <c r="BU240" s="35"/>
      <c r="BV240" s="35"/>
      <c r="BW240" s="35"/>
      <c r="BX240" s="35"/>
      <c r="BY240" s="35"/>
      <c r="BZ240" s="35"/>
      <c r="CA240" s="35"/>
      <c r="CB240" s="35"/>
      <c r="CC240" s="35"/>
      <c r="CD240" s="35"/>
      <c r="CE240" s="35"/>
      <c r="CF240" s="35"/>
      <c r="CG240" s="35"/>
      <c r="CH240" s="35"/>
      <c r="CI240" s="35"/>
      <c r="CJ240" s="35"/>
      <c r="CK240" s="35"/>
      <c r="CL240" s="35"/>
      <c r="CM240" s="35"/>
      <c r="CN240" s="35"/>
      <c r="CO240" s="35"/>
      <c r="CP240" s="35"/>
      <c r="CQ240" s="35"/>
      <c r="CR240" s="35"/>
      <c r="CS240" s="35"/>
      <c r="CT240" s="35"/>
      <c r="CU240" s="35"/>
      <c r="CV240" s="35"/>
      <c r="CW240" s="35"/>
      <c r="CX240" s="35"/>
      <c r="CY240" s="35"/>
      <c r="CZ240" s="35"/>
      <c r="DA240" s="35"/>
      <c r="DB240" s="35"/>
      <c r="DC240" s="35"/>
      <c r="DD240" s="35"/>
      <c r="DE240" s="35"/>
      <c r="DF240" s="35"/>
      <c r="DG240" s="35"/>
      <c r="DH240" s="35"/>
      <c r="DI240" s="35"/>
      <c r="DJ240" s="35"/>
      <c r="DK240" s="35"/>
      <c r="DL240" s="35"/>
      <c r="DM240" s="35"/>
      <c r="DN240" s="35"/>
      <c r="DO240" s="35"/>
      <c r="DP240" s="35"/>
      <c r="DQ240" s="35"/>
      <c r="DR240" s="35"/>
      <c r="DS240" s="35"/>
      <c r="DT240" s="35"/>
      <c r="DU240" s="35"/>
      <c r="DV240" s="35"/>
      <c r="DW240" s="28">
        <f t="shared" si="10"/>
        <v>0</v>
      </c>
      <c r="DX240" s="5"/>
    </row>
    <row r="241" spans="1:128" s="33" customFormat="1" x14ac:dyDescent="0.2">
      <c r="A241" s="39" t="s">
        <v>272</v>
      </c>
      <c r="B241" s="60">
        <f t="shared" si="9"/>
        <v>80</v>
      </c>
      <c r="C241" s="52">
        <v>10</v>
      </c>
      <c r="D241" s="55" t="s">
        <v>574</v>
      </c>
      <c r="E241" s="62">
        <v>54.59</v>
      </c>
      <c r="F241" s="62">
        <f t="shared" si="11"/>
        <v>4367.2000000000007</v>
      </c>
      <c r="G241" s="60">
        <v>30</v>
      </c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1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  <c r="AY241" s="35"/>
      <c r="AZ241" s="35"/>
      <c r="BA241" s="35"/>
      <c r="BB241" s="35"/>
      <c r="BC241" s="35"/>
      <c r="BD241" s="35"/>
      <c r="BE241" s="35"/>
      <c r="BF241" s="35"/>
      <c r="BG241" s="35"/>
      <c r="BH241" s="35"/>
      <c r="BI241" s="35"/>
      <c r="BJ241" s="35"/>
      <c r="BK241" s="35"/>
      <c r="BL241" s="35"/>
      <c r="BM241" s="35"/>
      <c r="BN241" s="35"/>
      <c r="BO241" s="35"/>
      <c r="BP241" s="35"/>
      <c r="BQ241" s="35"/>
      <c r="BR241" s="35">
        <v>30</v>
      </c>
      <c r="BS241" s="35">
        <v>30</v>
      </c>
      <c r="BT241" s="35"/>
      <c r="BU241" s="35"/>
      <c r="BV241" s="35"/>
      <c r="BW241" s="35"/>
      <c r="BX241" s="35"/>
      <c r="BY241" s="35"/>
      <c r="BZ241" s="35"/>
      <c r="CA241" s="35"/>
      <c r="CB241" s="35"/>
      <c r="CC241" s="35"/>
      <c r="CD241" s="35"/>
      <c r="CE241" s="35"/>
      <c r="CF241" s="35"/>
      <c r="CG241" s="35"/>
      <c r="CH241" s="35"/>
      <c r="CI241" s="35"/>
      <c r="CJ241" s="35"/>
      <c r="CK241" s="35"/>
      <c r="CL241" s="35"/>
      <c r="CM241" s="35"/>
      <c r="CN241" s="35"/>
      <c r="CO241" s="35"/>
      <c r="CP241" s="35"/>
      <c r="CQ241" s="35"/>
      <c r="CR241" s="35"/>
      <c r="CS241" s="35"/>
      <c r="CT241" s="35"/>
      <c r="CU241" s="35"/>
      <c r="CV241" s="35"/>
      <c r="CW241" s="35"/>
      <c r="CX241" s="35"/>
      <c r="CY241" s="35"/>
      <c r="CZ241" s="35"/>
      <c r="DA241" s="35"/>
      <c r="DB241" s="35">
        <v>30</v>
      </c>
      <c r="DC241" s="35"/>
      <c r="DD241" s="35"/>
      <c r="DE241" s="35"/>
      <c r="DF241" s="35"/>
      <c r="DG241" s="35"/>
      <c r="DH241" s="35"/>
      <c r="DI241" s="35"/>
      <c r="DJ241" s="35"/>
      <c r="DK241" s="35"/>
      <c r="DL241" s="35"/>
      <c r="DM241" s="35"/>
      <c r="DN241" s="35"/>
      <c r="DO241" s="35"/>
      <c r="DP241" s="35"/>
      <c r="DQ241" s="35">
        <v>50</v>
      </c>
      <c r="DR241" s="35"/>
      <c r="DS241" s="35"/>
      <c r="DT241" s="35"/>
      <c r="DU241" s="35"/>
      <c r="DV241" s="35"/>
      <c r="DW241" s="28">
        <f t="shared" si="10"/>
        <v>50</v>
      </c>
      <c r="DX241" s="5"/>
    </row>
    <row r="242" spans="1:128" s="33" customFormat="1" x14ac:dyDescent="0.2">
      <c r="A242" s="39" t="s">
        <v>272</v>
      </c>
      <c r="B242" s="60">
        <f t="shared" si="9"/>
        <v>20</v>
      </c>
      <c r="C242" s="52">
        <v>11</v>
      </c>
      <c r="D242" s="55">
        <v>44949</v>
      </c>
      <c r="E242" s="62">
        <v>54.86</v>
      </c>
      <c r="F242" s="62">
        <f t="shared" si="11"/>
        <v>1097.2</v>
      </c>
      <c r="G242" s="60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1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BH242" s="35"/>
      <c r="BI242" s="35"/>
      <c r="BJ242" s="35"/>
      <c r="BK242" s="35"/>
      <c r="BL242" s="35"/>
      <c r="BM242" s="35"/>
      <c r="BN242" s="35"/>
      <c r="BO242" s="35"/>
      <c r="BP242" s="35"/>
      <c r="BQ242" s="35"/>
      <c r="BR242" s="35">
        <v>50</v>
      </c>
      <c r="BS242" s="35">
        <v>20</v>
      </c>
      <c r="BT242" s="35"/>
      <c r="BU242" s="35"/>
      <c r="BV242" s="35"/>
      <c r="BW242" s="35"/>
      <c r="BX242" s="35"/>
      <c r="BY242" s="35"/>
      <c r="BZ242" s="35"/>
      <c r="CA242" s="35"/>
      <c r="CB242" s="35"/>
      <c r="CC242" s="35"/>
      <c r="CD242" s="35"/>
      <c r="CE242" s="35"/>
      <c r="CF242" s="35"/>
      <c r="CG242" s="35"/>
      <c r="CH242" s="35"/>
      <c r="CI242" s="35"/>
      <c r="CJ242" s="35"/>
      <c r="CK242" s="35"/>
      <c r="CL242" s="35"/>
      <c r="CM242" s="35"/>
      <c r="CN242" s="35"/>
      <c r="CO242" s="35"/>
      <c r="CP242" s="35"/>
      <c r="CQ242" s="35"/>
      <c r="CR242" s="35"/>
      <c r="CS242" s="35">
        <v>70</v>
      </c>
      <c r="CT242" s="35"/>
      <c r="CU242" s="35"/>
      <c r="CV242" s="35"/>
      <c r="CW242" s="35"/>
      <c r="CX242" s="35"/>
      <c r="CY242" s="35"/>
      <c r="CZ242" s="35"/>
      <c r="DA242" s="35"/>
      <c r="DB242" s="35"/>
      <c r="DC242" s="35"/>
      <c r="DD242" s="35"/>
      <c r="DE242" s="35"/>
      <c r="DF242" s="35"/>
      <c r="DG242" s="35"/>
      <c r="DH242" s="35"/>
      <c r="DI242" s="35"/>
      <c r="DJ242" s="35"/>
      <c r="DK242" s="35"/>
      <c r="DL242" s="35"/>
      <c r="DM242" s="35"/>
      <c r="DN242" s="35"/>
      <c r="DO242" s="35"/>
      <c r="DP242" s="35"/>
      <c r="DQ242" s="35"/>
      <c r="DR242" s="35"/>
      <c r="DS242" s="35"/>
      <c r="DT242" s="35"/>
      <c r="DU242" s="35"/>
      <c r="DV242" s="35"/>
      <c r="DW242" s="28">
        <f t="shared" si="10"/>
        <v>0</v>
      </c>
      <c r="DX242" s="5"/>
    </row>
    <row r="243" spans="1:128" s="33" customFormat="1" x14ac:dyDescent="0.2">
      <c r="A243" s="39" t="s">
        <v>298</v>
      </c>
      <c r="B243" s="60">
        <f t="shared" si="9"/>
        <v>0</v>
      </c>
      <c r="C243" s="52">
        <v>30</v>
      </c>
      <c r="D243" s="55">
        <v>44956</v>
      </c>
      <c r="E243" s="62">
        <v>35.869999999999997</v>
      </c>
      <c r="F243" s="62">
        <f t="shared" si="11"/>
        <v>0</v>
      </c>
      <c r="G243" s="60">
        <v>45</v>
      </c>
      <c r="H243" s="35"/>
      <c r="I243" s="35"/>
      <c r="J243" s="35"/>
      <c r="K243" s="35"/>
      <c r="L243" s="35"/>
      <c r="M243" s="35"/>
      <c r="N243" s="35"/>
      <c r="O243" s="35">
        <v>45</v>
      </c>
      <c r="P243" s="35"/>
      <c r="Q243" s="35">
        <v>50</v>
      </c>
      <c r="R243" s="35"/>
      <c r="S243" s="35"/>
      <c r="T243" s="35"/>
      <c r="U243" s="1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  <c r="AY243" s="35"/>
      <c r="AZ243" s="35"/>
      <c r="BA243" s="35"/>
      <c r="BB243" s="35"/>
      <c r="BC243" s="35"/>
      <c r="BD243" s="35"/>
      <c r="BE243" s="35"/>
      <c r="BF243" s="35"/>
      <c r="BG243" s="35"/>
      <c r="BH243" s="35"/>
      <c r="BI243" s="35"/>
      <c r="BJ243" s="35"/>
      <c r="BK243" s="35"/>
      <c r="BL243" s="35"/>
      <c r="BM243" s="35"/>
      <c r="BN243" s="35"/>
      <c r="BO243" s="35"/>
      <c r="BP243" s="35"/>
      <c r="BQ243" s="35"/>
      <c r="BR243" s="35"/>
      <c r="BS243" s="35"/>
      <c r="BT243" s="35"/>
      <c r="BU243" s="35"/>
      <c r="BV243" s="35"/>
      <c r="BW243" s="35"/>
      <c r="BX243" s="35"/>
      <c r="BY243" s="35"/>
      <c r="BZ243" s="35"/>
      <c r="CA243" s="35"/>
      <c r="CB243" s="35"/>
      <c r="CC243" s="35"/>
      <c r="CD243" s="35"/>
      <c r="CE243" s="35"/>
      <c r="CF243" s="35"/>
      <c r="CG243" s="35"/>
      <c r="CH243" s="35"/>
      <c r="CI243" s="35"/>
      <c r="CJ243" s="35"/>
      <c r="CK243" s="35"/>
      <c r="CL243" s="35"/>
      <c r="CM243" s="35"/>
      <c r="CN243" s="35"/>
      <c r="CO243" s="35"/>
      <c r="CP243" s="35"/>
      <c r="CQ243" s="35"/>
      <c r="CR243" s="35"/>
      <c r="CS243" s="35">
        <v>30</v>
      </c>
      <c r="CT243" s="35"/>
      <c r="CU243" s="35"/>
      <c r="CV243" s="35"/>
      <c r="CW243" s="35"/>
      <c r="CX243" s="35"/>
      <c r="CY243" s="35"/>
      <c r="CZ243" s="35"/>
      <c r="DA243" s="35"/>
      <c r="DB243" s="35">
        <v>20</v>
      </c>
      <c r="DC243" s="35"/>
      <c r="DD243" s="35"/>
      <c r="DE243" s="35"/>
      <c r="DF243" s="35"/>
      <c r="DG243" s="35"/>
      <c r="DH243" s="35"/>
      <c r="DI243" s="35"/>
      <c r="DJ243" s="35"/>
      <c r="DK243" s="35"/>
      <c r="DL243" s="35"/>
      <c r="DM243" s="35"/>
      <c r="DN243" s="35"/>
      <c r="DO243" s="35"/>
      <c r="DP243" s="35"/>
      <c r="DQ243" s="35"/>
      <c r="DR243" s="35"/>
      <c r="DS243" s="35"/>
      <c r="DT243" s="35"/>
      <c r="DU243" s="35"/>
      <c r="DV243" s="35"/>
      <c r="DW243" s="28">
        <f t="shared" si="10"/>
        <v>0</v>
      </c>
      <c r="DX243" s="5"/>
    </row>
    <row r="244" spans="1:128" s="33" customFormat="1" x14ac:dyDescent="0.2">
      <c r="A244" s="39" t="s">
        <v>81</v>
      </c>
      <c r="B244" s="60">
        <f t="shared" si="9"/>
        <v>1</v>
      </c>
      <c r="C244" s="52">
        <v>1</v>
      </c>
      <c r="D244" s="55">
        <v>44914</v>
      </c>
      <c r="E244" s="62">
        <v>41.41</v>
      </c>
      <c r="F244" s="62">
        <f t="shared" si="11"/>
        <v>41.41</v>
      </c>
      <c r="G244" s="60">
        <v>1</v>
      </c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1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  <c r="AY244" s="35"/>
      <c r="AZ244" s="35"/>
      <c r="BA244" s="35"/>
      <c r="BB244" s="35"/>
      <c r="BC244" s="35"/>
      <c r="BD244" s="35"/>
      <c r="BE244" s="35"/>
      <c r="BF244" s="35"/>
      <c r="BG244" s="35">
        <v>1</v>
      </c>
      <c r="BH244" s="35"/>
      <c r="BI244" s="35"/>
      <c r="BJ244" s="35"/>
      <c r="BK244" s="35"/>
      <c r="BL244" s="35"/>
      <c r="BM244" s="35"/>
      <c r="BN244" s="35"/>
      <c r="BO244" s="35"/>
      <c r="BP244" s="35"/>
      <c r="BQ244" s="35"/>
      <c r="BR244" s="35"/>
      <c r="BS244" s="35"/>
      <c r="BT244" s="35"/>
      <c r="BU244" s="35"/>
      <c r="BV244" s="35"/>
      <c r="BW244" s="35"/>
      <c r="BX244" s="35"/>
      <c r="BY244" s="35"/>
      <c r="BZ244" s="35"/>
      <c r="CA244" s="35"/>
      <c r="CB244" s="35"/>
      <c r="CC244" s="35"/>
      <c r="CD244" s="35"/>
      <c r="CE244" s="35"/>
      <c r="CF244" s="35"/>
      <c r="CG244" s="35"/>
      <c r="CH244" s="35"/>
      <c r="CI244" s="35"/>
      <c r="CJ244" s="35"/>
      <c r="CK244" s="35"/>
      <c r="CL244" s="35"/>
      <c r="CM244" s="35"/>
      <c r="CN244" s="35"/>
      <c r="CO244" s="35"/>
      <c r="CP244" s="35"/>
      <c r="CQ244" s="35"/>
      <c r="CR244" s="35"/>
      <c r="CS244" s="35"/>
      <c r="CT244" s="35"/>
      <c r="CU244" s="35"/>
      <c r="CV244" s="35"/>
      <c r="CW244" s="35"/>
      <c r="CX244" s="35"/>
      <c r="CY244" s="35"/>
      <c r="CZ244" s="35"/>
      <c r="DA244" s="35"/>
      <c r="DB244" s="35"/>
      <c r="DC244" s="35"/>
      <c r="DD244" s="35"/>
      <c r="DE244" s="35"/>
      <c r="DF244" s="35"/>
      <c r="DG244" s="35"/>
      <c r="DH244" s="35"/>
      <c r="DI244" s="35"/>
      <c r="DJ244" s="35"/>
      <c r="DK244" s="35"/>
      <c r="DL244" s="35"/>
      <c r="DM244" s="35"/>
      <c r="DN244" s="35"/>
      <c r="DO244" s="35"/>
      <c r="DP244" s="35"/>
      <c r="DQ244" s="35"/>
      <c r="DR244" s="35"/>
      <c r="DS244" s="35"/>
      <c r="DT244" s="35"/>
      <c r="DU244" s="35"/>
      <c r="DV244" s="35"/>
      <c r="DW244" s="28">
        <f t="shared" si="10"/>
        <v>0</v>
      </c>
      <c r="DX244" s="5"/>
    </row>
    <row r="245" spans="1:128" s="33" customFormat="1" x14ac:dyDescent="0.2">
      <c r="A245" s="39" t="s">
        <v>133</v>
      </c>
      <c r="B245" s="60">
        <f t="shared" si="9"/>
        <v>0</v>
      </c>
      <c r="C245" s="52">
        <v>1.1000000000000001</v>
      </c>
      <c r="D245" s="54">
        <v>44795</v>
      </c>
      <c r="E245" s="62">
        <v>32.1</v>
      </c>
      <c r="F245" s="62">
        <f t="shared" si="11"/>
        <v>0</v>
      </c>
      <c r="G245" s="60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1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  <c r="AY245" s="35"/>
      <c r="AZ245" s="35"/>
      <c r="BA245" s="35"/>
      <c r="BB245" s="35"/>
      <c r="BC245" s="35"/>
      <c r="BD245" s="35"/>
      <c r="BE245" s="35"/>
      <c r="BF245" s="35"/>
      <c r="BG245" s="35"/>
      <c r="BH245" s="35"/>
      <c r="BI245" s="35"/>
      <c r="BJ245" s="35"/>
      <c r="BK245" s="35"/>
      <c r="BL245" s="35"/>
      <c r="BM245" s="35"/>
      <c r="BN245" s="35"/>
      <c r="BO245" s="35"/>
      <c r="BP245" s="35"/>
      <c r="BQ245" s="35"/>
      <c r="BR245" s="35"/>
      <c r="BS245" s="35"/>
      <c r="BT245" s="35"/>
      <c r="BU245" s="35"/>
      <c r="BV245" s="35"/>
      <c r="BW245" s="35"/>
      <c r="BX245" s="35"/>
      <c r="BY245" s="35"/>
      <c r="BZ245" s="35"/>
      <c r="CA245" s="35"/>
      <c r="CB245" s="35"/>
      <c r="CC245" s="35"/>
      <c r="CD245" s="35"/>
      <c r="CE245" s="35"/>
      <c r="CF245" s="35"/>
      <c r="CG245" s="35"/>
      <c r="CH245" s="35"/>
      <c r="CI245" s="35"/>
      <c r="CJ245" s="35"/>
      <c r="CK245" s="35"/>
      <c r="CL245" s="35"/>
      <c r="CM245" s="35"/>
      <c r="CN245" s="35"/>
      <c r="CO245" s="35"/>
      <c r="CP245" s="35"/>
      <c r="CQ245" s="35"/>
      <c r="CR245" s="35"/>
      <c r="CS245" s="35"/>
      <c r="CT245" s="35"/>
      <c r="CU245" s="35"/>
      <c r="CV245" s="35"/>
      <c r="CW245" s="35"/>
      <c r="CX245" s="35"/>
      <c r="CY245" s="35"/>
      <c r="CZ245" s="35"/>
      <c r="DA245" s="35"/>
      <c r="DB245" s="35"/>
      <c r="DC245" s="35"/>
      <c r="DD245" s="35"/>
      <c r="DE245" s="35"/>
      <c r="DF245" s="35"/>
      <c r="DG245" s="35"/>
      <c r="DH245" s="35"/>
      <c r="DI245" s="35"/>
      <c r="DJ245" s="35"/>
      <c r="DK245" s="35"/>
      <c r="DL245" s="35"/>
      <c r="DM245" s="35"/>
      <c r="DN245" s="35"/>
      <c r="DO245" s="35"/>
      <c r="DP245" s="35"/>
      <c r="DQ245" s="35"/>
      <c r="DR245" s="35"/>
      <c r="DS245" s="35"/>
      <c r="DT245" s="35"/>
      <c r="DU245" s="35"/>
      <c r="DV245" s="35"/>
      <c r="DW245" s="28">
        <f t="shared" si="10"/>
        <v>0</v>
      </c>
      <c r="DX245" s="5"/>
    </row>
    <row r="246" spans="1:128" s="33" customFormat="1" x14ac:dyDescent="0.2">
      <c r="A246" s="39" t="s">
        <v>202</v>
      </c>
      <c r="B246" s="60">
        <f t="shared" si="9"/>
        <v>10</v>
      </c>
      <c r="C246" s="52">
        <v>10</v>
      </c>
      <c r="D246" s="55">
        <v>43318</v>
      </c>
      <c r="E246" s="62">
        <v>17.920000000000002</v>
      </c>
      <c r="F246" s="62">
        <f t="shared" si="11"/>
        <v>179.20000000000002</v>
      </c>
      <c r="G246" s="60">
        <v>10</v>
      </c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1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  <c r="AY246" s="35"/>
      <c r="AZ246" s="35"/>
      <c r="BA246" s="35"/>
      <c r="BB246" s="35"/>
      <c r="BC246" s="35"/>
      <c r="BD246" s="35"/>
      <c r="BE246" s="35"/>
      <c r="BF246" s="35"/>
      <c r="BG246" s="35"/>
      <c r="BH246" s="35"/>
      <c r="BI246" s="35"/>
      <c r="BJ246" s="35"/>
      <c r="BK246" s="35"/>
      <c r="BL246" s="35"/>
      <c r="BM246" s="35"/>
      <c r="BN246" s="35"/>
      <c r="BO246" s="35"/>
      <c r="BP246" s="35"/>
      <c r="BQ246" s="35"/>
      <c r="BR246" s="35"/>
      <c r="BS246" s="35"/>
      <c r="BT246" s="35"/>
      <c r="BU246" s="35"/>
      <c r="BV246" s="35"/>
      <c r="BW246" s="35"/>
      <c r="BX246" s="35"/>
      <c r="BY246" s="35"/>
      <c r="BZ246" s="35"/>
      <c r="CA246" s="35"/>
      <c r="CB246" s="35"/>
      <c r="CC246" s="35"/>
      <c r="CD246" s="35"/>
      <c r="CE246" s="35"/>
      <c r="CF246" s="35"/>
      <c r="CG246" s="35"/>
      <c r="CH246" s="35"/>
      <c r="CI246" s="35"/>
      <c r="CJ246" s="35"/>
      <c r="CK246" s="35"/>
      <c r="CL246" s="35"/>
      <c r="CM246" s="35"/>
      <c r="CN246" s="35"/>
      <c r="CO246" s="35"/>
      <c r="CP246" s="35"/>
      <c r="CQ246" s="35"/>
      <c r="CR246" s="35"/>
      <c r="CS246" s="35"/>
      <c r="CT246" s="35"/>
      <c r="CU246" s="35"/>
      <c r="CV246" s="35"/>
      <c r="CW246" s="35"/>
      <c r="CX246" s="35"/>
      <c r="CY246" s="35"/>
      <c r="CZ246" s="35"/>
      <c r="DA246" s="35"/>
      <c r="DB246" s="35"/>
      <c r="DC246" s="35"/>
      <c r="DD246" s="35"/>
      <c r="DE246" s="35"/>
      <c r="DF246" s="35"/>
      <c r="DG246" s="35"/>
      <c r="DH246" s="35"/>
      <c r="DI246" s="35"/>
      <c r="DJ246" s="35"/>
      <c r="DK246" s="35"/>
      <c r="DL246" s="35"/>
      <c r="DM246" s="35"/>
      <c r="DN246" s="35"/>
      <c r="DO246" s="35"/>
      <c r="DP246" s="35"/>
      <c r="DQ246" s="35"/>
      <c r="DR246" s="35"/>
      <c r="DS246" s="35"/>
      <c r="DT246" s="35"/>
      <c r="DU246" s="35"/>
      <c r="DV246" s="35">
        <v>10</v>
      </c>
      <c r="DW246" s="28">
        <f t="shared" si="10"/>
        <v>0</v>
      </c>
      <c r="DX246" s="5"/>
    </row>
    <row r="247" spans="1:128" s="33" customFormat="1" x14ac:dyDescent="0.2">
      <c r="A247" s="39" t="s">
        <v>213</v>
      </c>
      <c r="B247" s="60">
        <f t="shared" si="9"/>
        <v>20</v>
      </c>
      <c r="C247" s="52">
        <v>10</v>
      </c>
      <c r="D247" s="55">
        <v>44832</v>
      </c>
      <c r="E247" s="62">
        <v>47.26</v>
      </c>
      <c r="F247" s="62">
        <f t="shared" si="11"/>
        <v>945.19999999999993</v>
      </c>
      <c r="G247" s="60">
        <v>20</v>
      </c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>
        <v>20</v>
      </c>
      <c r="U247" s="1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  <c r="AY247" s="35"/>
      <c r="AZ247" s="35"/>
      <c r="BA247" s="35"/>
      <c r="BB247" s="35"/>
      <c r="BC247" s="35"/>
      <c r="BD247" s="35"/>
      <c r="BE247" s="35"/>
      <c r="BF247" s="35"/>
      <c r="BG247" s="35"/>
      <c r="BH247" s="35"/>
      <c r="BI247" s="35"/>
      <c r="BJ247" s="35"/>
      <c r="BK247" s="35"/>
      <c r="BL247" s="35"/>
      <c r="BM247" s="35"/>
      <c r="BN247" s="35"/>
      <c r="BO247" s="35"/>
      <c r="BP247" s="35"/>
      <c r="BQ247" s="35"/>
      <c r="BR247" s="35"/>
      <c r="BS247" s="35"/>
      <c r="BT247" s="35"/>
      <c r="BU247" s="35"/>
      <c r="BV247" s="35"/>
      <c r="BW247" s="35"/>
      <c r="BX247" s="35"/>
      <c r="BY247" s="35"/>
      <c r="BZ247" s="35"/>
      <c r="CA247" s="35"/>
      <c r="CB247" s="35"/>
      <c r="CC247" s="35"/>
      <c r="CD247" s="35"/>
      <c r="CE247" s="35"/>
      <c r="CF247" s="35"/>
      <c r="CG247" s="35"/>
      <c r="CH247" s="35"/>
      <c r="CI247" s="35"/>
      <c r="CJ247" s="35"/>
      <c r="CK247" s="35"/>
      <c r="CL247" s="35"/>
      <c r="CM247" s="35"/>
      <c r="CN247" s="35"/>
      <c r="CO247" s="35"/>
      <c r="CP247" s="35"/>
      <c r="CQ247" s="35"/>
      <c r="CR247" s="35"/>
      <c r="CS247" s="35"/>
      <c r="CT247" s="35"/>
      <c r="CU247" s="35"/>
      <c r="CV247" s="35"/>
      <c r="CW247" s="35"/>
      <c r="CX247" s="35"/>
      <c r="CY247" s="35"/>
      <c r="CZ247" s="35"/>
      <c r="DA247" s="35"/>
      <c r="DB247" s="35"/>
      <c r="DC247" s="35"/>
      <c r="DD247" s="35"/>
      <c r="DE247" s="35"/>
      <c r="DF247" s="35"/>
      <c r="DG247" s="35"/>
      <c r="DH247" s="35"/>
      <c r="DI247" s="35"/>
      <c r="DJ247" s="35"/>
      <c r="DK247" s="35"/>
      <c r="DL247" s="35"/>
      <c r="DM247" s="35"/>
      <c r="DN247" s="35"/>
      <c r="DO247" s="35"/>
      <c r="DP247" s="35"/>
      <c r="DQ247" s="35"/>
      <c r="DR247" s="35"/>
      <c r="DS247" s="35"/>
      <c r="DT247" s="35"/>
      <c r="DU247" s="35"/>
      <c r="DV247" s="35"/>
      <c r="DW247" s="28">
        <f t="shared" si="10"/>
        <v>0</v>
      </c>
      <c r="DX247" s="5"/>
    </row>
    <row r="248" spans="1:128" s="33" customFormat="1" x14ac:dyDescent="0.2">
      <c r="A248" s="39" t="s">
        <v>338</v>
      </c>
      <c r="B248" s="60">
        <f t="shared" si="9"/>
        <v>0</v>
      </c>
      <c r="C248" s="52">
        <v>1</v>
      </c>
      <c r="D248" s="55">
        <v>44809</v>
      </c>
      <c r="E248" s="62">
        <v>49.77</v>
      </c>
      <c r="F248" s="62">
        <f t="shared" si="11"/>
        <v>0</v>
      </c>
      <c r="G248" s="60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1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  <c r="AY248" s="35"/>
      <c r="AZ248" s="35"/>
      <c r="BA248" s="35"/>
      <c r="BB248" s="35"/>
      <c r="BC248" s="35"/>
      <c r="BD248" s="35"/>
      <c r="BE248" s="35"/>
      <c r="BF248" s="35"/>
      <c r="BG248" s="35"/>
      <c r="BH248" s="35"/>
      <c r="BI248" s="35"/>
      <c r="BJ248" s="35"/>
      <c r="BK248" s="35"/>
      <c r="BL248" s="35"/>
      <c r="BM248" s="35"/>
      <c r="BN248" s="35"/>
      <c r="BO248" s="35"/>
      <c r="BP248" s="35"/>
      <c r="BQ248" s="35"/>
      <c r="BR248" s="35"/>
      <c r="BS248" s="35"/>
      <c r="BT248" s="35"/>
      <c r="BU248" s="35"/>
      <c r="BV248" s="35"/>
      <c r="BW248" s="35"/>
      <c r="BX248" s="35"/>
      <c r="BY248" s="35"/>
      <c r="BZ248" s="35"/>
      <c r="CA248" s="35"/>
      <c r="CB248" s="35"/>
      <c r="CC248" s="35"/>
      <c r="CD248" s="35"/>
      <c r="CE248" s="35"/>
      <c r="CF248" s="35"/>
      <c r="CG248" s="35"/>
      <c r="CH248" s="35"/>
      <c r="CI248" s="35"/>
      <c r="CJ248" s="35"/>
      <c r="CK248" s="35"/>
      <c r="CL248" s="35"/>
      <c r="CM248" s="35"/>
      <c r="CN248" s="35"/>
      <c r="CO248" s="35"/>
      <c r="CP248" s="35"/>
      <c r="CQ248" s="35"/>
      <c r="CR248" s="35"/>
      <c r="CS248" s="35"/>
      <c r="CT248" s="35"/>
      <c r="CU248" s="35"/>
      <c r="CV248" s="35"/>
      <c r="CW248" s="35"/>
      <c r="CX248" s="35"/>
      <c r="CY248" s="35"/>
      <c r="CZ248" s="35"/>
      <c r="DA248" s="35"/>
      <c r="DB248" s="35"/>
      <c r="DC248" s="35"/>
      <c r="DD248" s="35"/>
      <c r="DE248" s="35"/>
      <c r="DF248" s="35"/>
      <c r="DG248" s="35"/>
      <c r="DH248" s="35"/>
      <c r="DI248" s="35"/>
      <c r="DJ248" s="35"/>
      <c r="DK248" s="35"/>
      <c r="DL248" s="35"/>
      <c r="DM248" s="35"/>
      <c r="DN248" s="35"/>
      <c r="DO248" s="35"/>
      <c r="DP248" s="35"/>
      <c r="DQ248" s="35"/>
      <c r="DR248" s="35"/>
      <c r="DS248" s="35"/>
      <c r="DT248" s="35"/>
      <c r="DU248" s="35"/>
      <c r="DV248" s="35"/>
      <c r="DW248" s="28">
        <f t="shared" si="10"/>
        <v>0</v>
      </c>
      <c r="DX248" s="5"/>
    </row>
    <row r="249" spans="1:128" s="33" customFormat="1" ht="13.9" customHeight="1" x14ac:dyDescent="0.2">
      <c r="A249" s="39" t="s">
        <v>154</v>
      </c>
      <c r="B249" s="60">
        <f t="shared" si="9"/>
        <v>0</v>
      </c>
      <c r="C249" s="52">
        <v>1</v>
      </c>
      <c r="D249" s="54">
        <v>44949</v>
      </c>
      <c r="E249" s="62">
        <v>44.34</v>
      </c>
      <c r="F249" s="62">
        <f t="shared" si="11"/>
        <v>0</v>
      </c>
      <c r="G249" s="60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1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  <c r="AY249" s="35"/>
      <c r="AZ249" s="35"/>
      <c r="BA249" s="35"/>
      <c r="BB249" s="35"/>
      <c r="BC249" s="35"/>
      <c r="BD249" s="35"/>
      <c r="BE249" s="35"/>
      <c r="BF249" s="35"/>
      <c r="BG249" s="35"/>
      <c r="BH249" s="35"/>
      <c r="BI249" s="35"/>
      <c r="BJ249" s="35"/>
      <c r="BK249" s="35"/>
      <c r="BL249" s="35"/>
      <c r="BM249" s="35"/>
      <c r="BN249" s="35"/>
      <c r="BO249" s="35">
        <v>1</v>
      </c>
      <c r="BP249" s="35"/>
      <c r="BQ249" s="35"/>
      <c r="BR249" s="35"/>
      <c r="BS249" s="35"/>
      <c r="BT249" s="35"/>
      <c r="BU249" s="35"/>
      <c r="BV249" s="35"/>
      <c r="BW249" s="35"/>
      <c r="BX249" s="35"/>
      <c r="BY249" s="35"/>
      <c r="BZ249" s="35"/>
      <c r="CA249" s="35"/>
      <c r="CB249" s="35"/>
      <c r="CC249" s="35"/>
      <c r="CD249" s="35"/>
      <c r="CE249" s="35"/>
      <c r="CF249" s="35"/>
      <c r="CG249" s="35"/>
      <c r="CH249" s="35"/>
      <c r="CI249" s="35"/>
      <c r="CJ249" s="35"/>
      <c r="CK249" s="35"/>
      <c r="CL249" s="35"/>
      <c r="CM249" s="35"/>
      <c r="CN249" s="35"/>
      <c r="CO249" s="35"/>
      <c r="CP249" s="35"/>
      <c r="CQ249" s="35"/>
      <c r="CR249" s="35"/>
      <c r="CS249" s="35">
        <v>1</v>
      </c>
      <c r="CT249" s="35"/>
      <c r="CU249" s="35"/>
      <c r="CV249" s="35"/>
      <c r="CW249" s="35"/>
      <c r="CX249" s="35"/>
      <c r="CY249" s="35"/>
      <c r="CZ249" s="35"/>
      <c r="DA249" s="35"/>
      <c r="DB249" s="35"/>
      <c r="DC249" s="35"/>
      <c r="DD249" s="35"/>
      <c r="DE249" s="35"/>
      <c r="DF249" s="35"/>
      <c r="DG249" s="35"/>
      <c r="DH249" s="35"/>
      <c r="DI249" s="35"/>
      <c r="DJ249" s="35"/>
      <c r="DK249" s="35"/>
      <c r="DL249" s="35"/>
      <c r="DM249" s="35"/>
      <c r="DN249" s="35"/>
      <c r="DO249" s="35"/>
      <c r="DP249" s="35"/>
      <c r="DQ249" s="35"/>
      <c r="DR249" s="35"/>
      <c r="DS249" s="35"/>
      <c r="DT249" s="35"/>
      <c r="DU249" s="35"/>
      <c r="DV249" s="35"/>
      <c r="DW249" s="28">
        <f t="shared" si="10"/>
        <v>0</v>
      </c>
      <c r="DX249" s="5"/>
    </row>
    <row r="250" spans="1:128" s="33" customFormat="1" x14ac:dyDescent="0.2">
      <c r="A250" s="39" t="s">
        <v>415</v>
      </c>
      <c r="B250" s="60">
        <f t="shared" si="9"/>
        <v>0</v>
      </c>
      <c r="C250" s="52">
        <v>10</v>
      </c>
      <c r="D250" s="54">
        <v>44897</v>
      </c>
      <c r="E250" s="62">
        <v>61.46</v>
      </c>
      <c r="F250" s="62">
        <f t="shared" si="11"/>
        <v>0</v>
      </c>
      <c r="G250" s="60">
        <v>10</v>
      </c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1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  <c r="AY250" s="35"/>
      <c r="AZ250" s="35"/>
      <c r="BA250" s="35"/>
      <c r="BB250" s="35"/>
      <c r="BC250" s="35"/>
      <c r="BD250" s="35"/>
      <c r="BE250" s="35"/>
      <c r="BF250" s="35"/>
      <c r="BG250" s="35"/>
      <c r="BH250" s="35"/>
      <c r="BI250" s="35"/>
      <c r="BJ250" s="35"/>
      <c r="BK250" s="35"/>
      <c r="BL250" s="35"/>
      <c r="BM250" s="35"/>
      <c r="BN250" s="35"/>
      <c r="BO250" s="35"/>
      <c r="BP250" s="35"/>
      <c r="BQ250" s="35"/>
      <c r="BR250" s="35"/>
      <c r="BS250" s="35"/>
      <c r="BT250" s="35"/>
      <c r="BU250" s="35"/>
      <c r="BV250" s="35"/>
      <c r="BW250" s="35"/>
      <c r="BX250" s="35"/>
      <c r="BY250" s="35"/>
      <c r="BZ250" s="35"/>
      <c r="CA250" s="35"/>
      <c r="CB250" s="35"/>
      <c r="CC250" s="35"/>
      <c r="CD250" s="35"/>
      <c r="CE250" s="35"/>
      <c r="CF250" s="35">
        <v>10</v>
      </c>
      <c r="CG250" s="35"/>
      <c r="CH250" s="35"/>
      <c r="CI250" s="35"/>
      <c r="CJ250" s="35"/>
      <c r="CK250" s="35"/>
      <c r="CL250" s="35"/>
      <c r="CM250" s="35"/>
      <c r="CN250" s="35"/>
      <c r="CO250" s="35"/>
      <c r="CP250" s="35"/>
      <c r="CQ250" s="35"/>
      <c r="CR250" s="35"/>
      <c r="CS250" s="35"/>
      <c r="CT250" s="35"/>
      <c r="CU250" s="35"/>
      <c r="CV250" s="35"/>
      <c r="CW250" s="35"/>
      <c r="CX250" s="35"/>
      <c r="CY250" s="35"/>
      <c r="CZ250" s="35"/>
      <c r="DA250" s="35"/>
      <c r="DB250" s="35"/>
      <c r="DC250" s="35"/>
      <c r="DD250" s="35"/>
      <c r="DE250" s="35"/>
      <c r="DF250" s="35"/>
      <c r="DG250" s="35"/>
      <c r="DH250" s="35"/>
      <c r="DI250" s="35"/>
      <c r="DJ250" s="35"/>
      <c r="DK250" s="35"/>
      <c r="DL250" s="35"/>
      <c r="DM250" s="35"/>
      <c r="DN250" s="35"/>
      <c r="DO250" s="35"/>
      <c r="DP250" s="35"/>
      <c r="DQ250" s="35"/>
      <c r="DR250" s="35"/>
      <c r="DS250" s="35"/>
      <c r="DT250" s="35"/>
      <c r="DU250" s="35"/>
      <c r="DV250" s="35"/>
      <c r="DW250" s="28">
        <f t="shared" si="10"/>
        <v>0</v>
      </c>
      <c r="DX250" s="5"/>
    </row>
    <row r="251" spans="1:128" s="33" customFormat="1" x14ac:dyDescent="0.2">
      <c r="A251" s="39" t="s">
        <v>415</v>
      </c>
      <c r="B251" s="60">
        <f t="shared" si="9"/>
        <v>20</v>
      </c>
      <c r="C251" s="52">
        <v>10</v>
      </c>
      <c r="D251" s="54">
        <v>44914</v>
      </c>
      <c r="E251" s="62">
        <v>61.01</v>
      </c>
      <c r="F251" s="62">
        <f t="shared" si="11"/>
        <v>1220.2</v>
      </c>
      <c r="G251" s="60">
        <v>20</v>
      </c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1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BH251" s="35"/>
      <c r="BI251" s="35"/>
      <c r="BJ251" s="35"/>
      <c r="BK251" s="35"/>
      <c r="BL251" s="35"/>
      <c r="BM251" s="35"/>
      <c r="BN251" s="35"/>
      <c r="BO251" s="35"/>
      <c r="BP251" s="35"/>
      <c r="BQ251" s="35"/>
      <c r="BR251" s="35"/>
      <c r="BS251" s="35"/>
      <c r="BT251" s="35"/>
      <c r="BU251" s="35"/>
      <c r="BV251" s="35"/>
      <c r="BW251" s="35"/>
      <c r="BX251" s="35"/>
      <c r="BY251" s="35"/>
      <c r="BZ251" s="35"/>
      <c r="CA251" s="35"/>
      <c r="CB251" s="35"/>
      <c r="CC251" s="35"/>
      <c r="CD251" s="35"/>
      <c r="CE251" s="35"/>
      <c r="CF251" s="35"/>
      <c r="CG251" s="35"/>
      <c r="CH251" s="35">
        <v>20</v>
      </c>
      <c r="CI251" s="35"/>
      <c r="CJ251" s="35"/>
      <c r="CK251" s="35"/>
      <c r="CL251" s="35"/>
      <c r="CM251" s="35"/>
      <c r="CN251" s="35"/>
      <c r="CO251" s="35"/>
      <c r="CP251" s="35"/>
      <c r="CQ251" s="35"/>
      <c r="CR251" s="35"/>
      <c r="CS251" s="35"/>
      <c r="CT251" s="35"/>
      <c r="CU251" s="35"/>
      <c r="CV251" s="35"/>
      <c r="CW251" s="35"/>
      <c r="CX251" s="35"/>
      <c r="CY251" s="35"/>
      <c r="CZ251" s="35"/>
      <c r="DA251" s="35"/>
      <c r="DB251" s="35"/>
      <c r="DC251" s="35"/>
      <c r="DD251" s="35"/>
      <c r="DE251" s="35"/>
      <c r="DF251" s="35"/>
      <c r="DG251" s="35"/>
      <c r="DH251" s="35"/>
      <c r="DI251" s="35"/>
      <c r="DJ251" s="35"/>
      <c r="DK251" s="35"/>
      <c r="DL251" s="35"/>
      <c r="DM251" s="35"/>
      <c r="DN251" s="35"/>
      <c r="DO251" s="35"/>
      <c r="DP251" s="35"/>
      <c r="DQ251" s="35"/>
      <c r="DR251" s="35"/>
      <c r="DS251" s="35"/>
      <c r="DT251" s="35"/>
      <c r="DU251" s="35"/>
      <c r="DV251" s="35"/>
      <c r="DW251" s="28">
        <f t="shared" si="10"/>
        <v>0</v>
      </c>
      <c r="DX251" s="5"/>
    </row>
    <row r="252" spans="1:128" s="33" customFormat="1" x14ac:dyDescent="0.2">
      <c r="A252" s="39" t="s">
        <v>167</v>
      </c>
      <c r="B252" s="60">
        <f t="shared" si="9"/>
        <v>0</v>
      </c>
      <c r="C252" s="52">
        <v>10</v>
      </c>
      <c r="D252" s="54">
        <v>44844</v>
      </c>
      <c r="E252" s="62">
        <v>36.61</v>
      </c>
      <c r="F252" s="62">
        <f t="shared" si="11"/>
        <v>0</v>
      </c>
      <c r="G252" s="60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1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BH252" s="35"/>
      <c r="BI252" s="35"/>
      <c r="BJ252" s="35"/>
      <c r="BK252" s="35"/>
      <c r="BL252" s="35"/>
      <c r="BM252" s="35"/>
      <c r="BN252" s="35"/>
      <c r="BO252" s="35"/>
      <c r="BP252" s="35"/>
      <c r="BQ252" s="35"/>
      <c r="BR252" s="35"/>
      <c r="BS252" s="35"/>
      <c r="BT252" s="35"/>
      <c r="BU252" s="35"/>
      <c r="BV252" s="35"/>
      <c r="BW252" s="35"/>
      <c r="BX252" s="35"/>
      <c r="BY252" s="35"/>
      <c r="BZ252" s="35"/>
      <c r="CA252" s="35"/>
      <c r="CB252" s="35"/>
      <c r="CC252" s="35"/>
      <c r="CD252" s="35"/>
      <c r="CE252" s="35"/>
      <c r="CF252" s="35"/>
      <c r="CG252" s="35"/>
      <c r="CH252" s="35"/>
      <c r="CI252" s="35"/>
      <c r="CJ252" s="35"/>
      <c r="CK252" s="35"/>
      <c r="CL252" s="35"/>
      <c r="CM252" s="35"/>
      <c r="CN252" s="35"/>
      <c r="CO252" s="35"/>
      <c r="CP252" s="35"/>
      <c r="CQ252" s="35"/>
      <c r="CR252" s="35"/>
      <c r="CS252" s="35"/>
      <c r="CT252" s="35"/>
      <c r="CU252" s="35"/>
      <c r="CV252" s="35"/>
      <c r="CW252" s="35"/>
      <c r="CX252" s="35"/>
      <c r="CY252" s="35"/>
      <c r="CZ252" s="35"/>
      <c r="DA252" s="35"/>
      <c r="DB252" s="35"/>
      <c r="DC252" s="35"/>
      <c r="DD252" s="35"/>
      <c r="DE252" s="35"/>
      <c r="DF252" s="35"/>
      <c r="DG252" s="35"/>
      <c r="DH252" s="35"/>
      <c r="DI252" s="35"/>
      <c r="DJ252" s="35"/>
      <c r="DK252" s="35"/>
      <c r="DL252" s="35"/>
      <c r="DM252" s="35"/>
      <c r="DN252" s="35"/>
      <c r="DO252" s="35"/>
      <c r="DP252" s="35"/>
      <c r="DQ252" s="35"/>
      <c r="DR252" s="35"/>
      <c r="DS252" s="35"/>
      <c r="DT252" s="35"/>
      <c r="DU252" s="35"/>
      <c r="DV252" s="35"/>
      <c r="DW252" s="28">
        <f t="shared" si="10"/>
        <v>0</v>
      </c>
      <c r="DX252" s="5"/>
    </row>
    <row r="253" spans="1:128" s="33" customFormat="1" x14ac:dyDescent="0.2">
      <c r="A253" s="39" t="s">
        <v>125</v>
      </c>
      <c r="B253" s="60">
        <f t="shared" si="9"/>
        <v>7.9999999999999991</v>
      </c>
      <c r="C253" s="52">
        <v>8</v>
      </c>
      <c r="D253" s="55" t="s">
        <v>577</v>
      </c>
      <c r="E253" s="62">
        <v>46.12</v>
      </c>
      <c r="F253" s="62">
        <f t="shared" si="11"/>
        <v>368.95999999999992</v>
      </c>
      <c r="G253" s="60">
        <v>8</v>
      </c>
      <c r="H253" s="35"/>
      <c r="I253" s="35"/>
      <c r="J253" s="35"/>
      <c r="K253" s="35"/>
      <c r="L253" s="35">
        <v>3.2</v>
      </c>
      <c r="M253" s="35"/>
      <c r="N253" s="35"/>
      <c r="O253" s="35"/>
      <c r="P253" s="35"/>
      <c r="Q253" s="35"/>
      <c r="R253" s="35"/>
      <c r="S253" s="35"/>
      <c r="T253" s="35"/>
      <c r="U253" s="1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  <c r="AY253" s="35"/>
      <c r="AZ253" s="35"/>
      <c r="BA253" s="35"/>
      <c r="BB253" s="35"/>
      <c r="BC253" s="35"/>
      <c r="BD253" s="35"/>
      <c r="BE253" s="35"/>
      <c r="BF253" s="35"/>
      <c r="BG253" s="35"/>
      <c r="BH253" s="35"/>
      <c r="BI253" s="35"/>
      <c r="BJ253" s="35"/>
      <c r="BK253" s="35"/>
      <c r="BL253" s="35"/>
      <c r="BM253" s="35"/>
      <c r="BN253" s="35"/>
      <c r="BO253" s="35"/>
      <c r="BP253" s="35"/>
      <c r="BQ253" s="35"/>
      <c r="BR253" s="35"/>
      <c r="BS253" s="35"/>
      <c r="BT253" s="35"/>
      <c r="BU253" s="35"/>
      <c r="BV253" s="35"/>
      <c r="BW253" s="35"/>
      <c r="BX253" s="35"/>
      <c r="BY253" s="35"/>
      <c r="BZ253" s="35"/>
      <c r="CA253" s="35"/>
      <c r="CB253" s="35"/>
      <c r="CC253" s="35"/>
      <c r="CD253" s="35"/>
      <c r="CE253" s="35"/>
      <c r="CF253" s="35"/>
      <c r="CG253" s="35"/>
      <c r="CH253" s="35"/>
      <c r="CI253" s="35"/>
      <c r="CJ253" s="35"/>
      <c r="CK253" s="35"/>
      <c r="CL253" s="35"/>
      <c r="CM253" s="35"/>
      <c r="CN253" s="35"/>
      <c r="CO253" s="35"/>
      <c r="CP253" s="35"/>
      <c r="CQ253" s="35"/>
      <c r="CR253" s="35"/>
      <c r="CS253" s="35"/>
      <c r="CT253" s="35"/>
      <c r="CU253" s="35"/>
      <c r="CV253" s="35"/>
      <c r="CW253" s="35"/>
      <c r="CX253" s="35"/>
      <c r="CY253" s="35"/>
      <c r="CZ253" s="35"/>
      <c r="DA253" s="35"/>
      <c r="DB253" s="35"/>
      <c r="DC253" s="35"/>
      <c r="DD253" s="35"/>
      <c r="DE253" s="35"/>
      <c r="DF253" s="35"/>
      <c r="DG253" s="35"/>
      <c r="DH253" s="35"/>
      <c r="DI253" s="35"/>
      <c r="DJ253" s="35"/>
      <c r="DK253" s="35"/>
      <c r="DL253" s="35"/>
      <c r="DM253" s="35"/>
      <c r="DN253" s="35"/>
      <c r="DO253" s="35"/>
      <c r="DP253" s="35"/>
      <c r="DQ253" s="35">
        <v>3.2</v>
      </c>
      <c r="DR253" s="35"/>
      <c r="DS253" s="35"/>
      <c r="DT253" s="35"/>
      <c r="DU253" s="35"/>
      <c r="DV253" s="35"/>
      <c r="DW253" s="28">
        <f t="shared" si="10"/>
        <v>7.9999999999999991</v>
      </c>
      <c r="DX253" s="5"/>
    </row>
    <row r="254" spans="1:128" s="33" customFormat="1" x14ac:dyDescent="0.2">
      <c r="A254" s="47" t="s">
        <v>475</v>
      </c>
      <c r="B254" s="60">
        <f t="shared" si="9"/>
        <v>8</v>
      </c>
      <c r="C254" s="52">
        <v>8</v>
      </c>
      <c r="D254" s="55">
        <v>44832</v>
      </c>
      <c r="E254" s="62">
        <v>45.01</v>
      </c>
      <c r="F254" s="62">
        <f t="shared" si="11"/>
        <v>360.08</v>
      </c>
      <c r="G254" s="60">
        <v>8</v>
      </c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1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  <c r="AY254" s="35"/>
      <c r="AZ254" s="35"/>
      <c r="BA254" s="35"/>
      <c r="BB254" s="35">
        <v>8</v>
      </c>
      <c r="BC254" s="35"/>
      <c r="BD254" s="35"/>
      <c r="BE254" s="35"/>
      <c r="BF254" s="35"/>
      <c r="BG254" s="35"/>
      <c r="BH254" s="35"/>
      <c r="BI254" s="35"/>
      <c r="BJ254" s="35"/>
      <c r="BK254" s="35"/>
      <c r="BL254" s="35"/>
      <c r="BM254" s="35"/>
      <c r="BN254" s="35"/>
      <c r="BO254" s="35"/>
      <c r="BP254" s="35"/>
      <c r="BQ254" s="35" t="s">
        <v>33</v>
      </c>
      <c r="BR254" s="35"/>
      <c r="BS254" s="35"/>
      <c r="BT254" s="35"/>
      <c r="BU254" s="35"/>
      <c r="BV254" s="35"/>
      <c r="BW254" s="35"/>
      <c r="BX254" s="35"/>
      <c r="BY254" s="35"/>
      <c r="BZ254" s="35"/>
      <c r="CA254" s="35"/>
      <c r="CB254" s="35"/>
      <c r="CC254" s="35"/>
      <c r="CD254" s="35"/>
      <c r="CE254" s="35"/>
      <c r="CF254" s="35"/>
      <c r="CG254" s="35"/>
      <c r="CH254" s="35"/>
      <c r="CI254" s="35"/>
      <c r="CJ254" s="35"/>
      <c r="CK254" s="35"/>
      <c r="CL254" s="35"/>
      <c r="CM254" s="35"/>
      <c r="CN254" s="35"/>
      <c r="CO254" s="35"/>
      <c r="CP254" s="35"/>
      <c r="CQ254" s="35"/>
      <c r="CR254" s="35"/>
      <c r="CS254" s="35"/>
      <c r="CT254" s="35"/>
      <c r="CU254" s="35"/>
      <c r="CV254" s="35"/>
      <c r="CW254" s="35"/>
      <c r="CX254" s="35"/>
      <c r="CY254" s="35"/>
      <c r="CZ254" s="35"/>
      <c r="DA254" s="35"/>
      <c r="DB254" s="35"/>
      <c r="DC254" s="35"/>
      <c r="DD254" s="35"/>
      <c r="DE254" s="35"/>
      <c r="DF254" s="35"/>
      <c r="DG254" s="35"/>
      <c r="DH254" s="35"/>
      <c r="DI254" s="35"/>
      <c r="DJ254" s="35"/>
      <c r="DK254" s="35"/>
      <c r="DL254" s="35"/>
      <c r="DM254" s="35"/>
      <c r="DN254" s="35"/>
      <c r="DO254" s="35"/>
      <c r="DP254" s="35"/>
      <c r="DQ254" s="35"/>
      <c r="DR254" s="35"/>
      <c r="DS254" s="35"/>
      <c r="DT254" s="35"/>
      <c r="DU254" s="35"/>
      <c r="DV254" s="35"/>
      <c r="DW254" s="28">
        <f t="shared" si="10"/>
        <v>0</v>
      </c>
      <c r="DX254" s="5"/>
    </row>
    <row r="255" spans="1:128" s="33" customFormat="1" x14ac:dyDescent="0.2">
      <c r="A255" s="47" t="s">
        <v>289</v>
      </c>
      <c r="B255" s="60">
        <f t="shared" si="9"/>
        <v>0</v>
      </c>
      <c r="C255" s="52">
        <v>10</v>
      </c>
      <c r="D255" s="54">
        <v>44788</v>
      </c>
      <c r="E255" s="62">
        <v>39.799999999999997</v>
      </c>
      <c r="F255" s="62">
        <f t="shared" si="11"/>
        <v>0</v>
      </c>
      <c r="G255" s="60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1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  <c r="AY255" s="35"/>
      <c r="AZ255" s="35"/>
      <c r="BA255" s="35"/>
      <c r="BB255" s="35"/>
      <c r="BC255" s="35"/>
      <c r="BD255" s="35"/>
      <c r="BE255" s="35"/>
      <c r="BF255" s="35"/>
      <c r="BG255" s="35"/>
      <c r="BH255" s="35"/>
      <c r="BI255" s="35"/>
      <c r="BJ255" s="35"/>
      <c r="BK255" s="35"/>
      <c r="BL255" s="35"/>
      <c r="BM255" s="35"/>
      <c r="BN255" s="35"/>
      <c r="BO255" s="35"/>
      <c r="BP255" s="35"/>
      <c r="BQ255" s="35"/>
      <c r="BR255" s="35"/>
      <c r="BS255" s="35"/>
      <c r="BT255" s="35"/>
      <c r="BU255" s="35"/>
      <c r="BV255" s="35"/>
      <c r="BW255" s="35"/>
      <c r="BX255" s="35"/>
      <c r="BY255" s="35"/>
      <c r="BZ255" s="35"/>
      <c r="CA255" s="35"/>
      <c r="CB255" s="35"/>
      <c r="CC255" s="35"/>
      <c r="CD255" s="35"/>
      <c r="CE255" s="35"/>
      <c r="CF255" s="35"/>
      <c r="CG255" s="35"/>
      <c r="CH255" s="35"/>
      <c r="CI255" s="35"/>
      <c r="CJ255" s="35"/>
      <c r="CK255" s="35"/>
      <c r="CL255" s="35"/>
      <c r="CM255" s="35"/>
      <c r="CN255" s="35"/>
      <c r="CO255" s="35"/>
      <c r="CP255" s="35"/>
      <c r="CQ255" s="35"/>
      <c r="CR255" s="35"/>
      <c r="CS255" s="35"/>
      <c r="CT255" s="35"/>
      <c r="CU255" s="35"/>
      <c r="CV255" s="35"/>
      <c r="CW255" s="35"/>
      <c r="CX255" s="35"/>
      <c r="CY255" s="35"/>
      <c r="CZ255" s="35"/>
      <c r="DA255" s="35"/>
      <c r="DB255" s="35"/>
      <c r="DC255" s="35"/>
      <c r="DD255" s="35"/>
      <c r="DE255" s="35"/>
      <c r="DF255" s="35"/>
      <c r="DG255" s="35"/>
      <c r="DH255" s="35"/>
      <c r="DI255" s="35"/>
      <c r="DJ255" s="35"/>
      <c r="DK255" s="35"/>
      <c r="DL255" s="35"/>
      <c r="DM255" s="35"/>
      <c r="DN255" s="35"/>
      <c r="DO255" s="35"/>
      <c r="DP255" s="35"/>
      <c r="DQ255" s="35"/>
      <c r="DR255" s="35"/>
      <c r="DS255" s="35"/>
      <c r="DT255" s="35"/>
      <c r="DU255" s="35"/>
      <c r="DV255" s="35"/>
      <c r="DW255" s="28">
        <f t="shared" si="10"/>
        <v>0</v>
      </c>
      <c r="DX255" s="5"/>
    </row>
    <row r="256" spans="1:128" s="33" customFormat="1" x14ac:dyDescent="0.2">
      <c r="A256" s="47" t="s">
        <v>472</v>
      </c>
      <c r="B256" s="60">
        <f t="shared" si="9"/>
        <v>0</v>
      </c>
      <c r="C256" s="52">
        <v>1</v>
      </c>
      <c r="D256" s="54">
        <v>44824</v>
      </c>
      <c r="E256" s="62">
        <v>52.76</v>
      </c>
      <c r="F256" s="62">
        <f t="shared" si="11"/>
        <v>0</v>
      </c>
      <c r="G256" s="60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1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  <c r="AY256" s="35"/>
      <c r="AZ256" s="35"/>
      <c r="BA256" s="35"/>
      <c r="BB256" s="35"/>
      <c r="BC256" s="35"/>
      <c r="BD256" s="35"/>
      <c r="BE256" s="35"/>
      <c r="BF256" s="35"/>
      <c r="BG256" s="35"/>
      <c r="BH256" s="35"/>
      <c r="BI256" s="35"/>
      <c r="BJ256" s="35"/>
      <c r="BK256" s="35"/>
      <c r="BL256" s="35"/>
      <c r="BM256" s="35"/>
      <c r="BN256" s="35"/>
      <c r="BO256" s="35"/>
      <c r="BP256" s="35"/>
      <c r="BQ256" s="35"/>
      <c r="BR256" s="35"/>
      <c r="BS256" s="35"/>
      <c r="BT256" s="35"/>
      <c r="BU256" s="35"/>
      <c r="BV256" s="35"/>
      <c r="BW256" s="35"/>
      <c r="BX256" s="35"/>
      <c r="BY256" s="35"/>
      <c r="BZ256" s="35"/>
      <c r="CA256" s="35"/>
      <c r="CB256" s="35"/>
      <c r="CC256" s="35"/>
      <c r="CD256" s="35"/>
      <c r="CE256" s="35"/>
      <c r="CF256" s="35"/>
      <c r="CG256" s="35"/>
      <c r="CH256" s="35"/>
      <c r="CI256" s="35"/>
      <c r="CJ256" s="35"/>
      <c r="CK256" s="35"/>
      <c r="CL256" s="35"/>
      <c r="CM256" s="35"/>
      <c r="CN256" s="35"/>
      <c r="CO256" s="35"/>
      <c r="CP256" s="35"/>
      <c r="CQ256" s="35"/>
      <c r="CR256" s="35"/>
      <c r="CS256" s="35"/>
      <c r="CT256" s="35"/>
      <c r="CU256" s="35"/>
      <c r="CV256" s="35"/>
      <c r="CW256" s="35"/>
      <c r="CX256" s="35"/>
      <c r="CY256" s="35"/>
      <c r="CZ256" s="35"/>
      <c r="DA256" s="35"/>
      <c r="DB256" s="35"/>
      <c r="DC256" s="35"/>
      <c r="DD256" s="35"/>
      <c r="DE256" s="35"/>
      <c r="DF256" s="35"/>
      <c r="DG256" s="35"/>
      <c r="DH256" s="35"/>
      <c r="DI256" s="35"/>
      <c r="DJ256" s="35"/>
      <c r="DK256" s="35"/>
      <c r="DL256" s="35"/>
      <c r="DM256" s="35"/>
      <c r="DN256" s="35"/>
      <c r="DO256" s="35"/>
      <c r="DP256" s="35"/>
      <c r="DQ256" s="35"/>
      <c r="DR256" s="35"/>
      <c r="DS256" s="35"/>
      <c r="DT256" s="35"/>
      <c r="DU256" s="35"/>
      <c r="DV256" s="35"/>
      <c r="DW256" s="28">
        <f t="shared" si="10"/>
        <v>0</v>
      </c>
      <c r="DX256" s="5"/>
    </row>
    <row r="257" spans="1:128" s="33" customFormat="1" ht="12" customHeight="1" x14ac:dyDescent="0.2">
      <c r="A257" s="23" t="s">
        <v>24</v>
      </c>
      <c r="B257" s="60">
        <f t="shared" si="9"/>
        <v>0</v>
      </c>
      <c r="C257" s="52">
        <v>10</v>
      </c>
      <c r="D257" s="54">
        <v>44970</v>
      </c>
      <c r="E257" s="88">
        <v>29.32</v>
      </c>
      <c r="F257" s="62">
        <f t="shared" si="11"/>
        <v>0</v>
      </c>
      <c r="G257" s="60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1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  <c r="AY257" s="35"/>
      <c r="AZ257" s="35"/>
      <c r="BA257" s="35"/>
      <c r="BB257" s="35"/>
      <c r="BC257" s="35"/>
      <c r="BD257" s="35"/>
      <c r="BE257" s="35"/>
      <c r="BF257" s="35"/>
      <c r="BG257" s="35"/>
      <c r="BH257" s="35"/>
      <c r="BI257" s="35"/>
      <c r="BJ257" s="35"/>
      <c r="BK257" s="35"/>
      <c r="BL257" s="35"/>
      <c r="BM257" s="35"/>
      <c r="BN257" s="35"/>
      <c r="BO257" s="35"/>
      <c r="BP257" s="35"/>
      <c r="BQ257" s="35"/>
      <c r="BR257" s="35"/>
      <c r="BS257" s="35"/>
      <c r="BT257" s="35"/>
      <c r="BU257" s="35"/>
      <c r="BV257" s="35"/>
      <c r="BW257" s="35"/>
      <c r="BX257" s="35"/>
      <c r="BY257" s="35"/>
      <c r="BZ257" s="35"/>
      <c r="CA257" s="35"/>
      <c r="CB257" s="35"/>
      <c r="CC257" s="35"/>
      <c r="CD257" s="35"/>
      <c r="CE257" s="35"/>
      <c r="CF257" s="35"/>
      <c r="CG257" s="35"/>
      <c r="CH257" s="35"/>
      <c r="CI257" s="35"/>
      <c r="CJ257" s="35"/>
      <c r="CK257" s="35"/>
      <c r="CL257" s="35"/>
      <c r="CM257" s="35"/>
      <c r="CN257" s="35"/>
      <c r="CO257" s="35"/>
      <c r="CP257" s="35"/>
      <c r="CQ257" s="35"/>
      <c r="CR257" s="35"/>
      <c r="CS257" s="35"/>
      <c r="CT257" s="35"/>
      <c r="CU257" s="35"/>
      <c r="CV257" s="35"/>
      <c r="CW257" s="35"/>
      <c r="CX257" s="35"/>
      <c r="CY257" s="35"/>
      <c r="CZ257" s="35"/>
      <c r="DA257" s="35"/>
      <c r="DB257" s="35"/>
      <c r="DC257" s="35"/>
      <c r="DD257" s="35"/>
      <c r="DE257" s="35"/>
      <c r="DF257" s="35"/>
      <c r="DG257" s="35"/>
      <c r="DH257" s="35"/>
      <c r="DI257" s="35"/>
      <c r="DJ257" s="35"/>
      <c r="DK257" s="35"/>
      <c r="DL257" s="35"/>
      <c r="DM257" s="35"/>
      <c r="DN257" s="35"/>
      <c r="DO257" s="35"/>
      <c r="DP257" s="35"/>
      <c r="DQ257" s="35">
        <v>10</v>
      </c>
      <c r="DR257" s="35"/>
      <c r="DS257" s="35"/>
      <c r="DT257" s="35">
        <v>10</v>
      </c>
      <c r="DU257" s="35"/>
      <c r="DV257" s="35"/>
      <c r="DW257" s="28">
        <f t="shared" si="10"/>
        <v>0</v>
      </c>
      <c r="DX257" s="5"/>
    </row>
    <row r="258" spans="1:128" s="33" customFormat="1" x14ac:dyDescent="0.2">
      <c r="A258" s="47" t="s">
        <v>18</v>
      </c>
      <c r="B258" s="60">
        <f t="shared" si="9"/>
        <v>40</v>
      </c>
      <c r="C258" s="52">
        <v>10</v>
      </c>
      <c r="D258" s="55" t="s">
        <v>554</v>
      </c>
      <c r="E258" s="62">
        <v>48.53</v>
      </c>
      <c r="F258" s="62">
        <f t="shared" si="11"/>
        <v>1941.2</v>
      </c>
      <c r="G258" s="60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15"/>
      <c r="V258" s="35"/>
      <c r="W258" s="35"/>
      <c r="X258" s="35"/>
      <c r="Y258" s="35"/>
      <c r="Z258" s="35">
        <v>40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  <c r="AY258" s="35"/>
      <c r="AZ258" s="35"/>
      <c r="BA258" s="35"/>
      <c r="BB258" s="35"/>
      <c r="BC258" s="35"/>
      <c r="BD258" s="35"/>
      <c r="BE258" s="35"/>
      <c r="BF258" s="35"/>
      <c r="BG258" s="35"/>
      <c r="BH258" s="35"/>
      <c r="BI258" s="35">
        <v>10</v>
      </c>
      <c r="BJ258" s="35"/>
      <c r="BK258" s="35"/>
      <c r="BL258" s="35"/>
      <c r="BM258" s="35"/>
      <c r="BN258" s="35"/>
      <c r="BO258" s="35"/>
      <c r="BP258" s="35"/>
      <c r="BQ258" s="35"/>
      <c r="BR258" s="35"/>
      <c r="BS258" s="35"/>
      <c r="BT258" s="35"/>
      <c r="BU258" s="35"/>
      <c r="BV258" s="35"/>
      <c r="BW258" s="35"/>
      <c r="BX258" s="35"/>
      <c r="BY258" s="35"/>
      <c r="BZ258" s="35"/>
      <c r="CA258" s="35"/>
      <c r="CB258" s="35"/>
      <c r="CC258" s="35"/>
      <c r="CD258" s="35"/>
      <c r="CE258" s="35"/>
      <c r="CF258" s="35"/>
      <c r="CG258" s="35"/>
      <c r="CH258" s="35"/>
      <c r="CI258" s="35"/>
      <c r="CJ258" s="35"/>
      <c r="CK258" s="35"/>
      <c r="CL258" s="35"/>
      <c r="CM258" s="35"/>
      <c r="CN258" s="35"/>
      <c r="CO258" s="35"/>
      <c r="CP258" s="35"/>
      <c r="CQ258" s="35"/>
      <c r="CR258" s="35"/>
      <c r="CS258" s="35">
        <v>40</v>
      </c>
      <c r="CT258" s="35"/>
      <c r="CU258" s="35"/>
      <c r="CV258" s="35"/>
      <c r="CW258" s="35"/>
      <c r="CX258" s="35"/>
      <c r="CY258" s="35"/>
      <c r="CZ258" s="35"/>
      <c r="DA258" s="35"/>
      <c r="DB258" s="35">
        <v>10</v>
      </c>
      <c r="DC258" s="35"/>
      <c r="DD258" s="35"/>
      <c r="DE258" s="35"/>
      <c r="DF258" s="35"/>
      <c r="DG258" s="35"/>
      <c r="DH258" s="35"/>
      <c r="DI258" s="35"/>
      <c r="DJ258" s="35"/>
      <c r="DK258" s="35"/>
      <c r="DL258" s="35"/>
      <c r="DM258" s="35"/>
      <c r="DN258" s="35"/>
      <c r="DO258" s="35"/>
      <c r="DP258" s="35"/>
      <c r="DQ258" s="35"/>
      <c r="DR258" s="35"/>
      <c r="DS258" s="35"/>
      <c r="DT258" s="35"/>
      <c r="DU258" s="35"/>
      <c r="DV258" s="35"/>
      <c r="DW258" s="28">
        <f t="shared" si="10"/>
        <v>0</v>
      </c>
      <c r="DX258" s="5"/>
    </row>
    <row r="259" spans="1:128" s="33" customFormat="1" x14ac:dyDescent="0.2">
      <c r="A259" s="47" t="s">
        <v>58</v>
      </c>
      <c r="B259" s="60">
        <f t="shared" si="9"/>
        <v>0</v>
      </c>
      <c r="C259" s="52">
        <v>1</v>
      </c>
      <c r="D259" s="55">
        <v>44956</v>
      </c>
      <c r="E259" s="62">
        <v>44.13</v>
      </c>
      <c r="F259" s="62">
        <f t="shared" si="11"/>
        <v>0</v>
      </c>
      <c r="G259" s="60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15"/>
      <c r="V259" s="35"/>
      <c r="W259" s="35"/>
      <c r="X259" s="35">
        <v>2</v>
      </c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  <c r="AY259" s="35"/>
      <c r="AZ259" s="35"/>
      <c r="BA259" s="35"/>
      <c r="BB259" s="35"/>
      <c r="BC259" s="35"/>
      <c r="BD259" s="35"/>
      <c r="BE259" s="35"/>
      <c r="BF259" s="35"/>
      <c r="BG259" s="35"/>
      <c r="BH259" s="35"/>
      <c r="BI259" s="35"/>
      <c r="BJ259" s="35"/>
      <c r="BK259" s="35"/>
      <c r="BL259" s="35"/>
      <c r="BM259" s="35"/>
      <c r="BN259" s="35"/>
      <c r="BO259" s="35"/>
      <c r="BP259" s="35"/>
      <c r="BQ259" s="35"/>
      <c r="BR259" s="35"/>
      <c r="BS259" s="35"/>
      <c r="BT259" s="35"/>
      <c r="BU259" s="35"/>
      <c r="BV259" s="35"/>
      <c r="BW259" s="35"/>
      <c r="BX259" s="35"/>
      <c r="BY259" s="35"/>
      <c r="BZ259" s="35"/>
      <c r="CA259" s="35"/>
      <c r="CB259" s="35"/>
      <c r="CC259" s="35"/>
      <c r="CD259" s="35"/>
      <c r="CE259" s="35"/>
      <c r="CF259" s="35"/>
      <c r="CG259" s="35"/>
      <c r="CH259" s="35"/>
      <c r="CI259" s="35"/>
      <c r="CJ259" s="35"/>
      <c r="CK259" s="35"/>
      <c r="CL259" s="35"/>
      <c r="CM259" s="35"/>
      <c r="CN259" s="35"/>
      <c r="CO259" s="35"/>
      <c r="CP259" s="35"/>
      <c r="CQ259" s="35"/>
      <c r="CR259" s="35"/>
      <c r="CS259" s="35"/>
      <c r="CT259" s="35"/>
      <c r="CU259" s="35"/>
      <c r="CV259" s="35"/>
      <c r="CW259" s="35"/>
      <c r="CX259" s="35"/>
      <c r="CY259" s="35"/>
      <c r="CZ259" s="35"/>
      <c r="DA259" s="35"/>
      <c r="DB259" s="35">
        <v>2</v>
      </c>
      <c r="DC259" s="35"/>
      <c r="DD259" s="35"/>
      <c r="DE259" s="35"/>
      <c r="DF259" s="35"/>
      <c r="DG259" s="35"/>
      <c r="DH259" s="35"/>
      <c r="DI259" s="35"/>
      <c r="DJ259" s="35"/>
      <c r="DK259" s="35"/>
      <c r="DL259" s="35"/>
      <c r="DM259" s="35"/>
      <c r="DN259" s="35"/>
      <c r="DO259" s="35"/>
      <c r="DP259" s="35"/>
      <c r="DQ259" s="35"/>
      <c r="DR259" s="35"/>
      <c r="DS259" s="35"/>
      <c r="DT259" s="35"/>
      <c r="DU259" s="35"/>
      <c r="DV259" s="35"/>
      <c r="DW259" s="28">
        <f t="shared" si="10"/>
        <v>0</v>
      </c>
      <c r="DX259" s="5"/>
    </row>
    <row r="260" spans="1:128" s="33" customFormat="1" x14ac:dyDescent="0.2">
      <c r="A260" s="47" t="s">
        <v>188</v>
      </c>
      <c r="B260" s="60">
        <f t="shared" ref="B260:B304" si="12">SUMIF(G$3:DV$3,"прих",G260:DV260)-SUMIF(G$3:DV$3,"отгр",G260:DV260)</f>
        <v>10</v>
      </c>
      <c r="C260" s="52">
        <v>10</v>
      </c>
      <c r="D260" s="55">
        <v>44893</v>
      </c>
      <c r="E260" s="62">
        <v>37.4</v>
      </c>
      <c r="F260" s="62">
        <f t="shared" si="11"/>
        <v>374</v>
      </c>
      <c r="G260" s="60">
        <v>20</v>
      </c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1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  <c r="AY260" s="35"/>
      <c r="AZ260" s="35"/>
      <c r="BA260" s="35"/>
      <c r="BB260" s="35"/>
      <c r="BC260" s="35"/>
      <c r="BD260" s="35"/>
      <c r="BE260" s="35"/>
      <c r="BF260" s="35"/>
      <c r="BG260" s="35"/>
      <c r="BH260" s="35"/>
      <c r="BI260" s="35"/>
      <c r="BJ260" s="35"/>
      <c r="BK260" s="35"/>
      <c r="BL260" s="35"/>
      <c r="BM260" s="35"/>
      <c r="BN260" s="35"/>
      <c r="BO260" s="35"/>
      <c r="BP260" s="35"/>
      <c r="BQ260" s="35"/>
      <c r="BR260" s="35"/>
      <c r="BS260" s="35"/>
      <c r="BT260" s="35"/>
      <c r="BU260" s="35"/>
      <c r="BV260" s="35"/>
      <c r="BW260" s="35"/>
      <c r="BX260" s="35"/>
      <c r="BY260" s="35"/>
      <c r="BZ260" s="35"/>
      <c r="CA260" s="35"/>
      <c r="CB260" s="35"/>
      <c r="CC260" s="35"/>
      <c r="CD260" s="35"/>
      <c r="CE260" s="35"/>
      <c r="CF260" s="35">
        <v>10</v>
      </c>
      <c r="CG260" s="35"/>
      <c r="CH260" s="35">
        <v>10</v>
      </c>
      <c r="CI260" s="35"/>
      <c r="CJ260" s="35"/>
      <c r="CK260" s="35"/>
      <c r="CL260" s="35"/>
      <c r="CM260" s="35"/>
      <c r="CN260" s="35"/>
      <c r="CO260" s="35"/>
      <c r="CP260" s="35"/>
      <c r="CQ260" s="35"/>
      <c r="CR260" s="35"/>
      <c r="CS260" s="35"/>
      <c r="CT260" s="35"/>
      <c r="CU260" s="35"/>
      <c r="CV260" s="35"/>
      <c r="CW260" s="35"/>
      <c r="CX260" s="35"/>
      <c r="CY260" s="35"/>
      <c r="CZ260" s="35"/>
      <c r="DA260" s="35"/>
      <c r="DB260" s="35"/>
      <c r="DC260" s="35"/>
      <c r="DD260" s="35"/>
      <c r="DE260" s="35"/>
      <c r="DF260" s="35"/>
      <c r="DG260" s="35"/>
      <c r="DH260" s="35"/>
      <c r="DI260" s="35"/>
      <c r="DJ260" s="35"/>
      <c r="DK260" s="35"/>
      <c r="DL260" s="35"/>
      <c r="DM260" s="35"/>
      <c r="DN260" s="35"/>
      <c r="DO260" s="35"/>
      <c r="DP260" s="35"/>
      <c r="DQ260" s="35"/>
      <c r="DR260" s="35"/>
      <c r="DS260" s="35"/>
      <c r="DT260" s="35"/>
      <c r="DU260" s="35"/>
      <c r="DV260" s="35"/>
      <c r="DW260" s="28">
        <f t="shared" ref="DW260:DW323" si="13">$B260-SUMIF($G$3:$IK$3,"",$G260:$IK260)</f>
        <v>0</v>
      </c>
      <c r="DX260" s="5"/>
    </row>
    <row r="261" spans="1:128" s="33" customFormat="1" x14ac:dyDescent="0.2">
      <c r="A261" s="47" t="s">
        <v>340</v>
      </c>
      <c r="B261" s="60">
        <f t="shared" si="12"/>
        <v>0</v>
      </c>
      <c r="C261" s="52">
        <v>1</v>
      </c>
      <c r="D261" s="55">
        <v>44672</v>
      </c>
      <c r="E261" s="62">
        <v>34.06</v>
      </c>
      <c r="F261" s="62">
        <f t="shared" si="11"/>
        <v>0</v>
      </c>
      <c r="G261" s="60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1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  <c r="AY261" s="35"/>
      <c r="AZ261" s="35"/>
      <c r="BA261" s="35"/>
      <c r="BB261" s="35"/>
      <c r="BC261" s="35"/>
      <c r="BD261" s="35"/>
      <c r="BE261" s="35"/>
      <c r="BF261" s="35"/>
      <c r="BG261" s="35"/>
      <c r="BH261" s="35"/>
      <c r="BI261" s="35"/>
      <c r="BJ261" s="35"/>
      <c r="BK261" s="35"/>
      <c r="BL261" s="35"/>
      <c r="BM261" s="35"/>
      <c r="BN261" s="35"/>
      <c r="BO261" s="35"/>
      <c r="BP261" s="35"/>
      <c r="BQ261" s="35"/>
      <c r="BR261" s="35"/>
      <c r="BS261" s="35"/>
      <c r="BT261" s="35"/>
      <c r="BU261" s="35"/>
      <c r="BV261" s="35"/>
      <c r="BW261" s="35"/>
      <c r="BX261" s="35"/>
      <c r="BY261" s="35"/>
      <c r="BZ261" s="35"/>
      <c r="CA261" s="35"/>
      <c r="CB261" s="35"/>
      <c r="CC261" s="35"/>
      <c r="CD261" s="35"/>
      <c r="CE261" s="35"/>
      <c r="CF261" s="35"/>
      <c r="CG261" s="35"/>
      <c r="CH261" s="35"/>
      <c r="CI261" s="35"/>
      <c r="CJ261" s="35"/>
      <c r="CK261" s="35"/>
      <c r="CL261" s="35"/>
      <c r="CM261" s="35"/>
      <c r="CN261" s="35"/>
      <c r="CO261" s="35"/>
      <c r="CP261" s="35"/>
      <c r="CQ261" s="35"/>
      <c r="CR261" s="35"/>
      <c r="CS261" s="35"/>
      <c r="CT261" s="35"/>
      <c r="CU261" s="35"/>
      <c r="CV261" s="35"/>
      <c r="CW261" s="35"/>
      <c r="CX261" s="35"/>
      <c r="CY261" s="35"/>
      <c r="CZ261" s="35"/>
      <c r="DA261" s="35"/>
      <c r="DB261" s="35"/>
      <c r="DC261" s="35"/>
      <c r="DD261" s="35"/>
      <c r="DE261" s="35"/>
      <c r="DF261" s="35"/>
      <c r="DG261" s="35"/>
      <c r="DH261" s="35"/>
      <c r="DI261" s="35"/>
      <c r="DJ261" s="35"/>
      <c r="DK261" s="35"/>
      <c r="DL261" s="35"/>
      <c r="DM261" s="35"/>
      <c r="DN261" s="35"/>
      <c r="DO261" s="35"/>
      <c r="DP261" s="35"/>
      <c r="DQ261" s="35"/>
      <c r="DR261" s="35"/>
      <c r="DS261" s="35"/>
      <c r="DT261" s="35"/>
      <c r="DU261" s="35"/>
      <c r="DV261" s="35"/>
      <c r="DW261" s="28">
        <f t="shared" si="13"/>
        <v>0</v>
      </c>
      <c r="DX261" s="5"/>
    </row>
    <row r="262" spans="1:128" s="33" customFormat="1" x14ac:dyDescent="0.2">
      <c r="A262" s="47" t="s">
        <v>191</v>
      </c>
      <c r="B262" s="60">
        <f t="shared" si="12"/>
        <v>0</v>
      </c>
      <c r="C262" s="52">
        <v>11</v>
      </c>
      <c r="D262" s="55">
        <v>44865</v>
      </c>
      <c r="E262" s="62">
        <v>28.81</v>
      </c>
      <c r="F262" s="62">
        <f t="shared" si="11"/>
        <v>0</v>
      </c>
      <c r="G262" s="60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1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  <c r="AY262" s="35"/>
      <c r="AZ262" s="35"/>
      <c r="BA262" s="35"/>
      <c r="BB262" s="35"/>
      <c r="BC262" s="35"/>
      <c r="BD262" s="35"/>
      <c r="BE262" s="35"/>
      <c r="BF262" s="35"/>
      <c r="BG262" s="35"/>
      <c r="BH262" s="35"/>
      <c r="BI262" s="35"/>
      <c r="BJ262" s="35"/>
      <c r="BK262" s="35"/>
      <c r="BL262" s="35"/>
      <c r="BM262" s="35"/>
      <c r="BN262" s="35"/>
      <c r="BO262" s="35"/>
      <c r="BP262" s="35"/>
      <c r="BQ262" s="35"/>
      <c r="BR262" s="35"/>
      <c r="BS262" s="35"/>
      <c r="BT262" s="35"/>
      <c r="BU262" s="35"/>
      <c r="BV262" s="35"/>
      <c r="BW262" s="35"/>
      <c r="BX262" s="35"/>
      <c r="BY262" s="35"/>
      <c r="BZ262" s="35"/>
      <c r="CA262" s="35"/>
      <c r="CB262" s="35"/>
      <c r="CC262" s="35"/>
      <c r="CD262" s="35"/>
      <c r="CE262" s="35"/>
      <c r="CF262" s="35"/>
      <c r="CG262" s="35"/>
      <c r="CH262" s="35"/>
      <c r="CI262" s="35"/>
      <c r="CJ262" s="35"/>
      <c r="CK262" s="35"/>
      <c r="CL262" s="35"/>
      <c r="CM262" s="35"/>
      <c r="CN262" s="35"/>
      <c r="CO262" s="35"/>
      <c r="CP262" s="35"/>
      <c r="CQ262" s="35"/>
      <c r="CR262" s="35"/>
      <c r="CS262" s="35"/>
      <c r="CT262" s="35"/>
      <c r="CU262" s="35"/>
      <c r="CV262" s="35"/>
      <c r="CW262" s="35"/>
      <c r="CX262" s="35"/>
      <c r="CY262" s="35"/>
      <c r="CZ262" s="35"/>
      <c r="DA262" s="35"/>
      <c r="DB262" s="35"/>
      <c r="DC262" s="35"/>
      <c r="DD262" s="35"/>
      <c r="DE262" s="35"/>
      <c r="DF262" s="35"/>
      <c r="DG262" s="35"/>
      <c r="DH262" s="35"/>
      <c r="DI262" s="35"/>
      <c r="DJ262" s="35"/>
      <c r="DK262" s="35"/>
      <c r="DL262" s="35"/>
      <c r="DM262" s="35"/>
      <c r="DN262" s="35"/>
      <c r="DO262" s="35"/>
      <c r="DP262" s="35"/>
      <c r="DQ262" s="35"/>
      <c r="DR262" s="35"/>
      <c r="DS262" s="35"/>
      <c r="DT262" s="35"/>
      <c r="DU262" s="35"/>
      <c r="DV262" s="35"/>
      <c r="DW262" s="28">
        <f t="shared" si="13"/>
        <v>0</v>
      </c>
      <c r="DX262" s="5"/>
    </row>
    <row r="263" spans="1:128" s="33" customFormat="1" x14ac:dyDescent="0.2">
      <c r="A263" s="39" t="s">
        <v>101</v>
      </c>
      <c r="B263" s="60">
        <f t="shared" si="12"/>
        <v>10</v>
      </c>
      <c r="C263" s="52">
        <v>10</v>
      </c>
      <c r="D263" s="54">
        <v>44970</v>
      </c>
      <c r="E263" s="62">
        <v>35.6</v>
      </c>
      <c r="F263" s="62">
        <f t="shared" si="11"/>
        <v>356</v>
      </c>
      <c r="G263" s="60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15"/>
      <c r="V263" s="35"/>
      <c r="W263" s="35"/>
      <c r="X263" s="35"/>
      <c r="Y263" s="35">
        <v>5</v>
      </c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  <c r="AY263" s="35"/>
      <c r="AZ263" s="35"/>
      <c r="BA263" s="35"/>
      <c r="BB263" s="35"/>
      <c r="BC263" s="35"/>
      <c r="BD263" s="35"/>
      <c r="BE263" s="35"/>
      <c r="BF263" s="35"/>
      <c r="BG263" s="35"/>
      <c r="BH263" s="35"/>
      <c r="BI263" s="35"/>
      <c r="BJ263" s="35"/>
      <c r="BK263" s="35"/>
      <c r="BL263" s="35"/>
      <c r="BM263" s="35"/>
      <c r="BN263" s="35"/>
      <c r="BO263" s="35"/>
      <c r="BP263" s="35"/>
      <c r="BQ263" s="35"/>
      <c r="BR263" s="35"/>
      <c r="BS263" s="35"/>
      <c r="BT263" s="35"/>
      <c r="BU263" s="35"/>
      <c r="BV263" s="35"/>
      <c r="BW263" s="35"/>
      <c r="BX263" s="35"/>
      <c r="BY263" s="35"/>
      <c r="BZ263" s="35"/>
      <c r="CA263" s="35"/>
      <c r="CB263" s="35"/>
      <c r="CC263" s="35"/>
      <c r="CD263" s="35"/>
      <c r="CE263" s="35"/>
      <c r="CF263" s="35"/>
      <c r="CG263" s="35"/>
      <c r="CH263" s="35"/>
      <c r="CI263" s="35"/>
      <c r="CJ263" s="35"/>
      <c r="CK263" s="35"/>
      <c r="CL263" s="35"/>
      <c r="CM263" s="35"/>
      <c r="CN263" s="35"/>
      <c r="CO263" s="35"/>
      <c r="CP263" s="35"/>
      <c r="CQ263" s="35"/>
      <c r="CR263" s="35"/>
      <c r="CS263" s="35">
        <v>5</v>
      </c>
      <c r="CT263" s="35"/>
      <c r="CU263" s="35"/>
      <c r="CV263" s="35"/>
      <c r="CW263" s="35"/>
      <c r="CX263" s="35"/>
      <c r="CY263" s="35"/>
      <c r="CZ263" s="35"/>
      <c r="DA263" s="35"/>
      <c r="DB263" s="35"/>
      <c r="DC263" s="35"/>
      <c r="DD263" s="35"/>
      <c r="DE263" s="35"/>
      <c r="DF263" s="35"/>
      <c r="DG263" s="35"/>
      <c r="DH263" s="35"/>
      <c r="DI263" s="35"/>
      <c r="DJ263" s="35"/>
      <c r="DK263" s="35"/>
      <c r="DL263" s="35"/>
      <c r="DM263" s="35"/>
      <c r="DN263" s="35"/>
      <c r="DO263" s="35"/>
      <c r="DP263" s="35"/>
      <c r="DQ263" s="35">
        <v>10</v>
      </c>
      <c r="DR263" s="35"/>
      <c r="DS263" s="35"/>
      <c r="DT263" s="35"/>
      <c r="DU263" s="35"/>
      <c r="DV263" s="35"/>
      <c r="DW263" s="28">
        <f t="shared" si="13"/>
        <v>10</v>
      </c>
      <c r="DX263" s="5"/>
    </row>
    <row r="264" spans="1:128" s="33" customFormat="1" x14ac:dyDescent="0.2">
      <c r="A264" s="39" t="s">
        <v>195</v>
      </c>
      <c r="B264" s="60">
        <f t="shared" si="12"/>
        <v>0</v>
      </c>
      <c r="C264" s="52">
        <v>1</v>
      </c>
      <c r="D264" s="54">
        <v>44970</v>
      </c>
      <c r="E264" s="62">
        <v>75.400000000000006</v>
      </c>
      <c r="F264" s="62">
        <f t="shared" si="11"/>
        <v>0</v>
      </c>
      <c r="G264" s="60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1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  <c r="AY264" s="35"/>
      <c r="AZ264" s="35"/>
      <c r="BA264" s="35"/>
      <c r="BB264" s="35"/>
      <c r="BC264" s="35"/>
      <c r="BD264" s="35"/>
      <c r="BE264" s="35"/>
      <c r="BF264" s="35"/>
      <c r="BG264" s="35"/>
      <c r="BH264" s="35"/>
      <c r="BI264" s="35"/>
      <c r="BJ264" s="35"/>
      <c r="BK264" s="35"/>
      <c r="BL264" s="35"/>
      <c r="BM264" s="35"/>
      <c r="BN264" s="35"/>
      <c r="BO264" s="35"/>
      <c r="BP264" s="35"/>
      <c r="BQ264" s="35"/>
      <c r="BR264" s="35"/>
      <c r="BS264" s="35"/>
      <c r="BT264" s="35"/>
      <c r="BU264" s="35"/>
      <c r="BV264" s="35"/>
      <c r="BW264" s="35"/>
      <c r="BX264" s="35"/>
      <c r="BY264" s="35"/>
      <c r="BZ264" s="35"/>
      <c r="CA264" s="35"/>
      <c r="CB264" s="35"/>
      <c r="CC264" s="35"/>
      <c r="CD264" s="35"/>
      <c r="CE264" s="35"/>
      <c r="CF264" s="35"/>
      <c r="CG264" s="35"/>
      <c r="CH264" s="35"/>
      <c r="CI264" s="35"/>
      <c r="CJ264" s="35"/>
      <c r="CK264" s="35"/>
      <c r="CL264" s="35"/>
      <c r="CM264" s="35"/>
      <c r="CN264" s="35"/>
      <c r="CO264" s="35"/>
      <c r="CP264" s="35"/>
      <c r="CQ264" s="35"/>
      <c r="CR264" s="35"/>
      <c r="CS264" s="35"/>
      <c r="CT264" s="35"/>
      <c r="CU264" s="35"/>
      <c r="CV264" s="35"/>
      <c r="CW264" s="35"/>
      <c r="CX264" s="35"/>
      <c r="CY264" s="35"/>
      <c r="CZ264" s="35"/>
      <c r="DA264" s="35"/>
      <c r="DB264" s="35"/>
      <c r="DC264" s="35"/>
      <c r="DD264" s="35"/>
      <c r="DE264" s="35"/>
      <c r="DF264" s="35"/>
      <c r="DG264" s="35"/>
      <c r="DH264" s="35"/>
      <c r="DI264" s="35"/>
      <c r="DJ264" s="35"/>
      <c r="DK264" s="35"/>
      <c r="DL264" s="35"/>
      <c r="DM264" s="35"/>
      <c r="DN264" s="35"/>
      <c r="DO264" s="35"/>
      <c r="DP264" s="35"/>
      <c r="DQ264" s="35">
        <v>1</v>
      </c>
      <c r="DR264" s="35"/>
      <c r="DS264" s="35"/>
      <c r="DT264" s="35">
        <v>1</v>
      </c>
      <c r="DU264" s="35"/>
      <c r="DV264" s="35"/>
      <c r="DW264" s="28">
        <f t="shared" si="13"/>
        <v>0</v>
      </c>
      <c r="DX264" s="5"/>
    </row>
    <row r="265" spans="1:128" s="33" customFormat="1" x14ac:dyDescent="0.2">
      <c r="A265" s="39" t="s">
        <v>460</v>
      </c>
      <c r="B265" s="60">
        <f t="shared" si="12"/>
        <v>0</v>
      </c>
      <c r="C265" s="52">
        <v>9</v>
      </c>
      <c r="D265" s="55">
        <v>44672</v>
      </c>
      <c r="E265" s="62">
        <v>47.21</v>
      </c>
      <c r="F265" s="62">
        <f t="shared" si="11"/>
        <v>0</v>
      </c>
      <c r="G265" s="60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1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  <c r="AY265" s="35"/>
      <c r="AZ265" s="35"/>
      <c r="BA265" s="35"/>
      <c r="BB265" s="35"/>
      <c r="BC265" s="35"/>
      <c r="BD265" s="35"/>
      <c r="BE265" s="35"/>
      <c r="BF265" s="35"/>
      <c r="BG265" s="35"/>
      <c r="BH265" s="35"/>
      <c r="BI265" s="35"/>
      <c r="BJ265" s="35"/>
      <c r="BK265" s="35"/>
      <c r="BL265" s="35"/>
      <c r="BM265" s="35"/>
      <c r="BN265" s="35"/>
      <c r="BO265" s="35"/>
      <c r="BP265" s="35"/>
      <c r="BQ265" s="35"/>
      <c r="BR265" s="35"/>
      <c r="BS265" s="35"/>
      <c r="BT265" s="35"/>
      <c r="BU265" s="35"/>
      <c r="BV265" s="35"/>
      <c r="BW265" s="35"/>
      <c r="BX265" s="35"/>
      <c r="BY265" s="35"/>
      <c r="BZ265" s="35"/>
      <c r="CA265" s="35"/>
      <c r="CB265" s="35"/>
      <c r="CC265" s="35"/>
      <c r="CD265" s="35"/>
      <c r="CE265" s="35"/>
      <c r="CF265" s="35"/>
      <c r="CG265" s="35"/>
      <c r="CH265" s="35"/>
      <c r="CI265" s="35"/>
      <c r="CJ265" s="35"/>
      <c r="CK265" s="35"/>
      <c r="CL265" s="35"/>
      <c r="CM265" s="35"/>
      <c r="CN265" s="35"/>
      <c r="CO265" s="35"/>
      <c r="CP265" s="35"/>
      <c r="CQ265" s="35"/>
      <c r="CR265" s="35"/>
      <c r="CS265" s="35"/>
      <c r="CT265" s="35"/>
      <c r="CU265" s="35"/>
      <c r="CV265" s="35"/>
      <c r="CW265" s="35"/>
      <c r="CX265" s="35"/>
      <c r="CY265" s="35"/>
      <c r="CZ265" s="35"/>
      <c r="DA265" s="35"/>
      <c r="DB265" s="35"/>
      <c r="DC265" s="35"/>
      <c r="DD265" s="35"/>
      <c r="DE265" s="35"/>
      <c r="DF265" s="35"/>
      <c r="DG265" s="35"/>
      <c r="DH265" s="35"/>
      <c r="DI265" s="35"/>
      <c r="DJ265" s="35"/>
      <c r="DK265" s="35"/>
      <c r="DL265" s="35"/>
      <c r="DM265" s="35"/>
      <c r="DN265" s="35"/>
      <c r="DO265" s="35"/>
      <c r="DP265" s="35"/>
      <c r="DQ265" s="35"/>
      <c r="DR265" s="35"/>
      <c r="DS265" s="35"/>
      <c r="DT265" s="35"/>
      <c r="DU265" s="35"/>
      <c r="DV265" s="35"/>
      <c r="DW265" s="28">
        <f t="shared" si="13"/>
        <v>0</v>
      </c>
      <c r="DX265" s="5"/>
    </row>
    <row r="266" spans="1:128" s="33" customFormat="1" x14ac:dyDescent="0.2">
      <c r="A266" s="39" t="s">
        <v>109</v>
      </c>
      <c r="B266" s="60">
        <f t="shared" si="12"/>
        <v>10</v>
      </c>
      <c r="C266" s="52">
        <v>10</v>
      </c>
      <c r="D266" s="55">
        <v>44816</v>
      </c>
      <c r="E266" s="62">
        <v>36.979999999999997</v>
      </c>
      <c r="F266" s="62">
        <f t="shared" si="11"/>
        <v>369.79999999999995</v>
      </c>
      <c r="G266" s="60">
        <v>10</v>
      </c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1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  <c r="AY266" s="35"/>
      <c r="AZ266" s="35"/>
      <c r="BA266" s="35"/>
      <c r="BB266" s="35">
        <v>10</v>
      </c>
      <c r="BC266" s="35"/>
      <c r="BD266" s="35"/>
      <c r="BE266" s="35"/>
      <c r="BF266" s="35"/>
      <c r="BG266" s="35"/>
      <c r="BH266" s="35"/>
      <c r="BI266" s="35"/>
      <c r="BJ266" s="35"/>
      <c r="BK266" s="35"/>
      <c r="BL266" s="35"/>
      <c r="BM266" s="35"/>
      <c r="BN266" s="35"/>
      <c r="BO266" s="35"/>
      <c r="BP266" s="35"/>
      <c r="BQ266" s="35"/>
      <c r="BR266" s="35"/>
      <c r="BS266" s="35"/>
      <c r="BT266" s="35"/>
      <c r="BU266" s="35"/>
      <c r="BV266" s="35"/>
      <c r="BW266" s="35"/>
      <c r="BX266" s="35"/>
      <c r="BY266" s="35"/>
      <c r="BZ266" s="35"/>
      <c r="CA266" s="35"/>
      <c r="CB266" s="35"/>
      <c r="CC266" s="35"/>
      <c r="CD266" s="35"/>
      <c r="CE266" s="35"/>
      <c r="CF266" s="35"/>
      <c r="CG266" s="35"/>
      <c r="CH266" s="35"/>
      <c r="CI266" s="35"/>
      <c r="CJ266" s="35"/>
      <c r="CK266" s="35"/>
      <c r="CL266" s="35"/>
      <c r="CM266" s="35"/>
      <c r="CN266" s="35"/>
      <c r="CO266" s="35"/>
      <c r="CP266" s="35"/>
      <c r="CQ266" s="35"/>
      <c r="CR266" s="35"/>
      <c r="CS266" s="35"/>
      <c r="CT266" s="35"/>
      <c r="CU266" s="35"/>
      <c r="CV266" s="35"/>
      <c r="CW266" s="35"/>
      <c r="CX266" s="35"/>
      <c r="CY266" s="35"/>
      <c r="CZ266" s="35"/>
      <c r="DA266" s="35"/>
      <c r="DB266" s="35"/>
      <c r="DC266" s="35"/>
      <c r="DD266" s="35"/>
      <c r="DE266" s="35"/>
      <c r="DF266" s="35"/>
      <c r="DG266" s="35"/>
      <c r="DH266" s="35"/>
      <c r="DI266" s="35"/>
      <c r="DJ266" s="35"/>
      <c r="DK266" s="35"/>
      <c r="DL266" s="35"/>
      <c r="DM266" s="35"/>
      <c r="DN266" s="35"/>
      <c r="DO266" s="35"/>
      <c r="DP266" s="35"/>
      <c r="DQ266" s="35"/>
      <c r="DR266" s="35"/>
      <c r="DS266" s="35"/>
      <c r="DT266" s="35"/>
      <c r="DU266" s="35"/>
      <c r="DV266" s="35"/>
      <c r="DW266" s="28">
        <f t="shared" si="13"/>
        <v>0</v>
      </c>
      <c r="DX266" s="5"/>
    </row>
    <row r="267" spans="1:128" s="33" customFormat="1" x14ac:dyDescent="0.2">
      <c r="A267" s="39" t="s">
        <v>222</v>
      </c>
      <c r="B267" s="60">
        <f t="shared" si="12"/>
        <v>130</v>
      </c>
      <c r="C267" s="52">
        <v>10</v>
      </c>
      <c r="D267" s="55">
        <v>44879</v>
      </c>
      <c r="E267" s="62">
        <v>28.81</v>
      </c>
      <c r="F267" s="62">
        <f t="shared" si="11"/>
        <v>3745.2999999999997</v>
      </c>
      <c r="G267" s="60">
        <v>130</v>
      </c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1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  <c r="AY267" s="35"/>
      <c r="AZ267" s="35"/>
      <c r="BA267" s="35"/>
      <c r="BB267" s="35">
        <v>130</v>
      </c>
      <c r="BC267" s="35"/>
      <c r="BD267" s="35"/>
      <c r="BE267" s="35"/>
      <c r="BF267" s="35"/>
      <c r="BG267" s="35"/>
      <c r="BH267" s="35"/>
      <c r="BI267" s="35"/>
      <c r="BJ267" s="35"/>
      <c r="BK267" s="35"/>
      <c r="BL267" s="35"/>
      <c r="BM267" s="35"/>
      <c r="BN267" s="35"/>
      <c r="BO267" s="35"/>
      <c r="BP267" s="35"/>
      <c r="BQ267" s="35"/>
      <c r="BR267" s="35"/>
      <c r="BS267" s="35"/>
      <c r="BT267" s="35"/>
      <c r="BU267" s="35"/>
      <c r="BV267" s="35"/>
      <c r="BW267" s="35"/>
      <c r="BX267" s="35"/>
      <c r="BY267" s="35"/>
      <c r="BZ267" s="35"/>
      <c r="CA267" s="35"/>
      <c r="CB267" s="35"/>
      <c r="CC267" s="35"/>
      <c r="CD267" s="35"/>
      <c r="CE267" s="35"/>
      <c r="CF267" s="35"/>
      <c r="CG267" s="35"/>
      <c r="CH267" s="35"/>
      <c r="CI267" s="35"/>
      <c r="CJ267" s="35"/>
      <c r="CK267" s="35"/>
      <c r="CL267" s="35"/>
      <c r="CM267" s="35"/>
      <c r="CN267" s="35"/>
      <c r="CO267" s="35"/>
      <c r="CP267" s="35"/>
      <c r="CQ267" s="35"/>
      <c r="CR267" s="35"/>
      <c r="CS267" s="35"/>
      <c r="CT267" s="35"/>
      <c r="CU267" s="35"/>
      <c r="CV267" s="35"/>
      <c r="CW267" s="35"/>
      <c r="CX267" s="35"/>
      <c r="CY267" s="35"/>
      <c r="CZ267" s="35"/>
      <c r="DA267" s="35"/>
      <c r="DB267" s="35"/>
      <c r="DC267" s="35"/>
      <c r="DD267" s="35"/>
      <c r="DE267" s="35"/>
      <c r="DF267" s="35"/>
      <c r="DG267" s="35"/>
      <c r="DH267" s="35"/>
      <c r="DI267" s="35"/>
      <c r="DJ267" s="35"/>
      <c r="DK267" s="35"/>
      <c r="DL267" s="35"/>
      <c r="DM267" s="35"/>
      <c r="DN267" s="35"/>
      <c r="DO267" s="35"/>
      <c r="DP267" s="35"/>
      <c r="DQ267" s="35"/>
      <c r="DR267" s="35"/>
      <c r="DS267" s="35"/>
      <c r="DT267" s="35"/>
      <c r="DU267" s="35"/>
      <c r="DV267" s="35"/>
      <c r="DW267" s="28">
        <f t="shared" si="13"/>
        <v>0</v>
      </c>
      <c r="DX267" s="5"/>
    </row>
    <row r="268" spans="1:128" s="33" customFormat="1" x14ac:dyDescent="0.2">
      <c r="A268" s="39" t="s">
        <v>443</v>
      </c>
      <c r="B268" s="60">
        <f t="shared" si="12"/>
        <v>0</v>
      </c>
      <c r="C268" s="52">
        <v>9</v>
      </c>
      <c r="D268" s="55">
        <v>44739</v>
      </c>
      <c r="E268" s="62">
        <v>38.630000000000003</v>
      </c>
      <c r="F268" s="62">
        <f t="shared" si="11"/>
        <v>0</v>
      </c>
      <c r="G268" s="60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1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BH268" s="35"/>
      <c r="BI268" s="35"/>
      <c r="BJ268" s="35"/>
      <c r="BK268" s="35"/>
      <c r="BL268" s="35"/>
      <c r="BM268" s="35"/>
      <c r="BN268" s="35"/>
      <c r="BO268" s="35"/>
      <c r="BP268" s="35"/>
      <c r="BQ268" s="35"/>
      <c r="BR268" s="35"/>
      <c r="BS268" s="35"/>
      <c r="BT268" s="35"/>
      <c r="BU268" s="35"/>
      <c r="BV268" s="35"/>
      <c r="BW268" s="35"/>
      <c r="BX268" s="35"/>
      <c r="BY268" s="35"/>
      <c r="BZ268" s="35"/>
      <c r="CA268" s="35"/>
      <c r="CB268" s="35"/>
      <c r="CC268" s="35"/>
      <c r="CD268" s="35"/>
      <c r="CE268" s="35"/>
      <c r="CF268" s="35"/>
      <c r="CG268" s="35"/>
      <c r="CH268" s="35"/>
      <c r="CI268" s="35"/>
      <c r="CJ268" s="35"/>
      <c r="CK268" s="35"/>
      <c r="CL268" s="35"/>
      <c r="CM268" s="35"/>
      <c r="CN268" s="35"/>
      <c r="CO268" s="35"/>
      <c r="CP268" s="35"/>
      <c r="CQ268" s="35"/>
      <c r="CR268" s="35"/>
      <c r="CS268" s="35"/>
      <c r="CT268" s="35"/>
      <c r="CU268" s="35"/>
      <c r="CV268" s="35"/>
      <c r="CW268" s="35"/>
      <c r="CX268" s="35"/>
      <c r="CY268" s="35"/>
      <c r="CZ268" s="35"/>
      <c r="DA268" s="35"/>
      <c r="DB268" s="35"/>
      <c r="DC268" s="35"/>
      <c r="DD268" s="35"/>
      <c r="DE268" s="35"/>
      <c r="DF268" s="35"/>
      <c r="DG268" s="35"/>
      <c r="DH268" s="35"/>
      <c r="DI268" s="35"/>
      <c r="DJ268" s="35"/>
      <c r="DK268" s="35"/>
      <c r="DL268" s="35"/>
      <c r="DM268" s="35"/>
      <c r="DN268" s="35"/>
      <c r="DO268" s="35"/>
      <c r="DP268" s="35"/>
      <c r="DQ268" s="35"/>
      <c r="DR268" s="35"/>
      <c r="DS268" s="35"/>
      <c r="DT268" s="35"/>
      <c r="DU268" s="35"/>
      <c r="DV268" s="35"/>
      <c r="DW268" s="28">
        <f t="shared" si="13"/>
        <v>0</v>
      </c>
      <c r="DX268" s="5"/>
    </row>
    <row r="269" spans="1:128" s="33" customFormat="1" x14ac:dyDescent="0.2">
      <c r="A269" s="39" t="s">
        <v>501</v>
      </c>
      <c r="B269" s="60">
        <f t="shared" si="12"/>
        <v>0</v>
      </c>
      <c r="C269" s="52">
        <v>1</v>
      </c>
      <c r="D269" s="54">
        <v>44781</v>
      </c>
      <c r="E269" s="62">
        <v>93.64</v>
      </c>
      <c r="F269" s="62">
        <f t="shared" si="11"/>
        <v>0</v>
      </c>
      <c r="G269" s="60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1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  <c r="AY269" s="35"/>
      <c r="AZ269" s="35"/>
      <c r="BA269" s="35"/>
      <c r="BB269" s="35"/>
      <c r="BC269" s="35"/>
      <c r="BD269" s="35"/>
      <c r="BE269" s="35"/>
      <c r="BF269" s="35"/>
      <c r="BG269" s="35"/>
      <c r="BH269" s="35"/>
      <c r="BI269" s="35"/>
      <c r="BJ269" s="35"/>
      <c r="BK269" s="35"/>
      <c r="BL269" s="35"/>
      <c r="BM269" s="35"/>
      <c r="BN269" s="35"/>
      <c r="BO269" s="35"/>
      <c r="BP269" s="35"/>
      <c r="BQ269" s="35"/>
      <c r="BR269" s="35"/>
      <c r="BS269" s="35"/>
      <c r="BT269" s="35"/>
      <c r="BU269" s="35"/>
      <c r="BV269" s="35"/>
      <c r="BW269" s="35"/>
      <c r="BX269" s="35"/>
      <c r="BY269" s="35"/>
      <c r="BZ269" s="35"/>
      <c r="CA269" s="35"/>
      <c r="CB269" s="35"/>
      <c r="CC269" s="35"/>
      <c r="CD269" s="35"/>
      <c r="CE269" s="35"/>
      <c r="CF269" s="35"/>
      <c r="CG269" s="35"/>
      <c r="CH269" s="35"/>
      <c r="CI269" s="35"/>
      <c r="CJ269" s="35"/>
      <c r="CK269" s="35"/>
      <c r="CL269" s="35"/>
      <c r="CM269" s="35"/>
      <c r="CN269" s="35"/>
      <c r="CO269" s="35"/>
      <c r="CP269" s="35"/>
      <c r="CQ269" s="35"/>
      <c r="CR269" s="35"/>
      <c r="CS269" s="35"/>
      <c r="CT269" s="35"/>
      <c r="CU269" s="35"/>
      <c r="CV269" s="35"/>
      <c r="CW269" s="35"/>
      <c r="CX269" s="35"/>
      <c r="CY269" s="35"/>
      <c r="CZ269" s="35"/>
      <c r="DA269" s="35"/>
      <c r="DB269" s="35"/>
      <c r="DC269" s="35"/>
      <c r="DD269" s="35"/>
      <c r="DE269" s="35"/>
      <c r="DF269" s="35"/>
      <c r="DG269" s="35"/>
      <c r="DH269" s="35"/>
      <c r="DI269" s="35"/>
      <c r="DJ269" s="35"/>
      <c r="DK269" s="35"/>
      <c r="DL269" s="35"/>
      <c r="DM269" s="35"/>
      <c r="DN269" s="35"/>
      <c r="DO269" s="35"/>
      <c r="DP269" s="35"/>
      <c r="DQ269" s="35"/>
      <c r="DR269" s="35"/>
      <c r="DS269" s="35"/>
      <c r="DT269" s="35"/>
      <c r="DU269" s="35"/>
      <c r="DV269" s="35"/>
      <c r="DW269" s="28">
        <f t="shared" si="13"/>
        <v>0</v>
      </c>
      <c r="DX269" s="5"/>
    </row>
    <row r="270" spans="1:128" s="33" customFormat="1" x14ac:dyDescent="0.2">
      <c r="A270" s="47" t="s">
        <v>484</v>
      </c>
      <c r="B270" s="60">
        <f t="shared" si="12"/>
        <v>0</v>
      </c>
      <c r="C270" s="52">
        <v>1</v>
      </c>
      <c r="D270" s="54">
        <v>44781</v>
      </c>
      <c r="E270" s="62">
        <v>49.15</v>
      </c>
      <c r="F270" s="62">
        <f t="shared" si="11"/>
        <v>0</v>
      </c>
      <c r="G270" s="60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1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  <c r="AY270" s="35"/>
      <c r="AZ270" s="35"/>
      <c r="BA270" s="35"/>
      <c r="BB270" s="35"/>
      <c r="BC270" s="35"/>
      <c r="BD270" s="35"/>
      <c r="BE270" s="35"/>
      <c r="BF270" s="35"/>
      <c r="BG270" s="35"/>
      <c r="BH270" s="35"/>
      <c r="BI270" s="35"/>
      <c r="BJ270" s="35"/>
      <c r="BK270" s="35"/>
      <c r="BL270" s="35"/>
      <c r="BM270" s="35"/>
      <c r="BN270" s="35"/>
      <c r="BO270" s="35"/>
      <c r="BP270" s="35"/>
      <c r="BQ270" s="35"/>
      <c r="BR270" s="35"/>
      <c r="BS270" s="35"/>
      <c r="BT270" s="35"/>
      <c r="BU270" s="35"/>
      <c r="BV270" s="35"/>
      <c r="BW270" s="35"/>
      <c r="BX270" s="35"/>
      <c r="BY270" s="35"/>
      <c r="BZ270" s="35"/>
      <c r="CA270" s="35"/>
      <c r="CB270" s="35"/>
      <c r="CC270" s="35"/>
      <c r="CD270" s="35"/>
      <c r="CE270" s="35"/>
      <c r="CF270" s="35"/>
      <c r="CG270" s="35"/>
      <c r="CH270" s="35"/>
      <c r="CI270" s="35"/>
      <c r="CJ270" s="35"/>
      <c r="CK270" s="35"/>
      <c r="CL270" s="35"/>
      <c r="CM270" s="35"/>
      <c r="CN270" s="35"/>
      <c r="CO270" s="35"/>
      <c r="CP270" s="35"/>
      <c r="CQ270" s="35"/>
      <c r="CR270" s="35"/>
      <c r="CS270" s="35"/>
      <c r="CT270" s="35"/>
      <c r="CU270" s="35"/>
      <c r="CV270" s="35"/>
      <c r="CW270" s="35"/>
      <c r="CX270" s="35"/>
      <c r="CY270" s="35"/>
      <c r="CZ270" s="35"/>
      <c r="DA270" s="35"/>
      <c r="DB270" s="35"/>
      <c r="DC270" s="35"/>
      <c r="DD270" s="35"/>
      <c r="DE270" s="35"/>
      <c r="DF270" s="35"/>
      <c r="DG270" s="35"/>
      <c r="DH270" s="35"/>
      <c r="DI270" s="35"/>
      <c r="DJ270" s="35"/>
      <c r="DK270" s="35"/>
      <c r="DL270" s="35"/>
      <c r="DM270" s="35"/>
      <c r="DN270" s="35"/>
      <c r="DO270" s="35"/>
      <c r="DP270" s="35"/>
      <c r="DQ270" s="35"/>
      <c r="DR270" s="35"/>
      <c r="DS270" s="35"/>
      <c r="DT270" s="35"/>
      <c r="DU270" s="35"/>
      <c r="DV270" s="35"/>
      <c r="DW270" s="28">
        <f t="shared" si="13"/>
        <v>0</v>
      </c>
      <c r="DX270" s="5"/>
    </row>
    <row r="271" spans="1:128" s="33" customFormat="1" x14ac:dyDescent="0.2">
      <c r="A271" s="47" t="s">
        <v>20</v>
      </c>
      <c r="B271" s="60">
        <f t="shared" si="12"/>
        <v>4</v>
      </c>
      <c r="C271" s="52">
        <v>1</v>
      </c>
      <c r="D271" s="54">
        <v>44970</v>
      </c>
      <c r="E271" s="62">
        <v>41.88</v>
      </c>
      <c r="F271" s="62">
        <f t="shared" si="11"/>
        <v>167.52</v>
      </c>
      <c r="G271" s="60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1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BH271" s="35"/>
      <c r="BI271" s="35"/>
      <c r="BJ271" s="35"/>
      <c r="BK271" s="35">
        <v>10</v>
      </c>
      <c r="BL271" s="35"/>
      <c r="BM271" s="35"/>
      <c r="BN271" s="35"/>
      <c r="BO271" s="35"/>
      <c r="BP271" s="35"/>
      <c r="BQ271" s="35"/>
      <c r="BR271" s="35"/>
      <c r="BS271" s="35"/>
      <c r="BT271" s="35"/>
      <c r="BU271" s="35"/>
      <c r="BV271" s="35"/>
      <c r="BW271" s="35"/>
      <c r="BX271" s="35"/>
      <c r="BY271" s="35"/>
      <c r="BZ271" s="35"/>
      <c r="CA271" s="35"/>
      <c r="CB271" s="35"/>
      <c r="CC271" s="35"/>
      <c r="CD271" s="35"/>
      <c r="CE271" s="35"/>
      <c r="CF271" s="35"/>
      <c r="CG271" s="35"/>
      <c r="CH271" s="35"/>
      <c r="CI271" s="35"/>
      <c r="CJ271" s="35"/>
      <c r="CK271" s="35"/>
      <c r="CL271" s="35"/>
      <c r="CM271" s="35"/>
      <c r="CN271" s="35"/>
      <c r="CO271" s="35"/>
      <c r="CP271" s="35"/>
      <c r="CQ271" s="35"/>
      <c r="CR271" s="35"/>
      <c r="CS271" s="35">
        <v>10</v>
      </c>
      <c r="CT271" s="35"/>
      <c r="CU271" s="35"/>
      <c r="CV271" s="35"/>
      <c r="CW271" s="35"/>
      <c r="CX271" s="35"/>
      <c r="CY271" s="35"/>
      <c r="CZ271" s="35"/>
      <c r="DA271" s="35"/>
      <c r="DB271" s="35"/>
      <c r="DC271" s="35"/>
      <c r="DD271" s="35"/>
      <c r="DE271" s="35"/>
      <c r="DF271" s="35"/>
      <c r="DG271" s="35"/>
      <c r="DH271" s="35"/>
      <c r="DI271" s="35"/>
      <c r="DJ271" s="35"/>
      <c r="DK271" s="35"/>
      <c r="DL271" s="35"/>
      <c r="DM271" s="35"/>
      <c r="DN271" s="35"/>
      <c r="DO271" s="35"/>
      <c r="DP271" s="35"/>
      <c r="DQ271" s="35">
        <v>4</v>
      </c>
      <c r="DR271" s="35"/>
      <c r="DS271" s="35"/>
      <c r="DT271" s="35"/>
      <c r="DU271" s="35"/>
      <c r="DV271" s="35"/>
      <c r="DW271" s="28">
        <f t="shared" si="13"/>
        <v>4</v>
      </c>
      <c r="DX271" s="5"/>
    </row>
    <row r="272" spans="1:128" s="33" customFormat="1" x14ac:dyDescent="0.2">
      <c r="A272" s="47" t="s">
        <v>513</v>
      </c>
      <c r="B272" s="60">
        <f t="shared" si="12"/>
        <v>0</v>
      </c>
      <c r="C272" s="52">
        <v>10</v>
      </c>
      <c r="D272" s="54">
        <v>44865</v>
      </c>
      <c r="E272" s="62">
        <v>42.1</v>
      </c>
      <c r="F272" s="62">
        <f t="shared" si="11"/>
        <v>0</v>
      </c>
      <c r="G272" s="60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1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BH272" s="35"/>
      <c r="BI272" s="35"/>
      <c r="BJ272" s="35"/>
      <c r="BK272" s="35"/>
      <c r="BL272" s="35"/>
      <c r="BM272" s="35"/>
      <c r="BN272" s="35"/>
      <c r="BO272" s="35"/>
      <c r="BP272" s="35"/>
      <c r="BQ272" s="35"/>
      <c r="BR272" s="35"/>
      <c r="BS272" s="35"/>
      <c r="BT272" s="35"/>
      <c r="BU272" s="35"/>
      <c r="BV272" s="35"/>
      <c r="BW272" s="35"/>
      <c r="BX272" s="35"/>
      <c r="BY272" s="35"/>
      <c r="BZ272" s="35"/>
      <c r="CA272" s="35"/>
      <c r="CB272" s="35"/>
      <c r="CC272" s="35"/>
      <c r="CD272" s="35"/>
      <c r="CE272" s="35"/>
      <c r="CF272" s="35"/>
      <c r="CG272" s="35"/>
      <c r="CH272" s="35"/>
      <c r="CI272" s="35"/>
      <c r="CJ272" s="35"/>
      <c r="CK272" s="35"/>
      <c r="CL272" s="35"/>
      <c r="CM272" s="35"/>
      <c r="CN272" s="35"/>
      <c r="CO272" s="35"/>
      <c r="CP272" s="35"/>
      <c r="CQ272" s="35"/>
      <c r="CR272" s="35"/>
      <c r="CS272" s="35"/>
      <c r="CT272" s="35"/>
      <c r="CU272" s="35"/>
      <c r="CV272" s="35"/>
      <c r="CW272" s="35"/>
      <c r="CX272" s="35"/>
      <c r="CY272" s="35"/>
      <c r="CZ272" s="35"/>
      <c r="DA272" s="35"/>
      <c r="DB272" s="35"/>
      <c r="DC272" s="35"/>
      <c r="DD272" s="35"/>
      <c r="DE272" s="35"/>
      <c r="DF272" s="35"/>
      <c r="DG272" s="35"/>
      <c r="DH272" s="35"/>
      <c r="DI272" s="35"/>
      <c r="DJ272" s="35"/>
      <c r="DK272" s="35"/>
      <c r="DL272" s="35"/>
      <c r="DM272" s="35"/>
      <c r="DN272" s="35"/>
      <c r="DO272" s="35"/>
      <c r="DP272" s="35"/>
      <c r="DQ272" s="35"/>
      <c r="DR272" s="35"/>
      <c r="DS272" s="35"/>
      <c r="DT272" s="35"/>
      <c r="DU272" s="35"/>
      <c r="DV272" s="35"/>
      <c r="DW272" s="28">
        <f t="shared" si="13"/>
        <v>0</v>
      </c>
      <c r="DX272" s="5"/>
    </row>
    <row r="273" spans="1:151" s="33" customFormat="1" x14ac:dyDescent="0.2">
      <c r="A273" s="47" t="s">
        <v>507</v>
      </c>
      <c r="B273" s="60">
        <f t="shared" si="12"/>
        <v>4</v>
      </c>
      <c r="C273" s="52">
        <v>1</v>
      </c>
      <c r="D273" s="54">
        <v>44970</v>
      </c>
      <c r="E273" s="62">
        <v>54.44</v>
      </c>
      <c r="F273" s="62">
        <f t="shared" si="11"/>
        <v>217.76</v>
      </c>
      <c r="G273" s="60">
        <v>2</v>
      </c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1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  <c r="AY273" s="35"/>
      <c r="AZ273" s="35"/>
      <c r="BA273" s="35"/>
      <c r="BB273" s="35"/>
      <c r="BC273" s="35"/>
      <c r="BD273" s="35"/>
      <c r="BE273" s="35"/>
      <c r="BF273" s="35"/>
      <c r="BG273" s="35"/>
      <c r="BH273" s="35"/>
      <c r="BI273" s="35"/>
      <c r="BJ273" s="35"/>
      <c r="BK273" s="35"/>
      <c r="BL273" s="35"/>
      <c r="BM273" s="35"/>
      <c r="BN273" s="35"/>
      <c r="BO273" s="35"/>
      <c r="BP273" s="35"/>
      <c r="BQ273" s="35"/>
      <c r="BR273" s="35"/>
      <c r="BS273" s="35"/>
      <c r="BT273" s="35"/>
      <c r="BU273" s="35"/>
      <c r="BV273" s="35"/>
      <c r="BW273" s="35"/>
      <c r="BX273" s="35"/>
      <c r="BY273" s="35"/>
      <c r="BZ273" s="35"/>
      <c r="CA273" s="35"/>
      <c r="CB273" s="35"/>
      <c r="CC273" s="35"/>
      <c r="CD273" s="35"/>
      <c r="CE273" s="35"/>
      <c r="CF273" s="35"/>
      <c r="CG273" s="35"/>
      <c r="CH273" s="35"/>
      <c r="CI273" s="35"/>
      <c r="CJ273" s="35"/>
      <c r="CK273" s="35"/>
      <c r="CL273" s="35"/>
      <c r="CM273" s="35"/>
      <c r="CN273" s="35"/>
      <c r="CO273" s="35"/>
      <c r="CP273" s="35"/>
      <c r="CQ273" s="35"/>
      <c r="CR273" s="35"/>
      <c r="CS273" s="35"/>
      <c r="CT273" s="35"/>
      <c r="CU273" s="35"/>
      <c r="CV273" s="35"/>
      <c r="CW273" s="35"/>
      <c r="CX273" s="35"/>
      <c r="CY273" s="35">
        <v>2</v>
      </c>
      <c r="CZ273" s="35"/>
      <c r="DA273" s="35"/>
      <c r="DB273" s="35"/>
      <c r="DC273" s="35"/>
      <c r="DD273" s="35"/>
      <c r="DE273" s="35"/>
      <c r="DF273" s="35"/>
      <c r="DG273" s="35"/>
      <c r="DH273" s="35"/>
      <c r="DI273" s="35"/>
      <c r="DJ273" s="35"/>
      <c r="DK273" s="35"/>
      <c r="DL273" s="35"/>
      <c r="DM273" s="35"/>
      <c r="DN273" s="35"/>
      <c r="DO273" s="35"/>
      <c r="DP273" s="35"/>
      <c r="DQ273" s="35">
        <v>4</v>
      </c>
      <c r="DR273" s="35"/>
      <c r="DS273" s="35"/>
      <c r="DT273" s="35"/>
      <c r="DU273" s="35"/>
      <c r="DV273" s="35"/>
      <c r="DW273" s="28">
        <f t="shared" si="13"/>
        <v>4</v>
      </c>
      <c r="DX273" s="5"/>
    </row>
    <row r="274" spans="1:151" s="33" customFormat="1" x14ac:dyDescent="0.2">
      <c r="A274" s="47" t="s">
        <v>170</v>
      </c>
      <c r="B274" s="60">
        <f t="shared" si="12"/>
        <v>0</v>
      </c>
      <c r="C274" s="52">
        <v>10</v>
      </c>
      <c r="D274" s="54">
        <v>44879</v>
      </c>
      <c r="E274" s="62">
        <v>39.9</v>
      </c>
      <c r="F274" s="62">
        <f t="shared" si="11"/>
        <v>0</v>
      </c>
      <c r="G274" s="60">
        <v>30</v>
      </c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1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BH274" s="35"/>
      <c r="BI274" s="35"/>
      <c r="BJ274" s="35"/>
      <c r="BK274" s="35"/>
      <c r="BL274" s="35"/>
      <c r="BM274" s="35"/>
      <c r="BN274" s="35"/>
      <c r="BO274" s="35"/>
      <c r="BP274" s="35"/>
      <c r="BQ274" s="35"/>
      <c r="BR274" s="35"/>
      <c r="BS274" s="35"/>
      <c r="BT274" s="35"/>
      <c r="BU274" s="35"/>
      <c r="BV274" s="35"/>
      <c r="BW274" s="35"/>
      <c r="BX274" s="35"/>
      <c r="BY274" s="35"/>
      <c r="BZ274" s="35"/>
      <c r="CA274" s="35"/>
      <c r="CB274" s="35"/>
      <c r="CC274" s="35"/>
      <c r="CD274" s="35"/>
      <c r="CE274" s="35"/>
      <c r="CF274" s="35">
        <v>10</v>
      </c>
      <c r="CG274" s="35">
        <v>10</v>
      </c>
      <c r="CH274" s="35"/>
      <c r="CI274" s="35"/>
      <c r="CJ274" s="35"/>
      <c r="CK274" s="35"/>
      <c r="CL274" s="35"/>
      <c r="CM274" s="35"/>
      <c r="CN274" s="35"/>
      <c r="CO274" s="35"/>
      <c r="CP274" s="35"/>
      <c r="CQ274" s="35"/>
      <c r="CR274" s="35"/>
      <c r="CS274" s="35"/>
      <c r="CT274" s="35"/>
      <c r="CU274" s="35"/>
      <c r="CV274" s="35"/>
      <c r="CW274" s="35"/>
      <c r="CX274" s="35"/>
      <c r="CY274" s="35"/>
      <c r="CZ274" s="35"/>
      <c r="DA274" s="35">
        <v>10</v>
      </c>
      <c r="DB274" s="35"/>
      <c r="DC274" s="35"/>
      <c r="DD274" s="35"/>
      <c r="DE274" s="35"/>
      <c r="DF274" s="35"/>
      <c r="DG274" s="35"/>
      <c r="DH274" s="35"/>
      <c r="DI274" s="35"/>
      <c r="DJ274" s="35"/>
      <c r="DK274" s="35"/>
      <c r="DL274" s="35"/>
      <c r="DM274" s="35"/>
      <c r="DN274" s="35"/>
      <c r="DO274" s="35"/>
      <c r="DP274" s="35"/>
      <c r="DQ274" s="35"/>
      <c r="DR274" s="35"/>
      <c r="DS274" s="35"/>
      <c r="DT274" s="35"/>
      <c r="DU274" s="35"/>
      <c r="DV274" s="35"/>
      <c r="DW274" s="28">
        <f t="shared" si="13"/>
        <v>0</v>
      </c>
      <c r="DX274" s="5"/>
    </row>
    <row r="275" spans="1:151" s="33" customFormat="1" x14ac:dyDescent="0.2">
      <c r="A275" s="47" t="s">
        <v>170</v>
      </c>
      <c r="B275" s="60">
        <f t="shared" si="12"/>
        <v>0</v>
      </c>
      <c r="C275" s="52">
        <v>10</v>
      </c>
      <c r="D275" s="54">
        <v>44949</v>
      </c>
      <c r="E275" s="62">
        <v>38.01</v>
      </c>
      <c r="F275" s="62">
        <f t="shared" si="11"/>
        <v>0</v>
      </c>
      <c r="G275" s="60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1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BH275" s="35"/>
      <c r="BI275" s="35"/>
      <c r="BJ275" s="35"/>
      <c r="BK275" s="35"/>
      <c r="BL275" s="35"/>
      <c r="BM275" s="35"/>
      <c r="BN275" s="35"/>
      <c r="BO275" s="35"/>
      <c r="BP275" s="35"/>
      <c r="BQ275" s="35"/>
      <c r="BR275" s="35"/>
      <c r="BS275" s="35"/>
      <c r="BT275" s="35"/>
      <c r="BU275" s="35"/>
      <c r="BV275" s="35"/>
      <c r="BW275" s="35"/>
      <c r="BX275" s="35"/>
      <c r="BY275" s="35"/>
      <c r="BZ275" s="35"/>
      <c r="CA275" s="35"/>
      <c r="CB275" s="35"/>
      <c r="CC275" s="35"/>
      <c r="CD275" s="35"/>
      <c r="CE275" s="35"/>
      <c r="CF275" s="35"/>
      <c r="CG275" s="35">
        <v>10</v>
      </c>
      <c r="CH275" s="35"/>
      <c r="CI275" s="35"/>
      <c r="CJ275" s="35"/>
      <c r="CK275" s="35"/>
      <c r="CL275" s="35"/>
      <c r="CM275" s="35"/>
      <c r="CN275" s="35"/>
      <c r="CO275" s="35"/>
      <c r="CP275" s="35"/>
      <c r="CQ275" s="35"/>
      <c r="CR275" s="35"/>
      <c r="CS275" s="35">
        <v>10</v>
      </c>
      <c r="CT275" s="35"/>
      <c r="CU275" s="35"/>
      <c r="CV275" s="35"/>
      <c r="CW275" s="35"/>
      <c r="CX275" s="35"/>
      <c r="CY275" s="35"/>
      <c r="CZ275" s="35"/>
      <c r="DA275" s="35"/>
      <c r="DB275" s="35"/>
      <c r="DC275" s="35"/>
      <c r="DD275" s="35"/>
      <c r="DE275" s="35"/>
      <c r="DF275" s="35"/>
      <c r="DG275" s="35"/>
      <c r="DH275" s="35"/>
      <c r="DI275" s="35"/>
      <c r="DJ275" s="35"/>
      <c r="DK275" s="35"/>
      <c r="DL275" s="35"/>
      <c r="DM275" s="35"/>
      <c r="DN275" s="35"/>
      <c r="DO275" s="35"/>
      <c r="DP275" s="35"/>
      <c r="DQ275" s="35"/>
      <c r="DR275" s="35"/>
      <c r="DS275" s="35"/>
      <c r="DT275" s="35"/>
      <c r="DU275" s="35"/>
      <c r="DV275" s="35"/>
      <c r="DW275" s="28">
        <f t="shared" si="13"/>
        <v>0</v>
      </c>
      <c r="DX275" s="5"/>
    </row>
    <row r="276" spans="1:151" s="33" customFormat="1" x14ac:dyDescent="0.2">
      <c r="A276" s="47" t="s">
        <v>126</v>
      </c>
      <c r="B276" s="60">
        <f t="shared" si="12"/>
        <v>0</v>
      </c>
      <c r="C276" s="52">
        <v>10</v>
      </c>
      <c r="D276" s="54">
        <v>44914</v>
      </c>
      <c r="E276" s="62">
        <v>50.11</v>
      </c>
      <c r="F276" s="62">
        <f t="shared" si="11"/>
        <v>0</v>
      </c>
      <c r="G276" s="60">
        <v>50</v>
      </c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1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>
        <v>50</v>
      </c>
      <c r="AS276" s="35"/>
      <c r="AT276" s="35"/>
      <c r="AU276" s="35"/>
      <c r="AV276" s="35"/>
      <c r="AW276" s="35"/>
      <c r="AX276" s="35"/>
      <c r="AY276" s="35"/>
      <c r="AZ276" s="35"/>
      <c r="BA276" s="35"/>
      <c r="BB276" s="35"/>
      <c r="BC276" s="35"/>
      <c r="BD276" s="35"/>
      <c r="BE276" s="35"/>
      <c r="BF276" s="35"/>
      <c r="BG276" s="35"/>
      <c r="BH276" s="35"/>
      <c r="BI276" s="35"/>
      <c r="BJ276" s="35"/>
      <c r="BK276" s="35"/>
      <c r="BL276" s="35"/>
      <c r="BM276" s="35"/>
      <c r="BN276" s="35"/>
      <c r="BO276" s="35"/>
      <c r="BP276" s="35"/>
      <c r="BQ276" s="35"/>
      <c r="BR276" s="35"/>
      <c r="BS276" s="35"/>
      <c r="BT276" s="35"/>
      <c r="BU276" s="35"/>
      <c r="BV276" s="35"/>
      <c r="BW276" s="35"/>
      <c r="BX276" s="35"/>
      <c r="BY276" s="35"/>
      <c r="BZ276" s="35"/>
      <c r="CA276" s="35"/>
      <c r="CB276" s="35"/>
      <c r="CC276" s="35"/>
      <c r="CD276" s="35"/>
      <c r="CE276" s="35"/>
      <c r="CF276" s="35"/>
      <c r="CG276" s="35"/>
      <c r="CH276" s="35"/>
      <c r="CI276" s="35"/>
      <c r="CJ276" s="35"/>
      <c r="CK276" s="35"/>
      <c r="CL276" s="35"/>
      <c r="CM276" s="35"/>
      <c r="CN276" s="35"/>
      <c r="CO276" s="35"/>
      <c r="CP276" s="35"/>
      <c r="CQ276" s="35"/>
      <c r="CR276" s="35"/>
      <c r="CS276" s="35"/>
      <c r="CT276" s="35"/>
      <c r="CU276" s="35"/>
      <c r="CV276" s="35"/>
      <c r="CW276" s="35"/>
      <c r="CX276" s="35"/>
      <c r="CY276" s="35"/>
      <c r="CZ276" s="35"/>
      <c r="DA276" s="35"/>
      <c r="DB276" s="35"/>
      <c r="DC276" s="35"/>
      <c r="DD276" s="35"/>
      <c r="DE276" s="35"/>
      <c r="DF276" s="35"/>
      <c r="DG276" s="35"/>
      <c r="DH276" s="35"/>
      <c r="DI276" s="35"/>
      <c r="DJ276" s="35"/>
      <c r="DK276" s="35"/>
      <c r="DL276" s="35"/>
      <c r="DM276" s="35"/>
      <c r="DN276" s="35"/>
      <c r="DO276" s="35"/>
      <c r="DP276" s="35"/>
      <c r="DQ276" s="35"/>
      <c r="DR276" s="35"/>
      <c r="DS276" s="35"/>
      <c r="DT276" s="35"/>
      <c r="DU276" s="35"/>
      <c r="DV276" s="35"/>
      <c r="DW276" s="28">
        <f t="shared" si="13"/>
        <v>0</v>
      </c>
      <c r="DX276" s="5"/>
    </row>
    <row r="277" spans="1:151" s="33" customFormat="1" x14ac:dyDescent="0.2">
      <c r="A277" s="47" t="s">
        <v>126</v>
      </c>
      <c r="B277" s="60">
        <f t="shared" si="12"/>
        <v>20</v>
      </c>
      <c r="C277" s="52">
        <v>10</v>
      </c>
      <c r="D277" s="54">
        <v>44924</v>
      </c>
      <c r="E277" s="62">
        <v>48.3</v>
      </c>
      <c r="F277" s="62">
        <f t="shared" si="11"/>
        <v>966</v>
      </c>
      <c r="G277" s="60">
        <v>90</v>
      </c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1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>
        <v>70</v>
      </c>
      <c r="AS277" s="35"/>
      <c r="AT277" s="35"/>
      <c r="AU277" s="35"/>
      <c r="AV277" s="35">
        <v>20</v>
      </c>
      <c r="AW277" s="35"/>
      <c r="AX277" s="35"/>
      <c r="AY277" s="35"/>
      <c r="AZ277" s="35"/>
      <c r="BA277" s="35"/>
      <c r="BB277" s="35"/>
      <c r="BC277" s="35"/>
      <c r="BD277" s="35"/>
      <c r="BE277" s="35"/>
      <c r="BF277" s="35"/>
      <c r="BG277" s="35"/>
      <c r="BH277" s="35"/>
      <c r="BI277" s="35"/>
      <c r="BJ277" s="35"/>
      <c r="BK277" s="35"/>
      <c r="BL277" s="35"/>
      <c r="BM277" s="35"/>
      <c r="BN277" s="35"/>
      <c r="BO277" s="35"/>
      <c r="BP277" s="35"/>
      <c r="BQ277" s="35"/>
      <c r="BR277" s="35"/>
      <c r="BS277" s="35"/>
      <c r="BT277" s="35"/>
      <c r="BU277" s="35"/>
      <c r="BV277" s="35"/>
      <c r="BW277" s="35"/>
      <c r="BX277" s="35"/>
      <c r="BY277" s="35"/>
      <c r="BZ277" s="35"/>
      <c r="CA277" s="35"/>
      <c r="CB277" s="35"/>
      <c r="CC277" s="35"/>
      <c r="CD277" s="35"/>
      <c r="CE277" s="35"/>
      <c r="CF277" s="35"/>
      <c r="CG277" s="35"/>
      <c r="CH277" s="35"/>
      <c r="CI277" s="35"/>
      <c r="CJ277" s="35"/>
      <c r="CK277" s="35"/>
      <c r="CL277" s="35"/>
      <c r="CM277" s="35"/>
      <c r="CN277" s="35"/>
      <c r="CO277" s="35"/>
      <c r="CP277" s="35"/>
      <c r="CQ277" s="35"/>
      <c r="CR277" s="35"/>
      <c r="CS277" s="35"/>
      <c r="CT277" s="35"/>
      <c r="CU277" s="35"/>
      <c r="CV277" s="35"/>
      <c r="CW277" s="35"/>
      <c r="CX277" s="35"/>
      <c r="CY277" s="35"/>
      <c r="CZ277" s="35"/>
      <c r="DA277" s="35"/>
      <c r="DB277" s="35"/>
      <c r="DC277" s="35"/>
      <c r="DD277" s="35"/>
      <c r="DE277" s="35"/>
      <c r="DF277" s="35"/>
      <c r="DG277" s="35"/>
      <c r="DH277" s="35"/>
      <c r="DI277" s="35"/>
      <c r="DJ277" s="35"/>
      <c r="DK277" s="35"/>
      <c r="DL277" s="35"/>
      <c r="DM277" s="35"/>
      <c r="DN277" s="35"/>
      <c r="DO277" s="35"/>
      <c r="DP277" s="35"/>
      <c r="DQ277" s="35"/>
      <c r="DR277" s="35"/>
      <c r="DS277" s="35"/>
      <c r="DT277" s="35"/>
      <c r="DU277" s="35"/>
      <c r="DV277" s="35"/>
      <c r="DW277" s="28">
        <f t="shared" si="13"/>
        <v>0</v>
      </c>
      <c r="DX277" s="5"/>
    </row>
    <row r="278" spans="1:151" s="33" customFormat="1" x14ac:dyDescent="0.2">
      <c r="A278" s="47" t="s">
        <v>234</v>
      </c>
      <c r="B278" s="60">
        <f t="shared" si="12"/>
        <v>0</v>
      </c>
      <c r="C278" s="52">
        <v>10</v>
      </c>
      <c r="D278" s="54">
        <v>44704</v>
      </c>
      <c r="E278" s="62">
        <v>40.130000000000003</v>
      </c>
      <c r="F278" s="62">
        <f t="shared" si="11"/>
        <v>0</v>
      </c>
      <c r="G278" s="60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1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BH278" s="35"/>
      <c r="BI278" s="35"/>
      <c r="BJ278" s="35"/>
      <c r="BK278" s="35"/>
      <c r="BL278" s="35"/>
      <c r="BM278" s="35"/>
      <c r="BN278" s="35"/>
      <c r="BO278" s="35"/>
      <c r="BP278" s="35"/>
      <c r="BQ278" s="35"/>
      <c r="BR278" s="35"/>
      <c r="BS278" s="35"/>
      <c r="BT278" s="35"/>
      <c r="BU278" s="35"/>
      <c r="BV278" s="35"/>
      <c r="BW278" s="35"/>
      <c r="BX278" s="35"/>
      <c r="BY278" s="35"/>
      <c r="BZ278" s="35"/>
      <c r="CA278" s="35"/>
      <c r="CB278" s="35"/>
      <c r="CC278" s="35"/>
      <c r="CD278" s="35"/>
      <c r="CE278" s="35"/>
      <c r="CF278" s="35"/>
      <c r="CG278" s="35"/>
      <c r="CH278" s="35"/>
      <c r="CI278" s="35"/>
      <c r="CJ278" s="35"/>
      <c r="CK278" s="35"/>
      <c r="CL278" s="35"/>
      <c r="CM278" s="35"/>
      <c r="CN278" s="35"/>
      <c r="CO278" s="35"/>
      <c r="CP278" s="35"/>
      <c r="CQ278" s="35"/>
      <c r="CR278" s="35"/>
      <c r="CS278" s="35"/>
      <c r="CT278" s="35"/>
      <c r="CU278" s="35"/>
      <c r="CV278" s="35"/>
      <c r="CW278" s="35"/>
      <c r="CX278" s="35"/>
      <c r="CY278" s="35"/>
      <c r="CZ278" s="35"/>
      <c r="DA278" s="35"/>
      <c r="DB278" s="35"/>
      <c r="DC278" s="35"/>
      <c r="DD278" s="35"/>
      <c r="DE278" s="35"/>
      <c r="DF278" s="35"/>
      <c r="DG278" s="35"/>
      <c r="DH278" s="35"/>
      <c r="DI278" s="35"/>
      <c r="DJ278" s="35"/>
      <c r="DK278" s="35"/>
      <c r="DL278" s="35"/>
      <c r="DM278" s="35"/>
      <c r="DN278" s="35"/>
      <c r="DO278" s="35"/>
      <c r="DP278" s="35"/>
      <c r="DQ278" s="35"/>
      <c r="DR278" s="35"/>
      <c r="DS278" s="35"/>
      <c r="DT278" s="35"/>
      <c r="DU278" s="35"/>
      <c r="DV278" s="35"/>
      <c r="DW278" s="28">
        <f t="shared" si="13"/>
        <v>0</v>
      </c>
      <c r="DX278" s="5"/>
    </row>
    <row r="279" spans="1:151" s="33" customFormat="1" x14ac:dyDescent="0.2">
      <c r="A279" s="47" t="s">
        <v>129</v>
      </c>
      <c r="B279" s="60">
        <f t="shared" si="12"/>
        <v>5</v>
      </c>
      <c r="C279" s="52">
        <v>10</v>
      </c>
      <c r="D279" s="54">
        <v>44543</v>
      </c>
      <c r="E279" s="62">
        <v>24.84</v>
      </c>
      <c r="F279" s="62">
        <f t="shared" si="11"/>
        <v>124.2</v>
      </c>
      <c r="G279" s="60">
        <v>5</v>
      </c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111">
        <v>5</v>
      </c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  <c r="AY279" s="35"/>
      <c r="AZ279" s="35"/>
      <c r="BA279" s="35"/>
      <c r="BB279" s="35"/>
      <c r="BC279" s="35"/>
      <c r="BD279" s="35"/>
      <c r="BE279" s="35"/>
      <c r="BF279" s="35"/>
      <c r="BG279" s="35"/>
      <c r="BH279" s="35"/>
      <c r="BI279" s="35"/>
      <c r="BJ279" s="35"/>
      <c r="BK279" s="35"/>
      <c r="BL279" s="35"/>
      <c r="BM279" s="35"/>
      <c r="BN279" s="35"/>
      <c r="BO279" s="35"/>
      <c r="BP279" s="35"/>
      <c r="BQ279" s="35"/>
      <c r="BR279" s="35"/>
      <c r="BS279" s="35"/>
      <c r="BT279" s="35"/>
      <c r="BU279" s="35"/>
      <c r="BV279" s="35"/>
      <c r="BW279" s="35"/>
      <c r="BX279" s="35"/>
      <c r="BY279" s="35"/>
      <c r="BZ279" s="35"/>
      <c r="CA279" s="35"/>
      <c r="CB279" s="35"/>
      <c r="CC279" s="35"/>
      <c r="CD279" s="35"/>
      <c r="CE279" s="35"/>
      <c r="CF279" s="35"/>
      <c r="CG279" s="35"/>
      <c r="CH279" s="35"/>
      <c r="CI279" s="35"/>
      <c r="CJ279" s="35"/>
      <c r="CK279" s="35"/>
      <c r="CL279" s="35"/>
      <c r="CM279" s="35"/>
      <c r="CN279" s="35"/>
      <c r="CO279" s="35"/>
      <c r="CP279" s="35"/>
      <c r="CQ279" s="35"/>
      <c r="CR279" s="35"/>
      <c r="CS279" s="35"/>
      <c r="CT279" s="35"/>
      <c r="CU279" s="35"/>
      <c r="CV279" s="35"/>
      <c r="CW279" s="35"/>
      <c r="CX279" s="35"/>
      <c r="CY279" s="35"/>
      <c r="CZ279" s="35"/>
      <c r="DA279" s="35"/>
      <c r="DB279" s="35"/>
      <c r="DC279" s="35"/>
      <c r="DD279" s="35"/>
      <c r="DE279" s="35"/>
      <c r="DF279" s="35"/>
      <c r="DG279" s="35"/>
      <c r="DH279" s="35"/>
      <c r="DI279" s="35"/>
      <c r="DJ279" s="35"/>
      <c r="DK279" s="35"/>
      <c r="DL279" s="35"/>
      <c r="DM279" s="35"/>
      <c r="DN279" s="35"/>
      <c r="DO279" s="35"/>
      <c r="DP279" s="35"/>
      <c r="DQ279" s="35"/>
      <c r="DR279" s="35"/>
      <c r="DS279" s="35"/>
      <c r="DT279" s="35"/>
      <c r="DU279" s="35"/>
      <c r="DV279" s="35"/>
      <c r="DW279" s="28">
        <f t="shared" si="13"/>
        <v>0</v>
      </c>
      <c r="DX279" s="5"/>
    </row>
    <row r="280" spans="1:151" s="33" customFormat="1" x14ac:dyDescent="0.2">
      <c r="A280" s="47" t="s">
        <v>68</v>
      </c>
      <c r="B280" s="60">
        <f t="shared" si="12"/>
        <v>0</v>
      </c>
      <c r="C280" s="52">
        <v>10</v>
      </c>
      <c r="D280" s="54">
        <v>44851</v>
      </c>
      <c r="E280" s="62">
        <v>36.89</v>
      </c>
      <c r="F280" s="62">
        <f t="shared" si="11"/>
        <v>0</v>
      </c>
      <c r="G280" s="60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1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  <c r="AY280" s="35"/>
      <c r="AZ280" s="35"/>
      <c r="BA280" s="35"/>
      <c r="BB280" s="35"/>
      <c r="BC280" s="35"/>
      <c r="BD280" s="35"/>
      <c r="BE280" s="35"/>
      <c r="BF280" s="35"/>
      <c r="BG280" s="35"/>
      <c r="BH280" s="35"/>
      <c r="BI280" s="35"/>
      <c r="BJ280" s="35"/>
      <c r="BK280" s="35"/>
      <c r="BL280" s="35"/>
      <c r="BM280" s="35"/>
      <c r="BN280" s="35"/>
      <c r="BO280" s="35"/>
      <c r="BP280" s="35"/>
      <c r="BQ280" s="35"/>
      <c r="BR280" s="35"/>
      <c r="BS280" s="35"/>
      <c r="BT280" s="35"/>
      <c r="BU280" s="35"/>
      <c r="BV280" s="35"/>
      <c r="BW280" s="35"/>
      <c r="BX280" s="35"/>
      <c r="BY280" s="35"/>
      <c r="BZ280" s="35"/>
      <c r="CA280" s="35"/>
      <c r="CB280" s="35"/>
      <c r="CC280" s="35"/>
      <c r="CD280" s="35"/>
      <c r="CE280" s="35"/>
      <c r="CF280" s="35"/>
      <c r="CG280" s="35"/>
      <c r="CH280" s="35"/>
      <c r="CI280" s="35"/>
      <c r="CJ280" s="35"/>
      <c r="CK280" s="35"/>
      <c r="CL280" s="35"/>
      <c r="CM280" s="35"/>
      <c r="CN280" s="35"/>
      <c r="CO280" s="35"/>
      <c r="CP280" s="35"/>
      <c r="CQ280" s="35"/>
      <c r="CR280" s="35"/>
      <c r="CS280" s="35"/>
      <c r="CT280" s="35"/>
      <c r="CU280" s="35"/>
      <c r="CV280" s="35"/>
      <c r="CW280" s="35"/>
      <c r="CX280" s="35"/>
      <c r="CY280" s="35"/>
      <c r="CZ280" s="35"/>
      <c r="DA280" s="35"/>
      <c r="DB280" s="35"/>
      <c r="DC280" s="35"/>
      <c r="DD280" s="35"/>
      <c r="DE280" s="35"/>
      <c r="DF280" s="35"/>
      <c r="DG280" s="35"/>
      <c r="DH280" s="35"/>
      <c r="DI280" s="35"/>
      <c r="DJ280" s="35"/>
      <c r="DK280" s="35"/>
      <c r="DL280" s="35"/>
      <c r="DM280" s="35"/>
      <c r="DN280" s="35"/>
      <c r="DO280" s="35"/>
      <c r="DP280" s="35"/>
      <c r="DQ280" s="35"/>
      <c r="DR280" s="35"/>
      <c r="DS280" s="35"/>
      <c r="DT280" s="35"/>
      <c r="DU280" s="35"/>
      <c r="DV280" s="35"/>
      <c r="DW280" s="28">
        <f t="shared" si="13"/>
        <v>0</v>
      </c>
      <c r="DX280" s="5"/>
    </row>
    <row r="281" spans="1:151" x14ac:dyDescent="0.2">
      <c r="A281" s="47" t="s">
        <v>139</v>
      </c>
      <c r="B281" s="60">
        <f t="shared" si="12"/>
        <v>1.8</v>
      </c>
      <c r="C281" s="52">
        <v>0.9</v>
      </c>
      <c r="D281" s="55">
        <v>44914</v>
      </c>
      <c r="E281" s="62">
        <v>50.11</v>
      </c>
      <c r="F281" s="62">
        <f t="shared" si="11"/>
        <v>90.198000000000008</v>
      </c>
      <c r="G281" s="60">
        <v>1.8</v>
      </c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1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  <c r="AY281" s="35"/>
      <c r="AZ281" s="35"/>
      <c r="BA281" s="35"/>
      <c r="BB281" s="35"/>
      <c r="BC281" s="35"/>
      <c r="BD281" s="35"/>
      <c r="BE281" s="35"/>
      <c r="BF281" s="35"/>
      <c r="BG281" s="35">
        <v>1.8</v>
      </c>
      <c r="BH281" s="35"/>
      <c r="BI281" s="35"/>
      <c r="BJ281" s="35"/>
      <c r="BK281" s="35"/>
      <c r="BL281" s="35"/>
      <c r="BM281" s="35"/>
      <c r="BN281" s="35"/>
      <c r="BO281" s="35"/>
      <c r="BP281" s="35"/>
      <c r="BQ281" s="35"/>
      <c r="BR281" s="35"/>
      <c r="BS281" s="35"/>
      <c r="BT281" s="35"/>
      <c r="BU281" s="35"/>
      <c r="BV281" s="35"/>
      <c r="BW281" s="35"/>
      <c r="BX281" s="35"/>
      <c r="BY281" s="35"/>
      <c r="BZ281" s="35"/>
      <c r="CA281" s="35"/>
      <c r="CB281" s="35"/>
      <c r="CC281" s="35"/>
      <c r="CD281" s="35"/>
      <c r="CE281" s="35"/>
      <c r="CF281" s="35"/>
      <c r="CG281" s="35"/>
      <c r="CH281" s="35"/>
      <c r="CI281" s="35"/>
      <c r="CJ281" s="35"/>
      <c r="CK281" s="35"/>
      <c r="CL281" s="35"/>
      <c r="CM281" s="35"/>
      <c r="CN281" s="35"/>
      <c r="CO281" s="35"/>
      <c r="CP281" s="35"/>
      <c r="CQ281" s="35"/>
      <c r="CR281" s="35"/>
      <c r="CS281" s="35"/>
      <c r="CT281" s="35"/>
      <c r="CU281" s="35"/>
      <c r="CV281" s="35"/>
      <c r="CW281" s="35"/>
      <c r="CX281" s="35"/>
      <c r="CY281" s="35"/>
      <c r="CZ281" s="35"/>
      <c r="DA281" s="35"/>
      <c r="DB281" s="35"/>
      <c r="DC281" s="35"/>
      <c r="DD281" s="35"/>
      <c r="DE281" s="35"/>
      <c r="DF281" s="35"/>
      <c r="DG281" s="35"/>
      <c r="DH281" s="35"/>
      <c r="DI281" s="35"/>
      <c r="DJ281" s="35"/>
      <c r="DK281" s="35"/>
      <c r="DL281" s="35"/>
      <c r="DM281" s="35"/>
      <c r="DN281" s="35"/>
      <c r="DO281" s="35"/>
      <c r="DP281" s="35"/>
      <c r="DQ281" s="35"/>
      <c r="DR281" s="35"/>
      <c r="DS281" s="35"/>
      <c r="DT281" s="35"/>
      <c r="DU281" s="35"/>
      <c r="DV281" s="35"/>
      <c r="DW281" s="28">
        <f t="shared" si="13"/>
        <v>0</v>
      </c>
      <c r="DX281" s="5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</row>
    <row r="282" spans="1:151" x14ac:dyDescent="0.2">
      <c r="A282" s="39" t="s">
        <v>62</v>
      </c>
      <c r="B282" s="60">
        <f t="shared" si="12"/>
        <v>40</v>
      </c>
      <c r="C282" s="52">
        <v>10</v>
      </c>
      <c r="D282" s="55">
        <v>44897</v>
      </c>
      <c r="E282" s="62">
        <v>35.130000000000003</v>
      </c>
      <c r="F282" s="62">
        <f t="shared" si="11"/>
        <v>1405.2</v>
      </c>
      <c r="G282" s="60">
        <v>40</v>
      </c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1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  <c r="AY282" s="35"/>
      <c r="AZ282" s="35"/>
      <c r="BA282" s="35"/>
      <c r="BB282" s="35"/>
      <c r="BC282" s="35"/>
      <c r="BD282" s="35"/>
      <c r="BE282" s="35"/>
      <c r="BF282" s="35"/>
      <c r="BG282" s="35"/>
      <c r="BH282" s="35"/>
      <c r="BI282" s="35"/>
      <c r="BJ282" s="35"/>
      <c r="BK282" s="35"/>
      <c r="BL282" s="35"/>
      <c r="BM282" s="35"/>
      <c r="BN282" s="35"/>
      <c r="BO282" s="35"/>
      <c r="BP282" s="35"/>
      <c r="BQ282" s="35"/>
      <c r="BR282" s="35"/>
      <c r="BS282" s="35"/>
      <c r="BT282" s="35"/>
      <c r="BU282" s="35"/>
      <c r="BV282" s="35"/>
      <c r="BW282" s="35"/>
      <c r="BX282" s="35"/>
      <c r="BY282" s="35"/>
      <c r="BZ282" s="35"/>
      <c r="CA282" s="35"/>
      <c r="CB282" s="35"/>
      <c r="CC282" s="35"/>
      <c r="CD282" s="35"/>
      <c r="CE282" s="35"/>
      <c r="CF282" s="35"/>
      <c r="CG282" s="35"/>
      <c r="CH282" s="35"/>
      <c r="CI282" s="35"/>
      <c r="CJ282" s="35"/>
      <c r="CK282" s="35"/>
      <c r="CL282" s="35"/>
      <c r="CM282" s="35"/>
      <c r="CN282" s="35"/>
      <c r="CO282" s="35"/>
      <c r="CP282" s="35"/>
      <c r="CQ282" s="35"/>
      <c r="CR282" s="35"/>
      <c r="CS282" s="35"/>
      <c r="CT282" s="35"/>
      <c r="CU282" s="35"/>
      <c r="CV282" s="35"/>
      <c r="CW282" s="35"/>
      <c r="CX282" s="35"/>
      <c r="CY282" s="35"/>
      <c r="CZ282" s="35"/>
      <c r="DA282" s="35"/>
      <c r="DB282" s="35"/>
      <c r="DC282" s="35"/>
      <c r="DD282" s="35"/>
      <c r="DE282" s="35"/>
      <c r="DF282" s="35"/>
      <c r="DG282" s="35"/>
      <c r="DH282" s="35"/>
      <c r="DI282" s="35"/>
      <c r="DJ282" s="35"/>
      <c r="DK282" s="35"/>
      <c r="DL282" s="35"/>
      <c r="DM282" s="35"/>
      <c r="DN282" s="35"/>
      <c r="DO282" s="35"/>
      <c r="DP282" s="35"/>
      <c r="DQ282" s="35"/>
      <c r="DR282" s="35"/>
      <c r="DS282" s="35"/>
      <c r="DT282" s="35"/>
      <c r="DU282" s="35"/>
      <c r="DV282" s="35">
        <v>40</v>
      </c>
      <c r="DW282" s="28">
        <f t="shared" si="13"/>
        <v>0</v>
      </c>
      <c r="DX282" s="5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</row>
    <row r="283" spans="1:151" x14ac:dyDescent="0.2">
      <c r="A283" s="39" t="s">
        <v>62</v>
      </c>
      <c r="B283" s="60">
        <f t="shared" si="12"/>
        <v>0</v>
      </c>
      <c r="C283" s="52">
        <v>1</v>
      </c>
      <c r="D283" s="55">
        <v>44956</v>
      </c>
      <c r="E283" s="62">
        <v>37.83</v>
      </c>
      <c r="F283" s="62">
        <f t="shared" si="11"/>
        <v>0</v>
      </c>
      <c r="G283" s="60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15"/>
      <c r="V283" s="35"/>
      <c r="W283" s="35"/>
      <c r="X283" s="35">
        <v>1</v>
      </c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>
        <v>3</v>
      </c>
      <c r="AQ283" s="35"/>
      <c r="AR283" s="35"/>
      <c r="AS283" s="35"/>
      <c r="AT283" s="35"/>
      <c r="AU283" s="35"/>
      <c r="AV283" s="35"/>
      <c r="AW283" s="35"/>
      <c r="AX283" s="35"/>
      <c r="AY283" s="35"/>
      <c r="AZ283" s="35"/>
      <c r="BA283" s="35"/>
      <c r="BB283" s="35"/>
      <c r="BC283" s="35"/>
      <c r="BD283" s="35"/>
      <c r="BE283" s="35"/>
      <c r="BF283" s="35"/>
      <c r="BG283" s="35"/>
      <c r="BH283" s="35"/>
      <c r="BI283" s="35"/>
      <c r="BJ283" s="35"/>
      <c r="BK283" s="35"/>
      <c r="BL283" s="35"/>
      <c r="BM283" s="35"/>
      <c r="BN283" s="35"/>
      <c r="BO283" s="35"/>
      <c r="BP283" s="35"/>
      <c r="BQ283" s="35"/>
      <c r="BR283" s="35"/>
      <c r="BS283" s="35"/>
      <c r="BT283" s="35"/>
      <c r="BU283" s="35"/>
      <c r="BV283" s="35"/>
      <c r="BW283" s="35"/>
      <c r="BX283" s="35"/>
      <c r="BY283" s="35"/>
      <c r="BZ283" s="35"/>
      <c r="CA283" s="35"/>
      <c r="CB283" s="35"/>
      <c r="CC283" s="35"/>
      <c r="CD283" s="35"/>
      <c r="CE283" s="35"/>
      <c r="CF283" s="35"/>
      <c r="CG283" s="35"/>
      <c r="CH283" s="35"/>
      <c r="CI283" s="35"/>
      <c r="CJ283" s="35"/>
      <c r="CK283" s="35"/>
      <c r="CL283" s="35"/>
      <c r="CM283" s="35"/>
      <c r="CN283" s="35"/>
      <c r="CO283" s="35"/>
      <c r="CP283" s="35"/>
      <c r="CQ283" s="35"/>
      <c r="CR283" s="35"/>
      <c r="CS283" s="35"/>
      <c r="CT283" s="35"/>
      <c r="CU283" s="35"/>
      <c r="CV283" s="35"/>
      <c r="CW283" s="35"/>
      <c r="CX283" s="35"/>
      <c r="CY283" s="35"/>
      <c r="CZ283" s="35"/>
      <c r="DA283" s="35"/>
      <c r="DB283" s="35">
        <v>4</v>
      </c>
      <c r="DC283" s="35"/>
      <c r="DD283" s="35"/>
      <c r="DE283" s="35"/>
      <c r="DF283" s="35"/>
      <c r="DG283" s="35"/>
      <c r="DH283" s="35"/>
      <c r="DI283" s="35"/>
      <c r="DJ283" s="35"/>
      <c r="DK283" s="35"/>
      <c r="DL283" s="35"/>
      <c r="DM283" s="35"/>
      <c r="DN283" s="35"/>
      <c r="DO283" s="35"/>
      <c r="DP283" s="35"/>
      <c r="DQ283" s="35"/>
      <c r="DR283" s="35"/>
      <c r="DS283" s="35"/>
      <c r="DT283" s="35"/>
      <c r="DU283" s="35"/>
      <c r="DV283" s="35"/>
      <c r="DW283" s="28">
        <f t="shared" si="13"/>
        <v>0</v>
      </c>
      <c r="DX283" s="5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</row>
    <row r="284" spans="1:151" x14ac:dyDescent="0.2">
      <c r="A284" s="39" t="s">
        <v>93</v>
      </c>
      <c r="B284" s="60">
        <f t="shared" si="12"/>
        <v>0</v>
      </c>
      <c r="C284" s="52">
        <v>10</v>
      </c>
      <c r="D284" s="55">
        <v>44879</v>
      </c>
      <c r="E284" s="62">
        <v>44.3</v>
      </c>
      <c r="F284" s="62">
        <f t="shared" si="11"/>
        <v>0</v>
      </c>
      <c r="G284" s="60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1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  <c r="AY284" s="35"/>
      <c r="AZ284" s="35"/>
      <c r="BA284" s="35"/>
      <c r="BB284" s="35"/>
      <c r="BC284" s="35"/>
      <c r="BD284" s="35"/>
      <c r="BE284" s="35"/>
      <c r="BF284" s="35"/>
      <c r="BG284" s="35"/>
      <c r="BH284" s="35"/>
      <c r="BI284" s="35"/>
      <c r="BJ284" s="35"/>
      <c r="BK284" s="35"/>
      <c r="BL284" s="35"/>
      <c r="BM284" s="35"/>
      <c r="BN284" s="35"/>
      <c r="BO284" s="35"/>
      <c r="BP284" s="35"/>
      <c r="BQ284" s="35"/>
      <c r="BR284" s="35"/>
      <c r="BS284" s="35"/>
      <c r="BT284" s="35"/>
      <c r="BU284" s="35"/>
      <c r="BV284" s="35"/>
      <c r="BW284" s="35"/>
      <c r="BX284" s="35"/>
      <c r="BY284" s="35"/>
      <c r="BZ284" s="35"/>
      <c r="CA284" s="35"/>
      <c r="CB284" s="35"/>
      <c r="CC284" s="35"/>
      <c r="CD284" s="35"/>
      <c r="CE284" s="35"/>
      <c r="CF284" s="35"/>
      <c r="CG284" s="35"/>
      <c r="CH284" s="35"/>
      <c r="CI284" s="35"/>
      <c r="CJ284" s="35"/>
      <c r="CK284" s="35"/>
      <c r="CL284" s="35"/>
      <c r="CM284" s="35"/>
      <c r="CN284" s="35"/>
      <c r="CO284" s="35"/>
      <c r="CP284" s="35"/>
      <c r="CQ284" s="35"/>
      <c r="CR284" s="35"/>
      <c r="CS284" s="35"/>
      <c r="CT284" s="35"/>
      <c r="CU284" s="35"/>
      <c r="CV284" s="35"/>
      <c r="CW284" s="35"/>
      <c r="CX284" s="35"/>
      <c r="CY284" s="35"/>
      <c r="CZ284" s="35"/>
      <c r="DA284" s="35"/>
      <c r="DB284" s="35"/>
      <c r="DC284" s="35"/>
      <c r="DD284" s="35"/>
      <c r="DE284" s="35"/>
      <c r="DF284" s="35"/>
      <c r="DG284" s="35"/>
      <c r="DH284" s="35"/>
      <c r="DI284" s="35"/>
      <c r="DJ284" s="35"/>
      <c r="DK284" s="35"/>
      <c r="DL284" s="35"/>
      <c r="DM284" s="35"/>
      <c r="DN284" s="35"/>
      <c r="DO284" s="35"/>
      <c r="DP284" s="35"/>
      <c r="DQ284" s="35"/>
      <c r="DR284" s="35"/>
      <c r="DS284" s="35"/>
      <c r="DT284" s="35"/>
      <c r="DU284" s="35"/>
      <c r="DV284" s="35"/>
      <c r="DW284" s="28">
        <f t="shared" si="13"/>
        <v>0</v>
      </c>
      <c r="DX284" s="5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</row>
    <row r="285" spans="1:151" x14ac:dyDescent="0.2">
      <c r="A285" s="39" t="s">
        <v>454</v>
      </c>
      <c r="B285" s="60">
        <f t="shared" si="12"/>
        <v>0</v>
      </c>
      <c r="C285" s="52">
        <v>1</v>
      </c>
      <c r="D285" s="55">
        <v>44949</v>
      </c>
      <c r="E285" s="62">
        <v>18.989999999999998</v>
      </c>
      <c r="F285" s="62">
        <f t="shared" si="11"/>
        <v>0</v>
      </c>
      <c r="G285" s="60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1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  <c r="AY285" s="35"/>
      <c r="AZ285" s="35"/>
      <c r="BA285" s="35"/>
      <c r="BB285" s="35"/>
      <c r="BC285" s="35"/>
      <c r="BD285" s="35"/>
      <c r="BE285" s="35"/>
      <c r="BF285" s="35">
        <v>5</v>
      </c>
      <c r="BG285" s="35"/>
      <c r="BH285" s="35"/>
      <c r="BI285" s="35"/>
      <c r="BJ285" s="35"/>
      <c r="BK285" s="35"/>
      <c r="BL285" s="35"/>
      <c r="BM285" s="35"/>
      <c r="BN285" s="35"/>
      <c r="BO285" s="35"/>
      <c r="BP285" s="35"/>
      <c r="BQ285" s="35"/>
      <c r="BR285" s="35"/>
      <c r="BS285" s="35"/>
      <c r="BT285" s="35"/>
      <c r="BU285" s="35"/>
      <c r="BV285" s="35"/>
      <c r="BW285" s="35"/>
      <c r="BX285" s="35"/>
      <c r="BY285" s="35"/>
      <c r="BZ285" s="35"/>
      <c r="CA285" s="35"/>
      <c r="CB285" s="35"/>
      <c r="CC285" s="35"/>
      <c r="CD285" s="35"/>
      <c r="CE285" s="35"/>
      <c r="CF285" s="35"/>
      <c r="CG285" s="35"/>
      <c r="CH285" s="35"/>
      <c r="CI285" s="35"/>
      <c r="CJ285" s="35"/>
      <c r="CK285" s="35"/>
      <c r="CL285" s="35"/>
      <c r="CM285" s="35"/>
      <c r="CN285" s="35"/>
      <c r="CO285" s="35"/>
      <c r="CP285" s="35"/>
      <c r="CQ285" s="35"/>
      <c r="CR285" s="35"/>
      <c r="CS285" s="35">
        <v>5</v>
      </c>
      <c r="CT285" s="35"/>
      <c r="CU285" s="35"/>
      <c r="CV285" s="35"/>
      <c r="CW285" s="35"/>
      <c r="CX285" s="35"/>
      <c r="CY285" s="35"/>
      <c r="CZ285" s="35"/>
      <c r="DA285" s="35"/>
      <c r="DB285" s="35"/>
      <c r="DC285" s="35"/>
      <c r="DD285" s="35"/>
      <c r="DE285" s="35"/>
      <c r="DF285" s="35"/>
      <c r="DG285" s="35"/>
      <c r="DH285" s="35"/>
      <c r="DI285" s="35"/>
      <c r="DJ285" s="35"/>
      <c r="DK285" s="35"/>
      <c r="DL285" s="35"/>
      <c r="DM285" s="35"/>
      <c r="DN285" s="35"/>
      <c r="DO285" s="35"/>
      <c r="DP285" s="35"/>
      <c r="DQ285" s="35"/>
      <c r="DR285" s="35"/>
      <c r="DS285" s="35"/>
      <c r="DT285" s="35"/>
      <c r="DU285" s="35"/>
      <c r="DV285" s="35"/>
      <c r="DW285" s="28">
        <f t="shared" si="13"/>
        <v>0</v>
      </c>
      <c r="DX285" s="5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</row>
    <row r="286" spans="1:151" x14ac:dyDescent="0.2">
      <c r="A286" s="39" t="s">
        <v>502</v>
      </c>
      <c r="B286" s="60">
        <f t="shared" si="12"/>
        <v>0</v>
      </c>
      <c r="C286" s="52">
        <v>1</v>
      </c>
      <c r="D286" s="55">
        <v>44956</v>
      </c>
      <c r="E286" s="62">
        <v>37.83</v>
      </c>
      <c r="F286" s="62">
        <f t="shared" si="11"/>
        <v>0</v>
      </c>
      <c r="G286" s="60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1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  <c r="AY286" s="35"/>
      <c r="AZ286" s="35"/>
      <c r="BA286" s="35"/>
      <c r="BB286" s="35"/>
      <c r="BC286" s="35"/>
      <c r="BD286" s="35"/>
      <c r="BE286" s="35"/>
      <c r="BF286" s="35"/>
      <c r="BG286" s="35"/>
      <c r="BH286" s="35"/>
      <c r="BI286" s="35"/>
      <c r="BJ286" s="35"/>
      <c r="BK286" s="35"/>
      <c r="BL286" s="35"/>
      <c r="BM286" s="35"/>
      <c r="BN286" s="35"/>
      <c r="BO286" s="35"/>
      <c r="BP286" s="35"/>
      <c r="BQ286" s="35"/>
      <c r="BR286" s="35"/>
      <c r="BS286" s="35"/>
      <c r="BT286" s="35"/>
      <c r="BU286" s="35"/>
      <c r="BV286" s="35"/>
      <c r="BW286" s="35"/>
      <c r="BX286" s="35"/>
      <c r="BY286" s="35">
        <v>5</v>
      </c>
      <c r="BZ286" s="35"/>
      <c r="CA286" s="35"/>
      <c r="CB286" s="35"/>
      <c r="CC286" s="35"/>
      <c r="CD286" s="35"/>
      <c r="CE286" s="35"/>
      <c r="CF286" s="35"/>
      <c r="CG286" s="35"/>
      <c r="CH286" s="35"/>
      <c r="CI286" s="35"/>
      <c r="CJ286" s="35"/>
      <c r="CK286" s="35"/>
      <c r="CL286" s="35"/>
      <c r="CM286" s="35"/>
      <c r="CN286" s="35"/>
      <c r="CO286" s="35"/>
      <c r="CP286" s="35"/>
      <c r="CQ286" s="35"/>
      <c r="CR286" s="35"/>
      <c r="CS286" s="35"/>
      <c r="CT286" s="35"/>
      <c r="CU286" s="35"/>
      <c r="CV286" s="35"/>
      <c r="CW286" s="35"/>
      <c r="CX286" s="35"/>
      <c r="CY286" s="35"/>
      <c r="CZ286" s="35"/>
      <c r="DA286" s="35"/>
      <c r="DB286" s="35">
        <v>5</v>
      </c>
      <c r="DC286" s="35"/>
      <c r="DD286" s="35"/>
      <c r="DE286" s="35"/>
      <c r="DF286" s="35"/>
      <c r="DG286" s="35"/>
      <c r="DH286" s="35"/>
      <c r="DI286" s="35"/>
      <c r="DJ286" s="35"/>
      <c r="DK286" s="35"/>
      <c r="DL286" s="35"/>
      <c r="DM286" s="35"/>
      <c r="DN286" s="35"/>
      <c r="DO286" s="35"/>
      <c r="DP286" s="35"/>
      <c r="DQ286" s="35"/>
      <c r="DR286" s="35"/>
      <c r="DS286" s="35"/>
      <c r="DT286" s="35"/>
      <c r="DU286" s="35"/>
      <c r="DV286" s="35"/>
      <c r="DW286" s="28">
        <f t="shared" si="13"/>
        <v>0</v>
      </c>
      <c r="DX286" s="5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</row>
    <row r="287" spans="1:151" x14ac:dyDescent="0.2">
      <c r="A287" s="39" t="s">
        <v>502</v>
      </c>
      <c r="B287" s="60">
        <f t="shared" si="12"/>
        <v>0</v>
      </c>
      <c r="C287" s="52">
        <v>10</v>
      </c>
      <c r="D287" s="55">
        <v>44956</v>
      </c>
      <c r="E287" s="62">
        <v>35.700000000000003</v>
      </c>
      <c r="F287" s="62">
        <f t="shared" si="11"/>
        <v>0</v>
      </c>
      <c r="G287" s="60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1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  <c r="AY287" s="35"/>
      <c r="AZ287" s="35"/>
      <c r="BA287" s="35"/>
      <c r="BB287" s="35"/>
      <c r="BC287" s="35"/>
      <c r="BD287" s="35"/>
      <c r="BE287" s="35"/>
      <c r="BF287" s="35"/>
      <c r="BG287" s="35"/>
      <c r="BH287" s="35"/>
      <c r="BI287" s="35"/>
      <c r="BJ287" s="35"/>
      <c r="BK287" s="35"/>
      <c r="BL287" s="35"/>
      <c r="BM287" s="35"/>
      <c r="BN287" s="35"/>
      <c r="BO287" s="35"/>
      <c r="BP287" s="35"/>
      <c r="BQ287" s="35"/>
      <c r="BR287" s="35"/>
      <c r="BS287" s="35"/>
      <c r="BT287" s="35"/>
      <c r="BU287" s="35"/>
      <c r="BV287" s="35"/>
      <c r="BW287" s="35"/>
      <c r="BX287" s="35"/>
      <c r="BY287" s="35">
        <v>20</v>
      </c>
      <c r="BZ287" s="35"/>
      <c r="CA287" s="35"/>
      <c r="CB287" s="35"/>
      <c r="CC287" s="35"/>
      <c r="CD287" s="35"/>
      <c r="CE287" s="35"/>
      <c r="CF287" s="35"/>
      <c r="CG287" s="35"/>
      <c r="CH287" s="35"/>
      <c r="CI287" s="35"/>
      <c r="CJ287" s="35"/>
      <c r="CK287" s="35"/>
      <c r="CL287" s="35"/>
      <c r="CM287" s="35"/>
      <c r="CN287" s="35"/>
      <c r="CO287" s="35"/>
      <c r="CP287" s="35"/>
      <c r="CQ287" s="35"/>
      <c r="CR287" s="35"/>
      <c r="CS287" s="35"/>
      <c r="CT287" s="35"/>
      <c r="CU287" s="35"/>
      <c r="CV287" s="35"/>
      <c r="CW287" s="35"/>
      <c r="CX287" s="35"/>
      <c r="CY287" s="35"/>
      <c r="CZ287" s="35"/>
      <c r="DA287" s="35"/>
      <c r="DB287" s="35">
        <v>20</v>
      </c>
      <c r="DC287" s="35"/>
      <c r="DD287" s="35"/>
      <c r="DE287" s="35"/>
      <c r="DF287" s="35"/>
      <c r="DG287" s="35"/>
      <c r="DH287" s="35"/>
      <c r="DI287" s="35"/>
      <c r="DJ287" s="35"/>
      <c r="DK287" s="35"/>
      <c r="DL287" s="35"/>
      <c r="DM287" s="35"/>
      <c r="DN287" s="35"/>
      <c r="DO287" s="35"/>
      <c r="DP287" s="35"/>
      <c r="DQ287" s="35"/>
      <c r="DR287" s="35"/>
      <c r="DS287" s="35"/>
      <c r="DT287" s="35"/>
      <c r="DU287" s="35"/>
      <c r="DV287" s="35"/>
      <c r="DW287" s="28">
        <f t="shared" si="13"/>
        <v>0</v>
      </c>
      <c r="DX287" s="5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</row>
    <row r="288" spans="1:151" x14ac:dyDescent="0.2">
      <c r="A288" s="39" t="s">
        <v>228</v>
      </c>
      <c r="B288" s="60">
        <f t="shared" si="12"/>
        <v>0</v>
      </c>
      <c r="C288" s="52">
        <v>10</v>
      </c>
      <c r="D288" s="54">
        <v>44879</v>
      </c>
      <c r="E288" s="62">
        <v>46.54</v>
      </c>
      <c r="F288" s="62">
        <f t="shared" si="11"/>
        <v>0</v>
      </c>
      <c r="G288" s="60">
        <v>20</v>
      </c>
      <c r="H288" s="35"/>
      <c r="I288" s="35">
        <v>20</v>
      </c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1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  <c r="AY288" s="35"/>
      <c r="AZ288" s="35"/>
      <c r="BA288" s="35"/>
      <c r="BB288" s="35"/>
      <c r="BC288" s="35"/>
      <c r="BD288" s="35"/>
      <c r="BE288" s="35"/>
      <c r="BF288" s="35"/>
      <c r="BG288" s="35"/>
      <c r="BH288" s="35"/>
      <c r="BI288" s="35"/>
      <c r="BJ288" s="35"/>
      <c r="BK288" s="35"/>
      <c r="BL288" s="35"/>
      <c r="BM288" s="35"/>
      <c r="BN288" s="35"/>
      <c r="BO288" s="35"/>
      <c r="BP288" s="35"/>
      <c r="BQ288" s="35"/>
      <c r="BR288" s="35"/>
      <c r="BS288" s="35"/>
      <c r="BT288" s="35"/>
      <c r="BU288" s="35"/>
      <c r="BV288" s="35"/>
      <c r="BW288" s="35"/>
      <c r="BX288" s="35"/>
      <c r="BY288" s="35"/>
      <c r="BZ288" s="35"/>
      <c r="CA288" s="35"/>
      <c r="CB288" s="35"/>
      <c r="CC288" s="35"/>
      <c r="CD288" s="35"/>
      <c r="CE288" s="35"/>
      <c r="CF288" s="35"/>
      <c r="CG288" s="35"/>
      <c r="CH288" s="35"/>
      <c r="CI288" s="35"/>
      <c r="CJ288" s="35"/>
      <c r="CK288" s="35"/>
      <c r="CL288" s="35"/>
      <c r="CM288" s="35"/>
      <c r="CN288" s="35"/>
      <c r="CO288" s="35"/>
      <c r="CP288" s="35"/>
      <c r="CQ288" s="35"/>
      <c r="CR288" s="35"/>
      <c r="CS288" s="35"/>
      <c r="CT288" s="35"/>
      <c r="CU288" s="35"/>
      <c r="CV288" s="35"/>
      <c r="CW288" s="35"/>
      <c r="CX288" s="35"/>
      <c r="CY288" s="35"/>
      <c r="CZ288" s="35"/>
      <c r="DA288" s="35"/>
      <c r="DB288" s="35"/>
      <c r="DC288" s="35"/>
      <c r="DD288" s="35"/>
      <c r="DE288" s="35"/>
      <c r="DF288" s="35"/>
      <c r="DG288" s="35"/>
      <c r="DH288" s="35"/>
      <c r="DI288" s="35"/>
      <c r="DJ288" s="35"/>
      <c r="DK288" s="35"/>
      <c r="DL288" s="35"/>
      <c r="DM288" s="35"/>
      <c r="DN288" s="35"/>
      <c r="DO288" s="35"/>
      <c r="DP288" s="35"/>
      <c r="DQ288" s="35"/>
      <c r="DR288" s="35"/>
      <c r="DS288" s="35"/>
      <c r="DT288" s="35"/>
      <c r="DU288" s="35"/>
      <c r="DV288" s="35"/>
      <c r="DW288" s="28">
        <f t="shared" si="13"/>
        <v>0</v>
      </c>
      <c r="DX288" s="5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</row>
    <row r="289" spans="1:151" x14ac:dyDescent="0.2">
      <c r="A289" s="39" t="s">
        <v>503</v>
      </c>
      <c r="B289" s="60">
        <f t="shared" si="12"/>
        <v>0</v>
      </c>
      <c r="C289" s="52">
        <v>10</v>
      </c>
      <c r="D289" s="54">
        <v>44970</v>
      </c>
      <c r="E289" s="62">
        <v>41.88</v>
      </c>
      <c r="F289" s="62">
        <f t="shared" si="11"/>
        <v>0</v>
      </c>
      <c r="G289" s="60"/>
      <c r="H289" s="35"/>
      <c r="I289" s="35"/>
      <c r="J289" s="35"/>
      <c r="K289" s="35"/>
      <c r="L289" s="35">
        <v>50</v>
      </c>
      <c r="M289" s="35"/>
      <c r="N289" s="35"/>
      <c r="O289" s="35"/>
      <c r="P289" s="35"/>
      <c r="Q289" s="35"/>
      <c r="R289" s="35"/>
      <c r="S289" s="35"/>
      <c r="T289" s="35"/>
      <c r="U289" s="1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  <c r="AY289" s="35"/>
      <c r="AZ289" s="35"/>
      <c r="BA289" s="35"/>
      <c r="BB289" s="35"/>
      <c r="BC289" s="35"/>
      <c r="BD289" s="35"/>
      <c r="BE289" s="35"/>
      <c r="BF289" s="35"/>
      <c r="BG289" s="35"/>
      <c r="BH289" s="35"/>
      <c r="BI289" s="35"/>
      <c r="BJ289" s="35"/>
      <c r="BK289" s="35"/>
      <c r="BL289" s="35"/>
      <c r="BM289" s="35"/>
      <c r="BN289" s="35"/>
      <c r="BO289" s="35"/>
      <c r="BP289" s="35"/>
      <c r="BQ289" s="35"/>
      <c r="BR289" s="35"/>
      <c r="BS289" s="35"/>
      <c r="BT289" s="35"/>
      <c r="BU289" s="35"/>
      <c r="BV289" s="35"/>
      <c r="BW289" s="35"/>
      <c r="BX289" s="35"/>
      <c r="BY289" s="35"/>
      <c r="BZ289" s="35"/>
      <c r="CA289" s="35"/>
      <c r="CB289" s="35"/>
      <c r="CC289" s="35"/>
      <c r="CD289" s="35"/>
      <c r="CE289" s="35"/>
      <c r="CF289" s="35"/>
      <c r="CG289" s="35"/>
      <c r="CH289" s="35"/>
      <c r="CI289" s="35"/>
      <c r="CJ289" s="35"/>
      <c r="CK289" s="35"/>
      <c r="CL289" s="35"/>
      <c r="CM289" s="35"/>
      <c r="CN289" s="35"/>
      <c r="CO289" s="35"/>
      <c r="CP289" s="35"/>
      <c r="CQ289" s="35"/>
      <c r="CR289" s="35"/>
      <c r="CS289" s="35"/>
      <c r="CT289" s="35"/>
      <c r="CU289" s="35"/>
      <c r="CV289" s="35"/>
      <c r="CW289" s="35"/>
      <c r="CX289" s="35"/>
      <c r="CY289" s="35"/>
      <c r="CZ289" s="35"/>
      <c r="DA289" s="35"/>
      <c r="DB289" s="35"/>
      <c r="DC289" s="35"/>
      <c r="DD289" s="35"/>
      <c r="DE289" s="35"/>
      <c r="DF289" s="35"/>
      <c r="DG289" s="35"/>
      <c r="DH289" s="35"/>
      <c r="DI289" s="35"/>
      <c r="DJ289" s="35"/>
      <c r="DK289" s="35"/>
      <c r="DL289" s="35"/>
      <c r="DM289" s="35"/>
      <c r="DN289" s="35"/>
      <c r="DO289" s="35"/>
      <c r="DP289" s="35"/>
      <c r="DQ289" s="35">
        <v>50</v>
      </c>
      <c r="DR289" s="35"/>
      <c r="DS289" s="35"/>
      <c r="DT289" s="35"/>
      <c r="DU289" s="35"/>
      <c r="DV289" s="35"/>
      <c r="DW289" s="28">
        <f t="shared" si="13"/>
        <v>0</v>
      </c>
      <c r="DX289" s="5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</row>
    <row r="290" spans="1:151" x14ac:dyDescent="0.2">
      <c r="A290" s="39" t="s">
        <v>112</v>
      </c>
      <c r="B290" s="60">
        <f t="shared" si="12"/>
        <v>0</v>
      </c>
      <c r="C290" s="52">
        <v>10</v>
      </c>
      <c r="D290" s="54">
        <v>44970</v>
      </c>
      <c r="E290" s="62">
        <v>29.32</v>
      </c>
      <c r="F290" s="62">
        <f t="shared" ref="F290:F350" si="14">E290*B290</f>
        <v>0</v>
      </c>
      <c r="G290" s="60">
        <v>10</v>
      </c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1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  <c r="AY290" s="35"/>
      <c r="AZ290" s="35"/>
      <c r="BA290" s="35"/>
      <c r="BB290" s="35"/>
      <c r="BC290" s="35"/>
      <c r="BD290" s="35"/>
      <c r="BE290" s="35"/>
      <c r="BF290" s="35"/>
      <c r="BG290" s="35"/>
      <c r="BH290" s="35"/>
      <c r="BI290" s="35"/>
      <c r="BJ290" s="35"/>
      <c r="BK290" s="35"/>
      <c r="BL290" s="35"/>
      <c r="BM290" s="35"/>
      <c r="BN290" s="35"/>
      <c r="BO290" s="35"/>
      <c r="BP290" s="35"/>
      <c r="BQ290" s="35"/>
      <c r="BR290" s="35"/>
      <c r="BS290" s="35"/>
      <c r="BT290" s="35"/>
      <c r="BU290" s="35"/>
      <c r="BV290" s="35"/>
      <c r="BW290" s="35"/>
      <c r="BX290" s="35"/>
      <c r="BY290" s="35">
        <v>3</v>
      </c>
      <c r="BZ290" s="35"/>
      <c r="CA290" s="35"/>
      <c r="CB290" s="35"/>
      <c r="CC290" s="35"/>
      <c r="CD290" s="35"/>
      <c r="CE290" s="35"/>
      <c r="CF290" s="35"/>
      <c r="CG290" s="35"/>
      <c r="CH290" s="35"/>
      <c r="CI290" s="35"/>
      <c r="CJ290" s="35"/>
      <c r="CK290" s="35"/>
      <c r="CL290" s="35"/>
      <c r="CM290" s="35"/>
      <c r="CN290" s="35"/>
      <c r="CO290" s="35">
        <v>10</v>
      </c>
      <c r="CP290" s="35"/>
      <c r="CQ290" s="35"/>
      <c r="CR290" s="35"/>
      <c r="CS290" s="35">
        <v>3</v>
      </c>
      <c r="CT290" s="35"/>
      <c r="CU290" s="35"/>
      <c r="CV290" s="35"/>
      <c r="CW290" s="35"/>
      <c r="CX290" s="35"/>
      <c r="CY290" s="35"/>
      <c r="CZ290" s="35"/>
      <c r="DA290" s="35"/>
      <c r="DB290" s="35"/>
      <c r="DC290" s="35"/>
      <c r="DD290" s="35"/>
      <c r="DE290" s="35"/>
      <c r="DF290" s="35"/>
      <c r="DG290" s="35"/>
      <c r="DH290" s="35"/>
      <c r="DI290" s="35"/>
      <c r="DJ290" s="35"/>
      <c r="DK290" s="35"/>
      <c r="DL290" s="35"/>
      <c r="DM290" s="35"/>
      <c r="DN290" s="35"/>
      <c r="DO290" s="35"/>
      <c r="DP290" s="35"/>
      <c r="DQ290" s="35">
        <v>20</v>
      </c>
      <c r="DR290" s="35"/>
      <c r="DS290" s="35">
        <v>20</v>
      </c>
      <c r="DT290" s="35"/>
      <c r="DU290" s="35"/>
      <c r="DV290" s="35"/>
      <c r="DW290" s="28">
        <f t="shared" si="13"/>
        <v>0</v>
      </c>
      <c r="DX290" s="5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</row>
    <row r="291" spans="1:151" x14ac:dyDescent="0.2">
      <c r="A291" s="39" t="s">
        <v>112</v>
      </c>
      <c r="B291" s="60">
        <f t="shared" si="12"/>
        <v>10</v>
      </c>
      <c r="C291" s="52">
        <v>10</v>
      </c>
      <c r="D291" s="54">
        <v>44949</v>
      </c>
      <c r="E291" s="62">
        <v>29.55</v>
      </c>
      <c r="F291" s="62">
        <f t="shared" si="14"/>
        <v>295.5</v>
      </c>
      <c r="G291" s="60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1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>
        <v>10</v>
      </c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  <c r="AY291" s="35"/>
      <c r="AZ291" s="35"/>
      <c r="BA291" s="35"/>
      <c r="BB291" s="35"/>
      <c r="BC291" s="35"/>
      <c r="BD291" s="35"/>
      <c r="BE291" s="35"/>
      <c r="BF291" s="35"/>
      <c r="BG291" s="35"/>
      <c r="BH291" s="35"/>
      <c r="BI291" s="35"/>
      <c r="BJ291" s="35"/>
      <c r="BK291" s="35"/>
      <c r="BL291" s="35"/>
      <c r="BM291" s="35"/>
      <c r="BN291" s="35"/>
      <c r="BO291" s="35"/>
      <c r="BP291" s="35"/>
      <c r="BQ291" s="35"/>
      <c r="BR291" s="35"/>
      <c r="BS291" s="35"/>
      <c r="BT291" s="35"/>
      <c r="BU291" s="35"/>
      <c r="BV291" s="35"/>
      <c r="BW291" s="35"/>
      <c r="BX291" s="35"/>
      <c r="BY291" s="35">
        <v>40</v>
      </c>
      <c r="BZ291" s="35"/>
      <c r="CA291" s="35"/>
      <c r="CB291" s="35"/>
      <c r="CC291" s="35"/>
      <c r="CD291" s="35"/>
      <c r="CE291" s="35"/>
      <c r="CF291" s="35"/>
      <c r="CG291" s="35"/>
      <c r="CH291" s="35"/>
      <c r="CI291" s="35"/>
      <c r="CJ291" s="35"/>
      <c r="CK291" s="35"/>
      <c r="CL291" s="35"/>
      <c r="CM291" s="35"/>
      <c r="CN291" s="35"/>
      <c r="CO291" s="35"/>
      <c r="CP291" s="35"/>
      <c r="CQ291" s="35"/>
      <c r="CR291" s="35"/>
      <c r="CS291" s="35">
        <v>40</v>
      </c>
      <c r="CT291" s="35"/>
      <c r="CU291" s="35"/>
      <c r="CV291" s="35"/>
      <c r="CW291" s="35"/>
      <c r="CX291" s="35"/>
      <c r="CY291" s="35"/>
      <c r="CZ291" s="35"/>
      <c r="DA291" s="35"/>
      <c r="DB291" s="35">
        <v>10</v>
      </c>
      <c r="DC291" s="35"/>
      <c r="DD291" s="35"/>
      <c r="DE291" s="35"/>
      <c r="DF291" s="35"/>
      <c r="DG291" s="35"/>
      <c r="DH291" s="35"/>
      <c r="DI291" s="35"/>
      <c r="DJ291" s="35"/>
      <c r="DK291" s="35"/>
      <c r="DL291" s="35"/>
      <c r="DM291" s="35"/>
      <c r="DN291" s="35"/>
      <c r="DO291" s="35"/>
      <c r="DP291" s="35"/>
      <c r="DQ291" s="35"/>
      <c r="DR291" s="35"/>
      <c r="DS291" s="35"/>
      <c r="DT291" s="35"/>
      <c r="DU291" s="35"/>
      <c r="DV291" s="35"/>
      <c r="DW291" s="28">
        <f t="shared" si="13"/>
        <v>0</v>
      </c>
      <c r="DX291" s="5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</row>
    <row r="292" spans="1:151" s="33" customFormat="1" ht="12.75" customHeight="1" x14ac:dyDescent="0.2">
      <c r="A292" s="47" t="s">
        <v>19</v>
      </c>
      <c r="B292" s="60">
        <f t="shared" si="12"/>
        <v>60</v>
      </c>
      <c r="C292" s="52">
        <v>10</v>
      </c>
      <c r="D292" s="55">
        <v>44924</v>
      </c>
      <c r="E292" s="62">
        <v>39.909999999999997</v>
      </c>
      <c r="F292" s="62">
        <f t="shared" si="14"/>
        <v>2394.6</v>
      </c>
      <c r="G292" s="60">
        <v>100</v>
      </c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15"/>
      <c r="V292" s="35"/>
      <c r="W292" s="35"/>
      <c r="X292" s="35"/>
      <c r="Y292" s="35"/>
      <c r="Z292" s="35"/>
      <c r="AA292" s="35"/>
      <c r="AB292" s="35"/>
      <c r="AC292" s="35"/>
      <c r="AD292" s="35">
        <v>40</v>
      </c>
      <c r="AE292" s="35"/>
      <c r="AF292" s="35"/>
      <c r="AG292" s="35"/>
      <c r="AH292" s="35"/>
      <c r="AI292" s="35">
        <v>60</v>
      </c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  <c r="AY292" s="35"/>
      <c r="AZ292" s="35"/>
      <c r="BA292" s="35"/>
      <c r="BB292" s="35"/>
      <c r="BC292" s="35"/>
      <c r="BD292" s="35"/>
      <c r="BE292" s="35"/>
      <c r="BF292" s="35"/>
      <c r="BG292" s="35"/>
      <c r="BH292" s="35"/>
      <c r="BI292" s="35"/>
      <c r="BJ292" s="35"/>
      <c r="BK292" s="35"/>
      <c r="BL292" s="35"/>
      <c r="BM292" s="35"/>
      <c r="BN292" s="35"/>
      <c r="BO292" s="35"/>
      <c r="BP292" s="35"/>
      <c r="BQ292" s="35"/>
      <c r="BR292" s="35"/>
      <c r="BS292" s="35"/>
      <c r="BT292" s="35"/>
      <c r="BU292" s="35"/>
      <c r="BV292" s="35"/>
      <c r="BW292" s="35"/>
      <c r="BX292" s="35"/>
      <c r="BY292" s="35"/>
      <c r="BZ292" s="35"/>
      <c r="CA292" s="35"/>
      <c r="CB292" s="35"/>
      <c r="CC292" s="35"/>
      <c r="CD292" s="35"/>
      <c r="CE292" s="35"/>
      <c r="CF292" s="35"/>
      <c r="CG292" s="35"/>
      <c r="CH292" s="35"/>
      <c r="CI292" s="35"/>
      <c r="CJ292" s="35"/>
      <c r="CK292" s="35"/>
      <c r="CL292" s="35"/>
      <c r="CM292" s="35"/>
      <c r="CN292" s="35"/>
      <c r="CO292" s="35"/>
      <c r="CP292" s="35"/>
      <c r="CQ292" s="35"/>
      <c r="CR292" s="35"/>
      <c r="CS292" s="35"/>
      <c r="CT292" s="35"/>
      <c r="CU292" s="35"/>
      <c r="CV292" s="35"/>
      <c r="CW292" s="35"/>
      <c r="CX292" s="35"/>
      <c r="CY292" s="35"/>
      <c r="CZ292" s="35"/>
      <c r="DA292" s="35"/>
      <c r="DB292" s="35"/>
      <c r="DC292" s="35"/>
      <c r="DD292" s="35"/>
      <c r="DE292" s="35"/>
      <c r="DF292" s="35"/>
      <c r="DG292" s="35"/>
      <c r="DH292" s="35"/>
      <c r="DI292" s="35"/>
      <c r="DJ292" s="35"/>
      <c r="DK292" s="35"/>
      <c r="DL292" s="35"/>
      <c r="DM292" s="35"/>
      <c r="DN292" s="35"/>
      <c r="DO292" s="35"/>
      <c r="DP292" s="35"/>
      <c r="DQ292" s="35"/>
      <c r="DR292" s="35"/>
      <c r="DS292" s="35"/>
      <c r="DT292" s="35"/>
      <c r="DU292" s="35"/>
      <c r="DV292" s="35"/>
      <c r="DW292" s="28">
        <f t="shared" si="13"/>
        <v>0</v>
      </c>
      <c r="DX292" s="5"/>
    </row>
    <row r="293" spans="1:151" s="33" customFormat="1" ht="12.75" customHeight="1" x14ac:dyDescent="0.2">
      <c r="A293" s="47" t="s">
        <v>445</v>
      </c>
      <c r="B293" s="60">
        <f t="shared" si="12"/>
        <v>0</v>
      </c>
      <c r="C293" s="52">
        <v>9</v>
      </c>
      <c r="D293" s="55">
        <v>44680</v>
      </c>
      <c r="E293" s="62">
        <v>98.22</v>
      </c>
      <c r="F293" s="62">
        <f>E293*B293</f>
        <v>0</v>
      </c>
      <c r="G293" s="60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1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  <c r="AY293" s="35"/>
      <c r="AZ293" s="35"/>
      <c r="BA293" s="35"/>
      <c r="BB293" s="35"/>
      <c r="BC293" s="35"/>
      <c r="BD293" s="35"/>
      <c r="BE293" s="35"/>
      <c r="BF293" s="35"/>
      <c r="BG293" s="35"/>
      <c r="BH293" s="35"/>
      <c r="BI293" s="35"/>
      <c r="BJ293" s="35"/>
      <c r="BK293" s="35"/>
      <c r="BL293" s="35"/>
      <c r="BM293" s="35"/>
      <c r="BN293" s="35"/>
      <c r="BO293" s="35"/>
      <c r="BP293" s="35"/>
      <c r="BQ293" s="35"/>
      <c r="BR293" s="35"/>
      <c r="BS293" s="35"/>
      <c r="BT293" s="35"/>
      <c r="BU293" s="35"/>
      <c r="BV293" s="35"/>
      <c r="BW293" s="35"/>
      <c r="BX293" s="35"/>
      <c r="BY293" s="35"/>
      <c r="BZ293" s="35"/>
      <c r="CA293" s="35"/>
      <c r="CB293" s="35"/>
      <c r="CC293" s="35"/>
      <c r="CD293" s="35"/>
      <c r="CE293" s="35"/>
      <c r="CF293" s="35"/>
      <c r="CG293" s="35"/>
      <c r="CH293" s="35"/>
      <c r="CI293" s="35"/>
      <c r="CJ293" s="35"/>
      <c r="CK293" s="35"/>
      <c r="CL293" s="35"/>
      <c r="CM293" s="35"/>
      <c r="CN293" s="35"/>
      <c r="CO293" s="35"/>
      <c r="CP293" s="35"/>
      <c r="CQ293" s="35"/>
      <c r="CR293" s="35"/>
      <c r="CS293" s="35"/>
      <c r="CT293" s="35"/>
      <c r="CU293" s="35"/>
      <c r="CV293" s="35"/>
      <c r="CW293" s="35"/>
      <c r="CX293" s="35"/>
      <c r="CY293" s="35"/>
      <c r="CZ293" s="35"/>
      <c r="DA293" s="35"/>
      <c r="DB293" s="35"/>
      <c r="DC293" s="35"/>
      <c r="DD293" s="35"/>
      <c r="DE293" s="35"/>
      <c r="DF293" s="35"/>
      <c r="DG293" s="35"/>
      <c r="DH293" s="35"/>
      <c r="DI293" s="35"/>
      <c r="DJ293" s="35"/>
      <c r="DK293" s="35"/>
      <c r="DL293" s="35"/>
      <c r="DM293" s="35"/>
      <c r="DN293" s="35"/>
      <c r="DO293" s="35"/>
      <c r="DP293" s="35"/>
      <c r="DQ293" s="35"/>
      <c r="DR293" s="35"/>
      <c r="DS293" s="35"/>
      <c r="DT293" s="35"/>
      <c r="DU293" s="35"/>
      <c r="DV293" s="35"/>
      <c r="DW293" s="28">
        <f t="shared" si="13"/>
        <v>0</v>
      </c>
      <c r="DX293" s="5"/>
    </row>
    <row r="294" spans="1:151" s="33" customFormat="1" ht="12.75" customHeight="1" x14ac:dyDescent="0.2">
      <c r="A294" s="47" t="s">
        <v>245</v>
      </c>
      <c r="B294" s="60">
        <f t="shared" si="12"/>
        <v>0</v>
      </c>
      <c r="C294" s="52">
        <v>10</v>
      </c>
      <c r="D294" s="55">
        <v>44593</v>
      </c>
      <c r="E294" s="62">
        <v>30.84</v>
      </c>
      <c r="F294" s="62">
        <f t="shared" si="14"/>
        <v>0</v>
      </c>
      <c r="G294" s="60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1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  <c r="AY294" s="35"/>
      <c r="AZ294" s="35"/>
      <c r="BA294" s="35"/>
      <c r="BB294" s="35"/>
      <c r="BC294" s="35"/>
      <c r="BD294" s="35"/>
      <c r="BE294" s="35"/>
      <c r="BF294" s="35"/>
      <c r="BG294" s="35"/>
      <c r="BH294" s="35"/>
      <c r="BI294" s="35"/>
      <c r="BJ294" s="35"/>
      <c r="BK294" s="35"/>
      <c r="BL294" s="35"/>
      <c r="BM294" s="35"/>
      <c r="BN294" s="35"/>
      <c r="BO294" s="35"/>
      <c r="BP294" s="35"/>
      <c r="BQ294" s="35"/>
      <c r="BR294" s="35"/>
      <c r="BS294" s="35"/>
      <c r="BT294" s="35"/>
      <c r="BU294" s="35"/>
      <c r="BV294" s="35"/>
      <c r="BW294" s="35"/>
      <c r="BX294" s="35"/>
      <c r="BY294" s="35"/>
      <c r="BZ294" s="35"/>
      <c r="CA294" s="35"/>
      <c r="CB294" s="35"/>
      <c r="CC294" s="35"/>
      <c r="CD294" s="35"/>
      <c r="CE294" s="35"/>
      <c r="CF294" s="35"/>
      <c r="CG294" s="35"/>
      <c r="CH294" s="35"/>
      <c r="CI294" s="35"/>
      <c r="CJ294" s="35"/>
      <c r="CK294" s="35"/>
      <c r="CL294" s="35"/>
      <c r="CM294" s="35"/>
      <c r="CN294" s="35"/>
      <c r="CO294" s="35"/>
      <c r="CP294" s="35"/>
      <c r="CQ294" s="35"/>
      <c r="CR294" s="35"/>
      <c r="CS294" s="35"/>
      <c r="CT294" s="35"/>
      <c r="CU294" s="35"/>
      <c r="CV294" s="35"/>
      <c r="CW294" s="35"/>
      <c r="CX294" s="35"/>
      <c r="CY294" s="35"/>
      <c r="CZ294" s="35"/>
      <c r="DA294" s="35"/>
      <c r="DB294" s="35"/>
      <c r="DC294" s="35"/>
      <c r="DD294" s="35"/>
      <c r="DE294" s="35"/>
      <c r="DF294" s="35"/>
      <c r="DG294" s="35"/>
      <c r="DH294" s="35"/>
      <c r="DI294" s="35"/>
      <c r="DJ294" s="35"/>
      <c r="DK294" s="35"/>
      <c r="DL294" s="35"/>
      <c r="DM294" s="35"/>
      <c r="DN294" s="35"/>
      <c r="DO294" s="35"/>
      <c r="DP294" s="35"/>
      <c r="DQ294" s="35"/>
      <c r="DR294" s="35"/>
      <c r="DS294" s="35"/>
      <c r="DT294" s="35"/>
      <c r="DU294" s="35"/>
      <c r="DV294" s="35"/>
      <c r="DW294" s="28">
        <f t="shared" si="13"/>
        <v>0</v>
      </c>
      <c r="DX294" s="5"/>
    </row>
    <row r="295" spans="1:151" s="33" customFormat="1" ht="12.75" customHeight="1" x14ac:dyDescent="0.2">
      <c r="A295" s="47" t="s">
        <v>203</v>
      </c>
      <c r="B295" s="60">
        <f t="shared" si="12"/>
        <v>140</v>
      </c>
      <c r="C295" s="52">
        <v>10</v>
      </c>
      <c r="D295" s="54">
        <v>44949</v>
      </c>
      <c r="E295" s="62">
        <v>29.55</v>
      </c>
      <c r="F295" s="62">
        <f t="shared" si="14"/>
        <v>4137</v>
      </c>
      <c r="G295" s="60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1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>
        <v>160</v>
      </c>
      <c r="AL295" s="35">
        <v>140</v>
      </c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  <c r="AY295" s="35"/>
      <c r="AZ295" s="35"/>
      <c r="BA295" s="35"/>
      <c r="BB295" s="35"/>
      <c r="BC295" s="35"/>
      <c r="BD295" s="35"/>
      <c r="BE295" s="35"/>
      <c r="BF295" s="35"/>
      <c r="BG295" s="35"/>
      <c r="BH295" s="35"/>
      <c r="BI295" s="35"/>
      <c r="BJ295" s="35"/>
      <c r="BK295" s="35"/>
      <c r="BL295" s="35"/>
      <c r="BM295" s="35"/>
      <c r="BN295" s="35"/>
      <c r="BO295" s="35"/>
      <c r="BP295" s="35"/>
      <c r="BQ295" s="35"/>
      <c r="BR295" s="35"/>
      <c r="BS295" s="35"/>
      <c r="BT295" s="35"/>
      <c r="BU295" s="35"/>
      <c r="BV295" s="35"/>
      <c r="BW295" s="35"/>
      <c r="BX295" s="35"/>
      <c r="BY295" s="35"/>
      <c r="BZ295" s="35"/>
      <c r="CA295" s="35"/>
      <c r="CB295" s="35"/>
      <c r="CC295" s="35"/>
      <c r="CD295" s="35"/>
      <c r="CE295" s="35"/>
      <c r="CF295" s="35"/>
      <c r="CG295" s="35"/>
      <c r="CH295" s="35"/>
      <c r="CI295" s="35"/>
      <c r="CJ295" s="35"/>
      <c r="CK295" s="35"/>
      <c r="CL295" s="35"/>
      <c r="CM295" s="35"/>
      <c r="CN295" s="35"/>
      <c r="CO295" s="35"/>
      <c r="CP295" s="35"/>
      <c r="CQ295" s="35"/>
      <c r="CR295" s="35"/>
      <c r="CS295" s="35">
        <v>300</v>
      </c>
      <c r="CT295" s="35"/>
      <c r="CU295" s="35"/>
      <c r="CV295" s="35"/>
      <c r="CW295" s="35"/>
      <c r="CX295" s="35"/>
      <c r="CY295" s="35"/>
      <c r="CZ295" s="35"/>
      <c r="DA295" s="35"/>
      <c r="DB295" s="35"/>
      <c r="DC295" s="35"/>
      <c r="DD295" s="35"/>
      <c r="DE295" s="35"/>
      <c r="DF295" s="35"/>
      <c r="DG295" s="35"/>
      <c r="DH295" s="35"/>
      <c r="DI295" s="35"/>
      <c r="DJ295" s="35"/>
      <c r="DK295" s="35"/>
      <c r="DL295" s="35"/>
      <c r="DM295" s="35"/>
      <c r="DN295" s="35"/>
      <c r="DO295" s="35"/>
      <c r="DP295" s="35"/>
      <c r="DQ295" s="35"/>
      <c r="DR295" s="35"/>
      <c r="DS295" s="35"/>
      <c r="DT295" s="35"/>
      <c r="DU295" s="35"/>
      <c r="DV295" s="35"/>
      <c r="DW295" s="28">
        <f t="shared" si="13"/>
        <v>0</v>
      </c>
      <c r="DX295" s="5"/>
    </row>
    <row r="296" spans="1:151" ht="12.75" customHeight="1" x14ac:dyDescent="0.2">
      <c r="A296" s="39" t="s">
        <v>113</v>
      </c>
      <c r="B296" s="60">
        <f t="shared" si="12"/>
        <v>0</v>
      </c>
      <c r="C296" s="52">
        <v>10</v>
      </c>
      <c r="D296" s="55">
        <v>44914</v>
      </c>
      <c r="E296" s="62">
        <v>37.04</v>
      </c>
      <c r="F296" s="62">
        <f t="shared" si="14"/>
        <v>0</v>
      </c>
      <c r="G296" s="60">
        <v>140</v>
      </c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1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>
        <v>60</v>
      </c>
      <c r="AK296" s="35">
        <v>80</v>
      </c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  <c r="AY296" s="35"/>
      <c r="AZ296" s="35"/>
      <c r="BA296" s="35"/>
      <c r="BB296" s="35"/>
      <c r="BC296" s="35"/>
      <c r="BD296" s="35"/>
      <c r="BE296" s="35"/>
      <c r="BF296" s="35"/>
      <c r="BG296" s="35"/>
      <c r="BH296" s="35"/>
      <c r="BI296" s="35"/>
      <c r="BJ296" s="35"/>
      <c r="BK296" s="35"/>
      <c r="BL296" s="35"/>
      <c r="BM296" s="35"/>
      <c r="BN296" s="35"/>
      <c r="BO296" s="35"/>
      <c r="BP296" s="35"/>
      <c r="BQ296" s="35"/>
      <c r="BR296" s="35"/>
      <c r="BS296" s="35"/>
      <c r="BT296" s="35"/>
      <c r="BU296" s="35"/>
      <c r="BV296" s="35"/>
      <c r="BW296" s="35"/>
      <c r="BX296" s="35"/>
      <c r="BY296" s="35"/>
      <c r="BZ296" s="35"/>
      <c r="CA296" s="35"/>
      <c r="CB296" s="35"/>
      <c r="CC296" s="35"/>
      <c r="CD296" s="35"/>
      <c r="CE296" s="35"/>
      <c r="CF296" s="35"/>
      <c r="CG296" s="35"/>
      <c r="CH296" s="35"/>
      <c r="CI296" s="35"/>
      <c r="CJ296" s="35"/>
      <c r="CK296" s="35"/>
      <c r="CL296" s="35"/>
      <c r="CM296" s="35"/>
      <c r="CN296" s="35"/>
      <c r="CO296" s="35"/>
      <c r="CP296" s="35"/>
      <c r="CQ296" s="35"/>
      <c r="CR296" s="35"/>
      <c r="CS296" s="35"/>
      <c r="CT296" s="35"/>
      <c r="CU296" s="35"/>
      <c r="CV296" s="35"/>
      <c r="CW296" s="35"/>
      <c r="CX296" s="35"/>
      <c r="CY296" s="35"/>
      <c r="CZ296" s="35"/>
      <c r="DA296" s="35"/>
      <c r="DB296" s="35"/>
      <c r="DC296" s="35"/>
      <c r="DD296" s="35"/>
      <c r="DE296" s="35"/>
      <c r="DF296" s="35"/>
      <c r="DG296" s="35"/>
      <c r="DH296" s="35"/>
      <c r="DI296" s="35"/>
      <c r="DJ296" s="35"/>
      <c r="DK296" s="35"/>
      <c r="DL296" s="35"/>
      <c r="DM296" s="35"/>
      <c r="DN296" s="35"/>
      <c r="DO296" s="35"/>
      <c r="DP296" s="35"/>
      <c r="DQ296" s="35"/>
      <c r="DR296" s="35"/>
      <c r="DS296" s="35"/>
      <c r="DT296" s="35"/>
      <c r="DU296" s="35"/>
      <c r="DV296" s="35"/>
      <c r="DW296" s="28">
        <f t="shared" si="13"/>
        <v>0</v>
      </c>
      <c r="DX296" s="5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</row>
    <row r="297" spans="1:151" ht="12.75" customHeight="1" x14ac:dyDescent="0.2">
      <c r="A297" s="39" t="s">
        <v>113</v>
      </c>
      <c r="B297" s="60">
        <f t="shared" si="12"/>
        <v>90</v>
      </c>
      <c r="C297" s="52">
        <v>10</v>
      </c>
      <c r="D297" s="55">
        <v>44924</v>
      </c>
      <c r="E297" s="62">
        <v>35.700000000000003</v>
      </c>
      <c r="F297" s="62">
        <f t="shared" si="14"/>
        <v>3213.0000000000005</v>
      </c>
      <c r="G297" s="60">
        <v>170</v>
      </c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1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>
        <v>80</v>
      </c>
      <c r="AL297" s="35">
        <v>90</v>
      </c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  <c r="AY297" s="35"/>
      <c r="AZ297" s="35"/>
      <c r="BA297" s="35"/>
      <c r="BB297" s="35"/>
      <c r="BC297" s="35"/>
      <c r="BD297" s="35"/>
      <c r="BE297" s="35"/>
      <c r="BF297" s="35"/>
      <c r="BG297" s="35"/>
      <c r="BH297" s="35"/>
      <c r="BI297" s="35"/>
      <c r="BJ297" s="35"/>
      <c r="BK297" s="35"/>
      <c r="BL297" s="35"/>
      <c r="BM297" s="35"/>
      <c r="BN297" s="35"/>
      <c r="BO297" s="35"/>
      <c r="BP297" s="35"/>
      <c r="BQ297" s="35"/>
      <c r="BR297" s="35"/>
      <c r="BS297" s="35"/>
      <c r="BT297" s="35"/>
      <c r="BU297" s="35"/>
      <c r="BV297" s="35"/>
      <c r="BW297" s="35"/>
      <c r="BX297" s="35"/>
      <c r="BY297" s="35"/>
      <c r="BZ297" s="35"/>
      <c r="CA297" s="35"/>
      <c r="CB297" s="35"/>
      <c r="CC297" s="35"/>
      <c r="CD297" s="35"/>
      <c r="CE297" s="35"/>
      <c r="CF297" s="35"/>
      <c r="CG297" s="35"/>
      <c r="CH297" s="35"/>
      <c r="CI297" s="35"/>
      <c r="CJ297" s="35"/>
      <c r="CK297" s="35"/>
      <c r="CL297" s="35"/>
      <c r="CM297" s="35"/>
      <c r="CN297" s="35"/>
      <c r="CO297" s="35"/>
      <c r="CP297" s="35"/>
      <c r="CQ297" s="35"/>
      <c r="CR297" s="35"/>
      <c r="CS297" s="35"/>
      <c r="CT297" s="35"/>
      <c r="CU297" s="35"/>
      <c r="CV297" s="35"/>
      <c r="CW297" s="35"/>
      <c r="CX297" s="35"/>
      <c r="CY297" s="35"/>
      <c r="CZ297" s="35"/>
      <c r="DA297" s="35"/>
      <c r="DB297" s="35"/>
      <c r="DC297" s="35"/>
      <c r="DD297" s="35"/>
      <c r="DE297" s="35"/>
      <c r="DF297" s="35"/>
      <c r="DG297" s="35"/>
      <c r="DH297" s="35"/>
      <c r="DI297" s="35"/>
      <c r="DJ297" s="35"/>
      <c r="DK297" s="35"/>
      <c r="DL297" s="35"/>
      <c r="DM297" s="35"/>
      <c r="DN297" s="35"/>
      <c r="DO297" s="35"/>
      <c r="DP297" s="35"/>
      <c r="DQ297" s="35"/>
      <c r="DR297" s="35"/>
      <c r="DS297" s="35"/>
      <c r="DT297" s="35"/>
      <c r="DU297" s="35"/>
      <c r="DV297" s="35"/>
      <c r="DW297" s="28">
        <f t="shared" si="13"/>
        <v>0</v>
      </c>
      <c r="DX297" s="5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</row>
    <row r="298" spans="1:151" ht="12.75" customHeight="1" x14ac:dyDescent="0.2">
      <c r="A298" s="39" t="s">
        <v>229</v>
      </c>
      <c r="B298" s="60">
        <f t="shared" si="12"/>
        <v>0</v>
      </c>
      <c r="C298" s="52">
        <v>1</v>
      </c>
      <c r="D298" s="54">
        <v>44914</v>
      </c>
      <c r="E298" s="62">
        <v>45.78</v>
      </c>
      <c r="F298" s="62">
        <f t="shared" si="14"/>
        <v>0</v>
      </c>
      <c r="G298" s="60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1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BH298" s="35"/>
      <c r="BI298" s="35"/>
      <c r="BJ298" s="35"/>
      <c r="BK298" s="35"/>
      <c r="BL298" s="35"/>
      <c r="BM298" s="35"/>
      <c r="BN298" s="35"/>
      <c r="BO298" s="35"/>
      <c r="BP298" s="35"/>
      <c r="BQ298" s="35"/>
      <c r="BR298" s="35"/>
      <c r="BS298" s="35"/>
      <c r="BT298" s="35"/>
      <c r="BU298" s="35"/>
      <c r="BV298" s="35"/>
      <c r="BW298" s="35"/>
      <c r="BX298" s="35"/>
      <c r="BY298" s="35"/>
      <c r="BZ298" s="35"/>
      <c r="CA298" s="35"/>
      <c r="CB298" s="35"/>
      <c r="CC298" s="35"/>
      <c r="CD298" s="35"/>
      <c r="CE298" s="35"/>
      <c r="CF298" s="35"/>
      <c r="CG298" s="35"/>
      <c r="CH298" s="35"/>
      <c r="CI298" s="35"/>
      <c r="CJ298" s="35"/>
      <c r="CK298" s="35"/>
      <c r="CL298" s="35"/>
      <c r="CM298" s="35"/>
      <c r="CN298" s="35"/>
      <c r="CO298" s="35"/>
      <c r="CP298" s="35"/>
      <c r="CQ298" s="35"/>
      <c r="CR298" s="35"/>
      <c r="CS298" s="35"/>
      <c r="CT298" s="35"/>
      <c r="CU298" s="35"/>
      <c r="CV298" s="35"/>
      <c r="CW298" s="35"/>
      <c r="CX298" s="35"/>
      <c r="CY298" s="35"/>
      <c r="CZ298" s="35"/>
      <c r="DA298" s="35"/>
      <c r="DB298" s="35"/>
      <c r="DC298" s="35"/>
      <c r="DD298" s="35"/>
      <c r="DE298" s="35"/>
      <c r="DF298" s="35"/>
      <c r="DG298" s="35"/>
      <c r="DH298" s="35"/>
      <c r="DI298" s="35"/>
      <c r="DJ298" s="35"/>
      <c r="DK298" s="35"/>
      <c r="DL298" s="35"/>
      <c r="DM298" s="35"/>
      <c r="DN298" s="35"/>
      <c r="DO298" s="35"/>
      <c r="DP298" s="35"/>
      <c r="DQ298" s="35"/>
      <c r="DR298" s="35"/>
      <c r="DS298" s="35"/>
      <c r="DT298" s="35"/>
      <c r="DU298" s="35"/>
      <c r="DV298" s="35"/>
      <c r="DW298" s="28">
        <f t="shared" si="13"/>
        <v>0</v>
      </c>
      <c r="DX298" s="5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</row>
    <row r="299" spans="1:151" ht="12.75" customHeight="1" x14ac:dyDescent="0.2">
      <c r="A299" s="39" t="s">
        <v>478</v>
      </c>
      <c r="B299" s="60">
        <f t="shared" si="12"/>
        <v>0</v>
      </c>
      <c r="C299" s="52">
        <v>1</v>
      </c>
      <c r="D299" s="54">
        <v>44753</v>
      </c>
      <c r="E299" s="62">
        <v>24.05</v>
      </c>
      <c r="F299" s="62">
        <f t="shared" si="14"/>
        <v>0</v>
      </c>
      <c r="G299" s="60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1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  <c r="AY299" s="35"/>
      <c r="AZ299" s="35"/>
      <c r="BA299" s="35"/>
      <c r="BB299" s="35"/>
      <c r="BC299" s="35"/>
      <c r="BD299" s="35"/>
      <c r="BE299" s="35"/>
      <c r="BF299" s="35"/>
      <c r="BG299" s="35"/>
      <c r="BH299" s="35"/>
      <c r="BI299" s="35"/>
      <c r="BJ299" s="35"/>
      <c r="BK299" s="35"/>
      <c r="BL299" s="35"/>
      <c r="BM299" s="35"/>
      <c r="BN299" s="35"/>
      <c r="BO299" s="35"/>
      <c r="BP299" s="35"/>
      <c r="BQ299" s="35"/>
      <c r="BR299" s="35"/>
      <c r="BS299" s="35"/>
      <c r="BT299" s="35"/>
      <c r="BU299" s="35"/>
      <c r="BV299" s="35"/>
      <c r="BW299" s="35"/>
      <c r="BX299" s="35"/>
      <c r="BY299" s="35"/>
      <c r="BZ299" s="35"/>
      <c r="CA299" s="35"/>
      <c r="CB299" s="35"/>
      <c r="CC299" s="35"/>
      <c r="CD299" s="35"/>
      <c r="CE299" s="35"/>
      <c r="CF299" s="35"/>
      <c r="CG299" s="35"/>
      <c r="CH299" s="35"/>
      <c r="CI299" s="35"/>
      <c r="CJ299" s="35"/>
      <c r="CK299" s="35"/>
      <c r="CL299" s="35"/>
      <c r="CM299" s="35"/>
      <c r="CN299" s="35"/>
      <c r="CO299" s="35"/>
      <c r="CP299" s="35"/>
      <c r="CQ299" s="35"/>
      <c r="CR299" s="35"/>
      <c r="CS299" s="35"/>
      <c r="CT299" s="35"/>
      <c r="CU299" s="35"/>
      <c r="CV299" s="35"/>
      <c r="CW299" s="35"/>
      <c r="CX299" s="35"/>
      <c r="CY299" s="35"/>
      <c r="CZ299" s="35"/>
      <c r="DA299" s="35"/>
      <c r="DB299" s="35"/>
      <c r="DC299" s="35"/>
      <c r="DD299" s="35"/>
      <c r="DE299" s="35"/>
      <c r="DF299" s="35"/>
      <c r="DG299" s="35"/>
      <c r="DH299" s="35"/>
      <c r="DI299" s="35"/>
      <c r="DJ299" s="35"/>
      <c r="DK299" s="35"/>
      <c r="DL299" s="35"/>
      <c r="DM299" s="35"/>
      <c r="DN299" s="35"/>
      <c r="DO299" s="35"/>
      <c r="DP299" s="35"/>
      <c r="DQ299" s="35"/>
      <c r="DR299" s="35"/>
      <c r="DS299" s="35"/>
      <c r="DT299" s="35"/>
      <c r="DU299" s="35"/>
      <c r="DV299" s="35"/>
      <c r="DW299" s="28">
        <f t="shared" si="13"/>
        <v>0</v>
      </c>
      <c r="DX299" s="5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</row>
    <row r="300" spans="1:151" ht="12.75" customHeight="1" x14ac:dyDescent="0.2">
      <c r="A300" s="39" t="s">
        <v>151</v>
      </c>
      <c r="B300" s="60">
        <f t="shared" si="12"/>
        <v>0.6</v>
      </c>
      <c r="C300" s="52">
        <v>0.9</v>
      </c>
      <c r="D300" s="54">
        <v>44494</v>
      </c>
      <c r="E300" s="62">
        <v>39.299999999999997</v>
      </c>
      <c r="F300" s="62">
        <f t="shared" si="14"/>
        <v>23.58</v>
      </c>
      <c r="G300" s="60">
        <v>0.6</v>
      </c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1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  <c r="AY300" s="35"/>
      <c r="AZ300" s="35"/>
      <c r="BA300" s="35"/>
      <c r="BB300" s="35"/>
      <c r="BC300" s="35"/>
      <c r="BD300" s="35"/>
      <c r="BE300" s="35"/>
      <c r="BF300" s="35"/>
      <c r="BG300" s="35"/>
      <c r="BH300" s="35"/>
      <c r="BI300" s="35"/>
      <c r="BJ300" s="35"/>
      <c r="BK300" s="35"/>
      <c r="BL300" s="35"/>
      <c r="BM300" s="35"/>
      <c r="BN300" s="35"/>
      <c r="BO300" s="35"/>
      <c r="BP300" s="35"/>
      <c r="BQ300" s="35"/>
      <c r="BR300" s="35"/>
      <c r="BS300" s="35"/>
      <c r="BT300" s="35"/>
      <c r="BU300" s="35"/>
      <c r="BV300" s="35"/>
      <c r="BW300" s="35"/>
      <c r="BX300" s="35"/>
      <c r="BY300" s="35"/>
      <c r="BZ300" s="35"/>
      <c r="CA300" s="35"/>
      <c r="CB300" s="35"/>
      <c r="CC300" s="35"/>
      <c r="CD300" s="35"/>
      <c r="CE300" s="35"/>
      <c r="CF300" s="35"/>
      <c r="CG300" s="35"/>
      <c r="CH300" s="35"/>
      <c r="CI300" s="35"/>
      <c r="CJ300" s="35"/>
      <c r="CK300" s="35"/>
      <c r="CL300" s="35"/>
      <c r="CM300" s="35"/>
      <c r="CN300" s="35"/>
      <c r="CO300" s="35"/>
      <c r="CP300" s="35"/>
      <c r="CQ300" s="35"/>
      <c r="CR300" s="35"/>
      <c r="CS300" s="35"/>
      <c r="CT300" s="35"/>
      <c r="CU300" s="35"/>
      <c r="CV300" s="35"/>
      <c r="CW300" s="35"/>
      <c r="CX300" s="35"/>
      <c r="CY300" s="35"/>
      <c r="CZ300" s="35"/>
      <c r="DA300" s="35"/>
      <c r="DB300" s="35"/>
      <c r="DC300" s="35"/>
      <c r="DD300" s="35"/>
      <c r="DE300" s="35"/>
      <c r="DF300" s="35"/>
      <c r="DG300" s="35"/>
      <c r="DH300" s="35"/>
      <c r="DI300" s="35"/>
      <c r="DJ300" s="35"/>
      <c r="DK300" s="35"/>
      <c r="DL300" s="35"/>
      <c r="DM300" s="35"/>
      <c r="DN300" s="35"/>
      <c r="DO300" s="35"/>
      <c r="DP300" s="35"/>
      <c r="DQ300" s="35"/>
      <c r="DR300" s="35"/>
      <c r="DS300" s="35"/>
      <c r="DT300" s="35"/>
      <c r="DU300" s="35"/>
      <c r="DV300" s="35">
        <v>0.6</v>
      </c>
      <c r="DW300" s="28">
        <f t="shared" si="13"/>
        <v>0</v>
      </c>
      <c r="DX300" s="5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</row>
    <row r="301" spans="1:151" ht="12.75" customHeight="1" x14ac:dyDescent="0.2">
      <c r="A301" s="39" t="s">
        <v>539</v>
      </c>
      <c r="B301" s="60">
        <f t="shared" si="12"/>
        <v>0</v>
      </c>
      <c r="C301" s="52">
        <v>1</v>
      </c>
      <c r="D301" s="54">
        <v>44949</v>
      </c>
      <c r="E301" s="62">
        <v>54.86</v>
      </c>
      <c r="F301" s="62">
        <f t="shared" si="14"/>
        <v>0</v>
      </c>
      <c r="G301" s="60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1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  <c r="AY301" s="35"/>
      <c r="AZ301" s="35"/>
      <c r="BA301" s="35"/>
      <c r="BB301" s="35"/>
      <c r="BC301" s="35"/>
      <c r="BD301" s="35"/>
      <c r="BE301" s="35"/>
      <c r="BF301" s="35"/>
      <c r="BG301" s="35"/>
      <c r="BH301" s="35"/>
      <c r="BI301" s="35"/>
      <c r="BJ301" s="35"/>
      <c r="BK301" s="35"/>
      <c r="BL301" s="35"/>
      <c r="BM301" s="35"/>
      <c r="BN301" s="35"/>
      <c r="BO301" s="35"/>
      <c r="BP301" s="35"/>
      <c r="BQ301" s="35"/>
      <c r="BR301" s="35"/>
      <c r="BS301" s="35"/>
      <c r="BT301" s="35"/>
      <c r="BU301" s="35"/>
      <c r="BV301" s="35"/>
      <c r="BW301" s="35"/>
      <c r="BX301" s="35"/>
      <c r="BY301" s="35"/>
      <c r="BZ301" s="35"/>
      <c r="CA301" s="35"/>
      <c r="CB301" s="35"/>
      <c r="CC301" s="35"/>
      <c r="CD301" s="35"/>
      <c r="CE301" s="35"/>
      <c r="CF301" s="35"/>
      <c r="CG301" s="35"/>
      <c r="CH301" s="35"/>
      <c r="CI301" s="35"/>
      <c r="CJ301" s="35"/>
      <c r="CK301" s="35"/>
      <c r="CL301" s="35"/>
      <c r="CM301" s="35"/>
      <c r="CN301" s="35"/>
      <c r="CO301" s="35"/>
      <c r="CP301" s="35"/>
      <c r="CQ301" s="35"/>
      <c r="CR301" s="35"/>
      <c r="CS301" s="35">
        <v>2</v>
      </c>
      <c r="CT301" s="35"/>
      <c r="CU301" s="35"/>
      <c r="CV301" s="35"/>
      <c r="CW301" s="35"/>
      <c r="CX301" s="35">
        <v>2</v>
      </c>
      <c r="CY301" s="35"/>
      <c r="CZ301" s="35"/>
      <c r="DA301" s="35"/>
      <c r="DB301" s="35"/>
      <c r="DC301" s="35"/>
      <c r="DD301" s="35"/>
      <c r="DE301" s="35"/>
      <c r="DF301" s="35"/>
      <c r="DG301" s="35"/>
      <c r="DH301" s="35"/>
      <c r="DI301" s="35"/>
      <c r="DJ301" s="35"/>
      <c r="DK301" s="35"/>
      <c r="DL301" s="35"/>
      <c r="DM301" s="35"/>
      <c r="DN301" s="35"/>
      <c r="DO301" s="35"/>
      <c r="DP301" s="35"/>
      <c r="DQ301" s="35"/>
      <c r="DR301" s="35"/>
      <c r="DS301" s="35"/>
      <c r="DT301" s="35"/>
      <c r="DU301" s="35"/>
      <c r="DV301" s="35"/>
      <c r="DW301" s="28">
        <f t="shared" si="13"/>
        <v>0</v>
      </c>
      <c r="DX301" s="5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</row>
    <row r="302" spans="1:151" ht="12.75" customHeight="1" x14ac:dyDescent="0.2">
      <c r="A302" s="39" t="s">
        <v>110</v>
      </c>
      <c r="B302" s="60">
        <f t="shared" si="12"/>
        <v>0</v>
      </c>
      <c r="C302" s="52">
        <v>1</v>
      </c>
      <c r="D302" s="54">
        <v>44851</v>
      </c>
      <c r="E302" s="62">
        <v>71.48</v>
      </c>
      <c r="F302" s="62">
        <f t="shared" si="14"/>
        <v>0</v>
      </c>
      <c r="G302" s="60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1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  <c r="AY302" s="35"/>
      <c r="AZ302" s="35"/>
      <c r="BA302" s="35"/>
      <c r="BB302" s="35"/>
      <c r="BC302" s="35"/>
      <c r="BD302" s="35"/>
      <c r="BE302" s="35"/>
      <c r="BF302" s="35"/>
      <c r="BG302" s="35"/>
      <c r="BH302" s="35"/>
      <c r="BI302" s="35"/>
      <c r="BJ302" s="35"/>
      <c r="BK302" s="35"/>
      <c r="BL302" s="35"/>
      <c r="BM302" s="35"/>
      <c r="BN302" s="35"/>
      <c r="BO302" s="35"/>
      <c r="BP302" s="35"/>
      <c r="BQ302" s="35"/>
      <c r="BR302" s="35"/>
      <c r="BS302" s="35"/>
      <c r="BT302" s="35"/>
      <c r="BU302" s="35"/>
      <c r="BV302" s="35"/>
      <c r="BW302" s="35"/>
      <c r="BX302" s="35"/>
      <c r="BY302" s="35"/>
      <c r="BZ302" s="35"/>
      <c r="CA302" s="35"/>
      <c r="CB302" s="35"/>
      <c r="CC302" s="35"/>
      <c r="CD302" s="35"/>
      <c r="CE302" s="35"/>
      <c r="CF302" s="35"/>
      <c r="CG302" s="35"/>
      <c r="CH302" s="35"/>
      <c r="CI302" s="35"/>
      <c r="CJ302" s="35"/>
      <c r="CK302" s="35"/>
      <c r="CL302" s="35"/>
      <c r="CM302" s="35"/>
      <c r="CN302" s="35"/>
      <c r="CO302" s="35"/>
      <c r="CP302" s="35"/>
      <c r="CQ302" s="35"/>
      <c r="CR302" s="35"/>
      <c r="CS302" s="35"/>
      <c r="CT302" s="35"/>
      <c r="CU302" s="35"/>
      <c r="CV302" s="35"/>
      <c r="CW302" s="35"/>
      <c r="CX302" s="35"/>
      <c r="CY302" s="35"/>
      <c r="CZ302" s="35"/>
      <c r="DA302" s="35"/>
      <c r="DB302" s="35"/>
      <c r="DC302" s="35"/>
      <c r="DD302" s="35"/>
      <c r="DE302" s="35"/>
      <c r="DF302" s="35"/>
      <c r="DG302" s="35"/>
      <c r="DH302" s="35"/>
      <c r="DI302" s="35"/>
      <c r="DJ302" s="35"/>
      <c r="DK302" s="35"/>
      <c r="DL302" s="35"/>
      <c r="DM302" s="35"/>
      <c r="DN302" s="35"/>
      <c r="DO302" s="35"/>
      <c r="DP302" s="35"/>
      <c r="DQ302" s="35"/>
      <c r="DR302" s="35"/>
      <c r="DS302" s="35"/>
      <c r="DT302" s="35"/>
      <c r="DU302" s="35"/>
      <c r="DV302" s="35"/>
      <c r="DW302" s="28">
        <f t="shared" si="13"/>
        <v>0</v>
      </c>
      <c r="DX302" s="5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</row>
    <row r="303" spans="1:151" ht="12.75" customHeight="1" x14ac:dyDescent="0.2">
      <c r="A303" s="39" t="s">
        <v>138</v>
      </c>
      <c r="B303" s="60">
        <f t="shared" si="12"/>
        <v>10</v>
      </c>
      <c r="C303" s="52">
        <v>10</v>
      </c>
      <c r="D303" s="54">
        <v>44865</v>
      </c>
      <c r="E303" s="62">
        <v>77.55</v>
      </c>
      <c r="F303" s="62">
        <f t="shared" si="14"/>
        <v>775.5</v>
      </c>
      <c r="G303" s="60">
        <v>20</v>
      </c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1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  <c r="AY303" s="35"/>
      <c r="AZ303" s="35"/>
      <c r="BA303" s="35"/>
      <c r="BB303" s="35">
        <v>10</v>
      </c>
      <c r="BC303" s="35"/>
      <c r="BD303" s="35"/>
      <c r="BE303" s="35"/>
      <c r="BF303" s="35"/>
      <c r="BG303" s="35"/>
      <c r="BH303" s="35"/>
      <c r="BI303" s="35"/>
      <c r="BJ303" s="35"/>
      <c r="BK303" s="35"/>
      <c r="BL303" s="35"/>
      <c r="BM303" s="35"/>
      <c r="BN303" s="35"/>
      <c r="BO303" s="35"/>
      <c r="BP303" s="35"/>
      <c r="BQ303" s="35"/>
      <c r="BR303" s="35"/>
      <c r="BS303" s="35"/>
      <c r="BT303" s="35"/>
      <c r="BU303" s="35"/>
      <c r="BV303" s="35"/>
      <c r="BW303" s="35"/>
      <c r="BX303" s="35"/>
      <c r="BY303" s="35"/>
      <c r="BZ303" s="35"/>
      <c r="CA303" s="35"/>
      <c r="CB303" s="35"/>
      <c r="CC303" s="35"/>
      <c r="CD303" s="35"/>
      <c r="CE303" s="35"/>
      <c r="CF303" s="35"/>
      <c r="CG303" s="35"/>
      <c r="CH303" s="35"/>
      <c r="CI303" s="35"/>
      <c r="CJ303" s="35"/>
      <c r="CK303" s="35"/>
      <c r="CL303" s="35"/>
      <c r="CM303" s="35">
        <v>10</v>
      </c>
      <c r="CN303" s="35"/>
      <c r="CO303" s="35"/>
      <c r="CP303" s="35"/>
      <c r="CQ303" s="35"/>
      <c r="CR303" s="35"/>
      <c r="CS303" s="35"/>
      <c r="CT303" s="35"/>
      <c r="CU303" s="35"/>
      <c r="CV303" s="35"/>
      <c r="CW303" s="35"/>
      <c r="CX303" s="35"/>
      <c r="CY303" s="35"/>
      <c r="CZ303" s="35"/>
      <c r="DA303" s="35"/>
      <c r="DB303" s="35"/>
      <c r="DC303" s="35"/>
      <c r="DD303" s="35"/>
      <c r="DE303" s="35"/>
      <c r="DF303" s="35"/>
      <c r="DG303" s="35"/>
      <c r="DH303" s="35"/>
      <c r="DI303" s="35"/>
      <c r="DJ303" s="35"/>
      <c r="DK303" s="35"/>
      <c r="DL303" s="35"/>
      <c r="DM303" s="35"/>
      <c r="DN303" s="35"/>
      <c r="DO303" s="35"/>
      <c r="DP303" s="35"/>
      <c r="DQ303" s="35"/>
      <c r="DR303" s="35"/>
      <c r="DS303" s="35"/>
      <c r="DT303" s="35"/>
      <c r="DU303" s="35"/>
      <c r="DV303" s="35"/>
      <c r="DW303" s="28">
        <f t="shared" si="13"/>
        <v>0</v>
      </c>
      <c r="DX303" s="5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</row>
    <row r="304" spans="1:151" ht="12.75" customHeight="1" x14ac:dyDescent="0.2">
      <c r="A304" s="39" t="s">
        <v>136</v>
      </c>
      <c r="B304" s="60">
        <f t="shared" si="12"/>
        <v>10</v>
      </c>
      <c r="C304" s="52">
        <v>10</v>
      </c>
      <c r="D304" s="54">
        <v>44858</v>
      </c>
      <c r="E304" s="62">
        <v>80.459999999999994</v>
      </c>
      <c r="F304" s="62">
        <f t="shared" si="14"/>
        <v>804.59999999999991</v>
      </c>
      <c r="G304" s="60">
        <v>10</v>
      </c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1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  <c r="AY304" s="35"/>
      <c r="AZ304" s="35"/>
      <c r="BA304" s="35"/>
      <c r="BB304" s="35">
        <v>10</v>
      </c>
      <c r="BC304" s="35"/>
      <c r="BD304" s="35"/>
      <c r="BE304" s="35"/>
      <c r="BF304" s="35"/>
      <c r="BG304" s="35"/>
      <c r="BH304" s="35"/>
      <c r="BI304" s="35"/>
      <c r="BJ304" s="35"/>
      <c r="BK304" s="35"/>
      <c r="BL304" s="35"/>
      <c r="BM304" s="35"/>
      <c r="BN304" s="35"/>
      <c r="BO304" s="35"/>
      <c r="BP304" s="35"/>
      <c r="BQ304" s="35"/>
      <c r="BR304" s="35"/>
      <c r="BS304" s="35"/>
      <c r="BT304" s="35"/>
      <c r="BU304" s="35"/>
      <c r="BV304" s="35"/>
      <c r="BW304" s="35"/>
      <c r="BX304" s="35"/>
      <c r="BY304" s="35"/>
      <c r="BZ304" s="35"/>
      <c r="CA304" s="35"/>
      <c r="CB304" s="35"/>
      <c r="CC304" s="35"/>
      <c r="CD304" s="35"/>
      <c r="CE304" s="35"/>
      <c r="CF304" s="35"/>
      <c r="CG304" s="35"/>
      <c r="CH304" s="35"/>
      <c r="CI304" s="35"/>
      <c r="CJ304" s="35"/>
      <c r="CK304" s="35"/>
      <c r="CL304" s="35"/>
      <c r="CM304" s="35"/>
      <c r="CN304" s="35"/>
      <c r="CO304" s="35"/>
      <c r="CP304" s="35"/>
      <c r="CQ304" s="35"/>
      <c r="CR304" s="35"/>
      <c r="CS304" s="35"/>
      <c r="CT304" s="35"/>
      <c r="CU304" s="35"/>
      <c r="CV304" s="35"/>
      <c r="CW304" s="35"/>
      <c r="CX304" s="35"/>
      <c r="CY304" s="35"/>
      <c r="CZ304" s="35"/>
      <c r="DA304" s="35"/>
      <c r="DB304" s="35"/>
      <c r="DC304" s="35"/>
      <c r="DD304" s="35"/>
      <c r="DE304" s="35"/>
      <c r="DF304" s="35"/>
      <c r="DG304" s="35"/>
      <c r="DH304" s="35"/>
      <c r="DI304" s="35"/>
      <c r="DJ304" s="35"/>
      <c r="DK304" s="35"/>
      <c r="DL304" s="35"/>
      <c r="DM304" s="35"/>
      <c r="DN304" s="35"/>
      <c r="DO304" s="35"/>
      <c r="DP304" s="35"/>
      <c r="DQ304" s="35"/>
      <c r="DR304" s="35"/>
      <c r="DS304" s="35"/>
      <c r="DT304" s="35"/>
      <c r="DU304" s="35"/>
      <c r="DV304" s="35"/>
      <c r="DW304" s="28">
        <f t="shared" si="13"/>
        <v>0</v>
      </c>
      <c r="DX304" s="5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</row>
    <row r="305" spans="1:151" ht="15.75" x14ac:dyDescent="0.25">
      <c r="A305" s="18" t="s">
        <v>21</v>
      </c>
      <c r="B305" s="80">
        <f>SUM(B4:B304)</f>
        <v>5350.3</v>
      </c>
      <c r="C305" s="51"/>
      <c r="D305" s="56"/>
      <c r="E305" s="57"/>
      <c r="F305" s="62">
        <f t="shared" si="14"/>
        <v>0</v>
      </c>
      <c r="G305" s="19">
        <f>SUM(G4:G304)</f>
        <v>6159.9000000000005</v>
      </c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109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  <c r="AY305" s="35"/>
      <c r="AZ305" s="35"/>
      <c r="BA305" s="35"/>
      <c r="BB305" s="35"/>
      <c r="BC305" s="35"/>
      <c r="BD305" s="35"/>
      <c r="BE305" s="35"/>
      <c r="BF305" s="35"/>
      <c r="BG305" s="35"/>
      <c r="BH305" s="35"/>
      <c r="BI305" s="35"/>
      <c r="BJ305" s="35"/>
      <c r="BK305" s="35"/>
      <c r="BL305" s="35"/>
      <c r="BM305" s="35"/>
      <c r="BN305" s="35"/>
      <c r="BO305" s="35"/>
      <c r="BP305" s="35"/>
      <c r="BQ305" s="35"/>
      <c r="BR305" s="35"/>
      <c r="BS305" s="35"/>
      <c r="BT305" s="35"/>
      <c r="BU305" s="35"/>
      <c r="BV305" s="35"/>
      <c r="BW305" s="35"/>
      <c r="BX305" s="35"/>
      <c r="BY305" s="35"/>
      <c r="BZ305" s="35"/>
      <c r="CA305" s="35"/>
      <c r="CB305" s="35"/>
      <c r="CC305" s="35"/>
      <c r="CD305" s="35"/>
      <c r="CE305" s="35"/>
      <c r="CF305" s="35"/>
      <c r="CG305" s="35"/>
      <c r="CH305" s="35"/>
      <c r="CI305" s="35"/>
      <c r="CJ305" s="35"/>
      <c r="CK305" s="35"/>
      <c r="CL305" s="35"/>
      <c r="CM305" s="35"/>
      <c r="CN305" s="35"/>
      <c r="CO305" s="35"/>
      <c r="CP305" s="35"/>
      <c r="CQ305" s="35"/>
      <c r="CR305" s="35"/>
      <c r="CS305" s="35"/>
      <c r="CT305" s="35"/>
      <c r="CU305" s="35"/>
      <c r="CV305" s="35"/>
      <c r="CW305" s="35"/>
      <c r="CX305" s="35"/>
      <c r="CY305" s="35"/>
      <c r="CZ305" s="35"/>
      <c r="DA305" s="35"/>
      <c r="DB305" s="35"/>
      <c r="DC305" s="35"/>
      <c r="DD305" s="35"/>
      <c r="DE305" s="35"/>
      <c r="DF305" s="35"/>
      <c r="DG305" s="35"/>
      <c r="DH305" s="35"/>
      <c r="DI305" s="35"/>
      <c r="DJ305" s="35"/>
      <c r="DK305" s="35"/>
      <c r="DL305" s="35"/>
      <c r="DM305" s="35"/>
      <c r="DN305" s="35"/>
      <c r="DO305" s="35"/>
      <c r="DP305" s="35"/>
      <c r="DQ305" s="35"/>
      <c r="DR305" s="35"/>
      <c r="DS305" s="35"/>
      <c r="DT305" s="35"/>
      <c r="DU305" s="35"/>
      <c r="DV305" s="35"/>
      <c r="DW305" s="19">
        <f t="shared" si="13"/>
        <v>5350.3</v>
      </c>
      <c r="DX305" s="5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</row>
    <row r="306" spans="1:151" s="5" customFormat="1" ht="12" customHeight="1" x14ac:dyDescent="0.2">
      <c r="A306" s="39" t="s">
        <v>429</v>
      </c>
      <c r="B306" s="60">
        <f t="shared" ref="B306:B337" si="15">SUMIF(G$3:DV$3,"прих",G306:DV306)-SUMIF(G$3:DV$3,"отгр",G306:DV306)</f>
        <v>0</v>
      </c>
      <c r="C306" s="52">
        <v>1</v>
      </c>
      <c r="D306" s="54">
        <v>44665</v>
      </c>
      <c r="E306" s="62">
        <v>42.08</v>
      </c>
      <c r="F306" s="62">
        <f t="shared" ref="F306:F313" si="16">E306*B306</f>
        <v>0</v>
      </c>
      <c r="G306" s="60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1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  <c r="AY306" s="35"/>
      <c r="AZ306" s="35"/>
      <c r="BA306" s="35"/>
      <c r="BB306" s="35"/>
      <c r="BC306" s="35"/>
      <c r="BD306" s="35"/>
      <c r="BE306" s="35"/>
      <c r="BF306" s="35"/>
      <c r="BG306" s="35"/>
      <c r="BH306" s="35"/>
      <c r="BI306" s="35"/>
      <c r="BJ306" s="35"/>
      <c r="BK306" s="35"/>
      <c r="BL306" s="35"/>
      <c r="BM306" s="35"/>
      <c r="BN306" s="35"/>
      <c r="BO306" s="35"/>
      <c r="BP306" s="35"/>
      <c r="BQ306" s="35"/>
      <c r="BR306" s="35"/>
      <c r="BS306" s="35"/>
      <c r="BT306" s="35"/>
      <c r="BU306" s="35"/>
      <c r="BV306" s="35"/>
      <c r="BW306" s="35"/>
      <c r="BX306" s="35"/>
      <c r="BY306" s="35"/>
      <c r="BZ306" s="35"/>
      <c r="CA306" s="35"/>
      <c r="CB306" s="35"/>
      <c r="CC306" s="35"/>
      <c r="CD306" s="35"/>
      <c r="CE306" s="35"/>
      <c r="CF306" s="35"/>
      <c r="CG306" s="35"/>
      <c r="CH306" s="35"/>
      <c r="CI306" s="35"/>
      <c r="CJ306" s="35"/>
      <c r="CK306" s="35"/>
      <c r="CL306" s="35"/>
      <c r="CM306" s="35"/>
      <c r="CN306" s="35"/>
      <c r="CO306" s="35"/>
      <c r="CP306" s="35"/>
      <c r="CQ306" s="35"/>
      <c r="CR306" s="35"/>
      <c r="CS306" s="35"/>
      <c r="CT306" s="35"/>
      <c r="CU306" s="35"/>
      <c r="CV306" s="35"/>
      <c r="CW306" s="35"/>
      <c r="CX306" s="35"/>
      <c r="CY306" s="35"/>
      <c r="CZ306" s="35"/>
      <c r="DA306" s="35"/>
      <c r="DB306" s="35"/>
      <c r="DC306" s="35"/>
      <c r="DD306" s="35"/>
      <c r="DE306" s="35"/>
      <c r="DF306" s="35"/>
      <c r="DG306" s="35"/>
      <c r="DH306" s="35"/>
      <c r="DI306" s="35"/>
      <c r="DJ306" s="35"/>
      <c r="DK306" s="35"/>
      <c r="DL306" s="35"/>
      <c r="DM306" s="35"/>
      <c r="DN306" s="35"/>
      <c r="DO306" s="35"/>
      <c r="DP306" s="35"/>
      <c r="DQ306" s="35"/>
      <c r="DR306" s="35"/>
      <c r="DS306" s="35"/>
      <c r="DT306" s="35"/>
      <c r="DU306" s="35"/>
      <c r="DV306" s="35"/>
      <c r="DW306" s="61">
        <f t="shared" si="13"/>
        <v>0</v>
      </c>
    </row>
    <row r="307" spans="1:151" s="5" customFormat="1" ht="12" customHeight="1" x14ac:dyDescent="0.2">
      <c r="A307" s="39" t="s">
        <v>433</v>
      </c>
      <c r="B307" s="60">
        <f t="shared" si="15"/>
        <v>0</v>
      </c>
      <c r="C307" s="52">
        <v>1</v>
      </c>
      <c r="D307" s="54">
        <v>44585</v>
      </c>
      <c r="E307" s="62">
        <v>63.39</v>
      </c>
      <c r="F307" s="62">
        <f t="shared" si="16"/>
        <v>0</v>
      </c>
      <c r="G307" s="60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1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  <c r="AY307" s="35"/>
      <c r="AZ307" s="35"/>
      <c r="BA307" s="35"/>
      <c r="BB307" s="35"/>
      <c r="BC307" s="35"/>
      <c r="BD307" s="35"/>
      <c r="BE307" s="35"/>
      <c r="BF307" s="35"/>
      <c r="BG307" s="35"/>
      <c r="BH307" s="35"/>
      <c r="BI307" s="35"/>
      <c r="BJ307" s="35"/>
      <c r="BK307" s="35"/>
      <c r="BL307" s="35"/>
      <c r="BM307" s="35"/>
      <c r="BN307" s="35"/>
      <c r="BO307" s="35"/>
      <c r="BP307" s="35"/>
      <c r="BQ307" s="35"/>
      <c r="BR307" s="35"/>
      <c r="BS307" s="35"/>
      <c r="BT307" s="35"/>
      <c r="BU307" s="35"/>
      <c r="BV307" s="35"/>
      <c r="BW307" s="35"/>
      <c r="BX307" s="35"/>
      <c r="BY307" s="35"/>
      <c r="BZ307" s="35"/>
      <c r="CA307" s="35"/>
      <c r="CB307" s="35"/>
      <c r="CC307" s="35"/>
      <c r="CD307" s="35"/>
      <c r="CE307" s="35"/>
      <c r="CF307" s="35"/>
      <c r="CG307" s="35"/>
      <c r="CH307" s="35"/>
      <c r="CI307" s="35"/>
      <c r="CJ307" s="35"/>
      <c r="CK307" s="35"/>
      <c r="CL307" s="35"/>
      <c r="CM307" s="35"/>
      <c r="CN307" s="35"/>
      <c r="CO307" s="35"/>
      <c r="CP307" s="35"/>
      <c r="CQ307" s="35"/>
      <c r="CR307" s="35"/>
      <c r="CS307" s="35"/>
      <c r="CT307" s="35"/>
      <c r="CU307" s="35"/>
      <c r="CV307" s="35"/>
      <c r="CW307" s="35"/>
      <c r="CX307" s="35"/>
      <c r="CY307" s="35"/>
      <c r="CZ307" s="35"/>
      <c r="DA307" s="35"/>
      <c r="DB307" s="35"/>
      <c r="DC307" s="35"/>
      <c r="DD307" s="35"/>
      <c r="DE307" s="35"/>
      <c r="DF307" s="35"/>
      <c r="DG307" s="35"/>
      <c r="DH307" s="35"/>
      <c r="DI307" s="35"/>
      <c r="DJ307" s="35"/>
      <c r="DK307" s="35"/>
      <c r="DL307" s="35"/>
      <c r="DM307" s="35"/>
      <c r="DN307" s="35"/>
      <c r="DO307" s="35"/>
      <c r="DP307" s="35"/>
      <c r="DQ307" s="35"/>
      <c r="DR307" s="35"/>
      <c r="DS307" s="35"/>
      <c r="DT307" s="35"/>
      <c r="DU307" s="35"/>
      <c r="DV307" s="35"/>
      <c r="DW307" s="61">
        <f t="shared" si="13"/>
        <v>0</v>
      </c>
    </row>
    <row r="308" spans="1:151" s="5" customFormat="1" ht="12" customHeight="1" x14ac:dyDescent="0.2">
      <c r="A308" s="39" t="s">
        <v>479</v>
      </c>
      <c r="B308" s="60">
        <f t="shared" si="15"/>
        <v>5</v>
      </c>
      <c r="C308" s="52">
        <v>5</v>
      </c>
      <c r="D308" s="54">
        <v>44718</v>
      </c>
      <c r="E308" s="62">
        <v>46.56</v>
      </c>
      <c r="F308" s="62">
        <f t="shared" si="16"/>
        <v>232.8</v>
      </c>
      <c r="G308" s="60">
        <v>5</v>
      </c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1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BH308" s="35"/>
      <c r="BI308" s="35"/>
      <c r="BJ308" s="35"/>
      <c r="BK308" s="35"/>
      <c r="BL308" s="35"/>
      <c r="BM308" s="35"/>
      <c r="BN308" s="35"/>
      <c r="BO308" s="35"/>
      <c r="BP308" s="35"/>
      <c r="BQ308" s="35"/>
      <c r="BR308" s="35"/>
      <c r="BS308" s="35"/>
      <c r="BT308" s="35"/>
      <c r="BU308" s="35"/>
      <c r="BV308" s="35"/>
      <c r="BW308" s="35"/>
      <c r="BX308" s="35"/>
      <c r="BY308" s="35"/>
      <c r="BZ308" s="35"/>
      <c r="CA308" s="35"/>
      <c r="CB308" s="35"/>
      <c r="CC308" s="35"/>
      <c r="CD308" s="35"/>
      <c r="CE308" s="35"/>
      <c r="CF308" s="35"/>
      <c r="CG308" s="35"/>
      <c r="CH308" s="35"/>
      <c r="CI308" s="35"/>
      <c r="CJ308" s="35"/>
      <c r="CK308" s="35"/>
      <c r="CL308" s="35"/>
      <c r="CM308" s="35"/>
      <c r="CN308" s="35"/>
      <c r="CO308" s="35"/>
      <c r="CP308" s="35"/>
      <c r="CQ308" s="35"/>
      <c r="CR308" s="35"/>
      <c r="CS308" s="35"/>
      <c r="CT308" s="35"/>
      <c r="CU308" s="35"/>
      <c r="CV308" s="35"/>
      <c r="CW308" s="35"/>
      <c r="CX308" s="35"/>
      <c r="CY308" s="35"/>
      <c r="CZ308" s="35"/>
      <c r="DA308" s="35"/>
      <c r="DB308" s="35"/>
      <c r="DC308" s="35"/>
      <c r="DD308" s="35"/>
      <c r="DE308" s="35"/>
      <c r="DF308" s="35"/>
      <c r="DG308" s="35"/>
      <c r="DH308" s="35"/>
      <c r="DI308" s="35"/>
      <c r="DJ308" s="35"/>
      <c r="DK308" s="35"/>
      <c r="DL308" s="35"/>
      <c r="DM308" s="35"/>
      <c r="DN308" s="35"/>
      <c r="DO308" s="35"/>
      <c r="DP308" s="35"/>
      <c r="DQ308" s="35"/>
      <c r="DR308" s="35"/>
      <c r="DS308" s="35"/>
      <c r="DT308" s="35"/>
      <c r="DU308" s="35"/>
      <c r="DV308" s="35">
        <v>5</v>
      </c>
      <c r="DW308" s="61">
        <f t="shared" si="13"/>
        <v>0</v>
      </c>
    </row>
    <row r="309" spans="1:151" s="5" customFormat="1" ht="12" customHeight="1" x14ac:dyDescent="0.2">
      <c r="A309" s="39" t="s">
        <v>518</v>
      </c>
      <c r="B309" s="60">
        <f t="shared" si="15"/>
        <v>0</v>
      </c>
      <c r="C309" s="52">
        <v>25</v>
      </c>
      <c r="D309" s="54">
        <v>44914</v>
      </c>
      <c r="E309" s="62">
        <v>40.049999999999997</v>
      </c>
      <c r="F309" s="62">
        <f t="shared" si="16"/>
        <v>0</v>
      </c>
      <c r="G309" s="60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1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  <c r="AY309" s="35"/>
      <c r="AZ309" s="35"/>
      <c r="BA309" s="35"/>
      <c r="BB309" s="35"/>
      <c r="BC309" s="35"/>
      <c r="BD309" s="35"/>
      <c r="BE309" s="35"/>
      <c r="BF309" s="35"/>
      <c r="BG309" s="35"/>
      <c r="BH309" s="35"/>
      <c r="BI309" s="35"/>
      <c r="BJ309" s="35"/>
      <c r="BK309" s="35"/>
      <c r="BL309" s="35"/>
      <c r="BM309" s="35"/>
      <c r="BN309" s="35"/>
      <c r="BO309" s="35"/>
      <c r="BP309" s="35"/>
      <c r="BQ309" s="35"/>
      <c r="BR309" s="35"/>
      <c r="BS309" s="35"/>
      <c r="BT309" s="35"/>
      <c r="BU309" s="35"/>
      <c r="BV309" s="35"/>
      <c r="BW309" s="35"/>
      <c r="BX309" s="35"/>
      <c r="BY309" s="35"/>
      <c r="BZ309" s="35"/>
      <c r="CA309" s="35"/>
      <c r="CB309" s="35"/>
      <c r="CC309" s="35"/>
      <c r="CD309" s="35"/>
      <c r="CE309" s="35"/>
      <c r="CF309" s="35"/>
      <c r="CG309" s="35"/>
      <c r="CH309" s="35"/>
      <c r="CI309" s="35"/>
      <c r="CJ309" s="35"/>
      <c r="CK309" s="35"/>
      <c r="CL309" s="35"/>
      <c r="CM309" s="35"/>
      <c r="CN309" s="35"/>
      <c r="CO309" s="35"/>
      <c r="CP309" s="35"/>
      <c r="CQ309" s="35"/>
      <c r="CR309" s="35"/>
      <c r="CS309" s="35"/>
      <c r="CT309" s="35"/>
      <c r="CU309" s="35"/>
      <c r="CV309" s="35"/>
      <c r="CW309" s="35"/>
      <c r="CX309" s="35"/>
      <c r="CY309" s="35"/>
      <c r="CZ309" s="35"/>
      <c r="DA309" s="35"/>
      <c r="DB309" s="35"/>
      <c r="DC309" s="35"/>
      <c r="DD309" s="35"/>
      <c r="DE309" s="35"/>
      <c r="DF309" s="35"/>
      <c r="DG309" s="35"/>
      <c r="DH309" s="35"/>
      <c r="DI309" s="35"/>
      <c r="DJ309" s="35"/>
      <c r="DK309" s="35"/>
      <c r="DL309" s="35"/>
      <c r="DM309" s="35"/>
      <c r="DN309" s="35"/>
      <c r="DO309" s="35"/>
      <c r="DP309" s="35"/>
      <c r="DQ309" s="35"/>
      <c r="DR309" s="35"/>
      <c r="DS309" s="35"/>
      <c r="DT309" s="35"/>
      <c r="DU309" s="35"/>
      <c r="DV309" s="35"/>
      <c r="DW309" s="61">
        <f t="shared" si="13"/>
        <v>0</v>
      </c>
    </row>
    <row r="310" spans="1:151" s="5" customFormat="1" ht="12" customHeight="1" x14ac:dyDescent="0.2">
      <c r="A310" s="39" t="s">
        <v>480</v>
      </c>
      <c r="B310" s="60">
        <f t="shared" si="15"/>
        <v>0</v>
      </c>
      <c r="C310" s="52">
        <v>10</v>
      </c>
      <c r="D310" s="54">
        <v>44739</v>
      </c>
      <c r="E310" s="62">
        <v>38.869999999999997</v>
      </c>
      <c r="F310" s="62">
        <f t="shared" si="16"/>
        <v>0</v>
      </c>
      <c r="G310" s="60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1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BH310" s="35"/>
      <c r="BI310" s="35"/>
      <c r="BJ310" s="35"/>
      <c r="BK310" s="35"/>
      <c r="BL310" s="35"/>
      <c r="BM310" s="35"/>
      <c r="BN310" s="35"/>
      <c r="BO310" s="35"/>
      <c r="BP310" s="35"/>
      <c r="BQ310" s="35"/>
      <c r="BR310" s="35"/>
      <c r="BS310" s="35"/>
      <c r="BT310" s="35"/>
      <c r="BU310" s="35"/>
      <c r="BV310" s="35"/>
      <c r="BW310" s="35"/>
      <c r="BX310" s="35"/>
      <c r="BY310" s="35"/>
      <c r="BZ310" s="35"/>
      <c r="CA310" s="35"/>
      <c r="CB310" s="35"/>
      <c r="CC310" s="35"/>
      <c r="CD310" s="35"/>
      <c r="CE310" s="35"/>
      <c r="CF310" s="35"/>
      <c r="CG310" s="35"/>
      <c r="CH310" s="35"/>
      <c r="CI310" s="35"/>
      <c r="CJ310" s="35"/>
      <c r="CK310" s="35"/>
      <c r="CL310" s="35"/>
      <c r="CM310" s="35"/>
      <c r="CN310" s="35"/>
      <c r="CO310" s="35"/>
      <c r="CP310" s="35"/>
      <c r="CQ310" s="35"/>
      <c r="CR310" s="35"/>
      <c r="CS310" s="35"/>
      <c r="CT310" s="35"/>
      <c r="CU310" s="35"/>
      <c r="CV310" s="35"/>
      <c r="CW310" s="35"/>
      <c r="CX310" s="35"/>
      <c r="CY310" s="35"/>
      <c r="CZ310" s="35"/>
      <c r="DA310" s="35"/>
      <c r="DB310" s="35"/>
      <c r="DC310" s="35"/>
      <c r="DD310" s="35"/>
      <c r="DE310" s="35"/>
      <c r="DF310" s="35"/>
      <c r="DG310" s="35"/>
      <c r="DH310" s="35"/>
      <c r="DI310" s="35"/>
      <c r="DJ310" s="35"/>
      <c r="DK310" s="35"/>
      <c r="DL310" s="35"/>
      <c r="DM310" s="35"/>
      <c r="DN310" s="35"/>
      <c r="DO310" s="35"/>
      <c r="DP310" s="35"/>
      <c r="DQ310" s="35"/>
      <c r="DR310" s="35"/>
      <c r="DS310" s="35"/>
      <c r="DT310" s="35"/>
      <c r="DU310" s="35"/>
      <c r="DV310" s="35"/>
      <c r="DW310" s="61">
        <f t="shared" si="13"/>
        <v>0</v>
      </c>
    </row>
    <row r="311" spans="1:151" s="5" customFormat="1" ht="12" customHeight="1" x14ac:dyDescent="0.2">
      <c r="A311" s="39" t="s">
        <v>480</v>
      </c>
      <c r="B311" s="60">
        <f t="shared" si="15"/>
        <v>240</v>
      </c>
      <c r="C311" s="52">
        <v>10</v>
      </c>
      <c r="D311" s="54">
        <v>44753</v>
      </c>
      <c r="E311" s="62">
        <v>49.75</v>
      </c>
      <c r="F311" s="62">
        <f t="shared" si="16"/>
        <v>11940</v>
      </c>
      <c r="G311" s="60">
        <v>270</v>
      </c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1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  <c r="AY311" s="35">
        <v>30</v>
      </c>
      <c r="AZ311" s="35"/>
      <c r="BA311" s="35"/>
      <c r="BB311" s="35">
        <v>240</v>
      </c>
      <c r="BC311" s="35"/>
      <c r="BD311" s="35"/>
      <c r="BE311" s="35"/>
      <c r="BF311" s="35"/>
      <c r="BG311" s="35"/>
      <c r="BH311" s="35"/>
      <c r="BI311" s="35"/>
      <c r="BJ311" s="35"/>
      <c r="BK311" s="35"/>
      <c r="BL311" s="35"/>
      <c r="BM311" s="35"/>
      <c r="BN311" s="35"/>
      <c r="BO311" s="35"/>
      <c r="BP311" s="35"/>
      <c r="BQ311" s="35"/>
      <c r="BR311" s="35"/>
      <c r="BS311" s="35"/>
      <c r="BT311" s="35"/>
      <c r="BU311" s="35"/>
      <c r="BV311" s="35"/>
      <c r="BW311" s="35"/>
      <c r="BX311" s="35"/>
      <c r="BY311" s="35"/>
      <c r="BZ311" s="35"/>
      <c r="CA311" s="35"/>
      <c r="CB311" s="35"/>
      <c r="CC311" s="35"/>
      <c r="CD311" s="35"/>
      <c r="CE311" s="35"/>
      <c r="CF311" s="35"/>
      <c r="CG311" s="35"/>
      <c r="CH311" s="35"/>
      <c r="CI311" s="35"/>
      <c r="CJ311" s="35"/>
      <c r="CK311" s="35"/>
      <c r="CL311" s="35"/>
      <c r="CM311" s="35"/>
      <c r="CN311" s="35"/>
      <c r="CO311" s="35"/>
      <c r="CP311" s="35"/>
      <c r="CQ311" s="35"/>
      <c r="CR311" s="35"/>
      <c r="CS311" s="35"/>
      <c r="CT311" s="35"/>
      <c r="CU311" s="35"/>
      <c r="CV311" s="35"/>
      <c r="CW311" s="35"/>
      <c r="CX311" s="35"/>
      <c r="CY311" s="35"/>
      <c r="CZ311" s="35"/>
      <c r="DA311" s="35"/>
      <c r="DB311" s="35"/>
      <c r="DC311" s="35"/>
      <c r="DD311" s="35"/>
      <c r="DE311" s="35"/>
      <c r="DF311" s="35"/>
      <c r="DG311" s="35"/>
      <c r="DH311" s="35"/>
      <c r="DI311" s="35"/>
      <c r="DJ311" s="35"/>
      <c r="DK311" s="35"/>
      <c r="DL311" s="35"/>
      <c r="DM311" s="35"/>
      <c r="DN311" s="35"/>
      <c r="DO311" s="35"/>
      <c r="DP311" s="35"/>
      <c r="DQ311" s="35"/>
      <c r="DR311" s="35"/>
      <c r="DS311" s="35"/>
      <c r="DT311" s="35"/>
      <c r="DU311" s="35"/>
      <c r="DV311" s="35"/>
      <c r="DW311" s="61">
        <f t="shared" si="13"/>
        <v>0</v>
      </c>
    </row>
    <row r="312" spans="1:151" s="5" customFormat="1" ht="12" customHeight="1" x14ac:dyDescent="0.2">
      <c r="A312" s="39" t="s">
        <v>517</v>
      </c>
      <c r="B312" s="60">
        <f t="shared" si="15"/>
        <v>0</v>
      </c>
      <c r="C312" s="52">
        <v>5</v>
      </c>
      <c r="D312" s="54">
        <v>44893</v>
      </c>
      <c r="E312" s="62">
        <v>11.21</v>
      </c>
      <c r="F312" s="62">
        <f t="shared" si="16"/>
        <v>0</v>
      </c>
      <c r="G312" s="60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1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  <c r="AY312" s="35"/>
      <c r="AZ312" s="35"/>
      <c r="BA312" s="35"/>
      <c r="BB312" s="35"/>
      <c r="BC312" s="35"/>
      <c r="BD312" s="35"/>
      <c r="BE312" s="35"/>
      <c r="BF312" s="35"/>
      <c r="BG312" s="35"/>
      <c r="BH312" s="35"/>
      <c r="BI312" s="35"/>
      <c r="BJ312" s="35"/>
      <c r="BK312" s="35"/>
      <c r="BL312" s="35"/>
      <c r="BM312" s="35"/>
      <c r="BN312" s="35"/>
      <c r="BO312" s="35"/>
      <c r="BP312" s="35"/>
      <c r="BQ312" s="35"/>
      <c r="BR312" s="35"/>
      <c r="BS312" s="35"/>
      <c r="BT312" s="35"/>
      <c r="BU312" s="35"/>
      <c r="BV312" s="35"/>
      <c r="BW312" s="35"/>
      <c r="BX312" s="35"/>
      <c r="BY312" s="35"/>
      <c r="BZ312" s="35"/>
      <c r="CA312" s="35"/>
      <c r="CB312" s="35"/>
      <c r="CC312" s="35"/>
      <c r="CD312" s="35"/>
      <c r="CE312" s="35"/>
      <c r="CF312" s="35"/>
      <c r="CG312" s="35"/>
      <c r="CH312" s="35"/>
      <c r="CI312" s="35"/>
      <c r="CJ312" s="35"/>
      <c r="CK312" s="35"/>
      <c r="CL312" s="35"/>
      <c r="CM312" s="35"/>
      <c r="CN312" s="35"/>
      <c r="CO312" s="35"/>
      <c r="CP312" s="35"/>
      <c r="CQ312" s="35"/>
      <c r="CR312" s="35"/>
      <c r="CS312" s="35"/>
      <c r="CT312" s="35"/>
      <c r="CU312" s="35"/>
      <c r="CV312" s="35"/>
      <c r="CW312" s="35"/>
      <c r="CX312" s="35"/>
      <c r="CY312" s="35"/>
      <c r="CZ312" s="35"/>
      <c r="DA312" s="35"/>
      <c r="DB312" s="35"/>
      <c r="DC312" s="35"/>
      <c r="DD312" s="35"/>
      <c r="DE312" s="35"/>
      <c r="DF312" s="35"/>
      <c r="DG312" s="35"/>
      <c r="DH312" s="35"/>
      <c r="DI312" s="35"/>
      <c r="DJ312" s="35"/>
      <c r="DK312" s="35"/>
      <c r="DL312" s="35"/>
      <c r="DM312" s="35"/>
      <c r="DN312" s="35"/>
      <c r="DO312" s="35"/>
      <c r="DP312" s="35"/>
      <c r="DQ312" s="35"/>
      <c r="DR312" s="35"/>
      <c r="DS312" s="35"/>
      <c r="DT312" s="35"/>
      <c r="DU312" s="35"/>
      <c r="DV312" s="35"/>
      <c r="DW312" s="61">
        <f t="shared" si="13"/>
        <v>0</v>
      </c>
    </row>
    <row r="313" spans="1:151" s="5" customFormat="1" ht="12" customHeight="1" x14ac:dyDescent="0.2">
      <c r="A313" s="39" t="s">
        <v>520</v>
      </c>
      <c r="B313" s="60">
        <f t="shared" si="15"/>
        <v>0</v>
      </c>
      <c r="C313" s="52">
        <v>1</v>
      </c>
      <c r="D313" s="54">
        <v>44914</v>
      </c>
      <c r="E313" s="62">
        <v>61.62</v>
      </c>
      <c r="F313" s="62">
        <f t="shared" si="16"/>
        <v>0</v>
      </c>
      <c r="G313" s="60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1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  <c r="AY313" s="35"/>
      <c r="AZ313" s="35"/>
      <c r="BA313" s="35"/>
      <c r="BB313" s="35"/>
      <c r="BC313" s="35"/>
      <c r="BD313" s="35"/>
      <c r="BE313" s="35"/>
      <c r="BF313" s="35"/>
      <c r="BG313" s="35"/>
      <c r="BH313" s="35"/>
      <c r="BI313" s="35"/>
      <c r="BJ313" s="35"/>
      <c r="BK313" s="35"/>
      <c r="BL313" s="35"/>
      <c r="BM313" s="35"/>
      <c r="BN313" s="35"/>
      <c r="BO313" s="35"/>
      <c r="BP313" s="35"/>
      <c r="BQ313" s="35"/>
      <c r="BR313" s="35"/>
      <c r="BS313" s="35"/>
      <c r="BT313" s="35"/>
      <c r="BU313" s="35"/>
      <c r="BV313" s="35"/>
      <c r="BW313" s="35"/>
      <c r="BX313" s="35"/>
      <c r="BY313" s="35"/>
      <c r="BZ313" s="35"/>
      <c r="CA313" s="35"/>
      <c r="CB313" s="35"/>
      <c r="CC313" s="35"/>
      <c r="CD313" s="35"/>
      <c r="CE313" s="35"/>
      <c r="CF313" s="35"/>
      <c r="CG313" s="35"/>
      <c r="CH313" s="35"/>
      <c r="CI313" s="35"/>
      <c r="CJ313" s="35"/>
      <c r="CK313" s="35"/>
      <c r="CL313" s="35"/>
      <c r="CM313" s="35"/>
      <c r="CN313" s="35"/>
      <c r="CO313" s="35"/>
      <c r="CP313" s="35"/>
      <c r="CQ313" s="35"/>
      <c r="CR313" s="35"/>
      <c r="CS313" s="35"/>
      <c r="CT313" s="35"/>
      <c r="CU313" s="35"/>
      <c r="CV313" s="35"/>
      <c r="CW313" s="35"/>
      <c r="CX313" s="35"/>
      <c r="CY313" s="35"/>
      <c r="CZ313" s="35"/>
      <c r="DA313" s="35"/>
      <c r="DB313" s="35"/>
      <c r="DC313" s="35"/>
      <c r="DD313" s="35"/>
      <c r="DE313" s="35"/>
      <c r="DF313" s="35"/>
      <c r="DG313" s="35"/>
      <c r="DH313" s="35"/>
      <c r="DI313" s="35"/>
      <c r="DJ313" s="35"/>
      <c r="DK313" s="35"/>
      <c r="DL313" s="35"/>
      <c r="DM313" s="35"/>
      <c r="DN313" s="35"/>
      <c r="DO313" s="35"/>
      <c r="DP313" s="35"/>
      <c r="DQ313" s="35"/>
      <c r="DR313" s="35"/>
      <c r="DS313" s="35"/>
      <c r="DT313" s="35"/>
      <c r="DU313" s="35"/>
      <c r="DV313" s="35"/>
      <c r="DW313" s="61">
        <f t="shared" si="13"/>
        <v>0</v>
      </c>
    </row>
    <row r="314" spans="1:151" s="5" customFormat="1" ht="12" customHeight="1" x14ac:dyDescent="0.2">
      <c r="A314" s="39" t="s">
        <v>377</v>
      </c>
      <c r="B314" s="60">
        <f t="shared" si="15"/>
        <v>0</v>
      </c>
      <c r="C314" s="52">
        <v>1</v>
      </c>
      <c r="D314" s="54">
        <v>44914</v>
      </c>
      <c r="E314" s="62">
        <v>141.41</v>
      </c>
      <c r="F314" s="62">
        <f t="shared" si="14"/>
        <v>0</v>
      </c>
      <c r="G314" s="60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1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  <c r="AY314" s="35"/>
      <c r="AZ314" s="35"/>
      <c r="BA314" s="35"/>
      <c r="BB314" s="35"/>
      <c r="BC314" s="35"/>
      <c r="BD314" s="35"/>
      <c r="BE314" s="35"/>
      <c r="BF314" s="35"/>
      <c r="BG314" s="35"/>
      <c r="BH314" s="35"/>
      <c r="BI314" s="35"/>
      <c r="BJ314" s="35"/>
      <c r="BK314" s="35"/>
      <c r="BL314" s="35"/>
      <c r="BM314" s="35"/>
      <c r="BN314" s="35"/>
      <c r="BO314" s="35"/>
      <c r="BP314" s="35"/>
      <c r="BQ314" s="35"/>
      <c r="BR314" s="35"/>
      <c r="BS314" s="35"/>
      <c r="BT314" s="35"/>
      <c r="BU314" s="35"/>
      <c r="BV314" s="35"/>
      <c r="BW314" s="35"/>
      <c r="BX314" s="35"/>
      <c r="BY314" s="35"/>
      <c r="BZ314" s="35"/>
      <c r="CA314" s="35"/>
      <c r="CB314" s="35"/>
      <c r="CC314" s="35"/>
      <c r="CD314" s="35"/>
      <c r="CE314" s="35"/>
      <c r="CF314" s="35"/>
      <c r="CG314" s="35"/>
      <c r="CH314" s="35"/>
      <c r="CI314" s="35"/>
      <c r="CJ314" s="35"/>
      <c r="CK314" s="35"/>
      <c r="CL314" s="35"/>
      <c r="CM314" s="35"/>
      <c r="CN314" s="35"/>
      <c r="CO314" s="35"/>
      <c r="CP314" s="35"/>
      <c r="CQ314" s="35"/>
      <c r="CR314" s="35"/>
      <c r="CS314" s="35"/>
      <c r="CT314" s="35"/>
      <c r="CU314" s="35"/>
      <c r="CV314" s="35"/>
      <c r="CW314" s="35"/>
      <c r="CX314" s="35"/>
      <c r="CY314" s="35"/>
      <c r="CZ314" s="35"/>
      <c r="DA314" s="35"/>
      <c r="DB314" s="35"/>
      <c r="DC314" s="35"/>
      <c r="DD314" s="35"/>
      <c r="DE314" s="35"/>
      <c r="DF314" s="35"/>
      <c r="DG314" s="35"/>
      <c r="DH314" s="35"/>
      <c r="DI314" s="35"/>
      <c r="DJ314" s="35"/>
      <c r="DK314" s="35"/>
      <c r="DL314" s="35"/>
      <c r="DM314" s="35"/>
      <c r="DN314" s="35"/>
      <c r="DO314" s="35"/>
      <c r="DP314" s="35"/>
      <c r="DQ314" s="35"/>
      <c r="DR314" s="35"/>
      <c r="DS314" s="35"/>
      <c r="DT314" s="35"/>
      <c r="DU314" s="35"/>
      <c r="DV314" s="35"/>
      <c r="DW314" s="61">
        <f t="shared" si="13"/>
        <v>0</v>
      </c>
    </row>
    <row r="315" spans="1:151" s="5" customFormat="1" ht="12" customHeight="1" x14ac:dyDescent="0.2">
      <c r="A315" s="39" t="s">
        <v>400</v>
      </c>
      <c r="B315" s="60">
        <f t="shared" si="15"/>
        <v>0</v>
      </c>
      <c r="C315" s="52">
        <v>1</v>
      </c>
      <c r="D315" s="54">
        <v>44897</v>
      </c>
      <c r="E315" s="62">
        <v>73.27</v>
      </c>
      <c r="F315" s="62">
        <f t="shared" si="14"/>
        <v>0</v>
      </c>
      <c r="G315" s="60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1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  <c r="AY315" s="35"/>
      <c r="AZ315" s="35"/>
      <c r="BA315" s="35"/>
      <c r="BB315" s="35"/>
      <c r="BC315" s="35"/>
      <c r="BD315" s="35"/>
      <c r="BE315" s="35"/>
      <c r="BF315" s="35"/>
      <c r="BG315" s="35"/>
      <c r="BH315" s="35"/>
      <c r="BI315" s="35"/>
      <c r="BJ315" s="35"/>
      <c r="BK315" s="35"/>
      <c r="BL315" s="35"/>
      <c r="BM315" s="35"/>
      <c r="BN315" s="35"/>
      <c r="BO315" s="35"/>
      <c r="BP315" s="35"/>
      <c r="BQ315" s="35"/>
      <c r="BR315" s="35"/>
      <c r="BS315" s="35"/>
      <c r="BT315" s="35"/>
      <c r="BU315" s="35"/>
      <c r="BV315" s="35"/>
      <c r="BW315" s="35"/>
      <c r="BX315" s="35"/>
      <c r="BY315" s="35"/>
      <c r="BZ315" s="35"/>
      <c r="CA315" s="35"/>
      <c r="CB315" s="35"/>
      <c r="CC315" s="35"/>
      <c r="CD315" s="35"/>
      <c r="CE315" s="35"/>
      <c r="CF315" s="35"/>
      <c r="CG315" s="35"/>
      <c r="CH315" s="35"/>
      <c r="CI315" s="35"/>
      <c r="CJ315" s="35"/>
      <c r="CK315" s="35"/>
      <c r="CL315" s="35"/>
      <c r="CM315" s="35"/>
      <c r="CN315" s="35"/>
      <c r="CO315" s="35"/>
      <c r="CP315" s="35"/>
      <c r="CQ315" s="35"/>
      <c r="CR315" s="35"/>
      <c r="CS315" s="35"/>
      <c r="CT315" s="35"/>
      <c r="CU315" s="35"/>
      <c r="CV315" s="35"/>
      <c r="CW315" s="35"/>
      <c r="CX315" s="35"/>
      <c r="CY315" s="35"/>
      <c r="CZ315" s="35"/>
      <c r="DA315" s="35"/>
      <c r="DB315" s="35"/>
      <c r="DC315" s="35"/>
      <c r="DD315" s="35"/>
      <c r="DE315" s="35"/>
      <c r="DF315" s="35"/>
      <c r="DG315" s="35"/>
      <c r="DH315" s="35"/>
      <c r="DI315" s="35"/>
      <c r="DJ315" s="35"/>
      <c r="DK315" s="35"/>
      <c r="DL315" s="35"/>
      <c r="DM315" s="35"/>
      <c r="DN315" s="35"/>
      <c r="DO315" s="35"/>
      <c r="DP315" s="35"/>
      <c r="DQ315" s="35"/>
      <c r="DR315" s="35"/>
      <c r="DS315" s="35"/>
      <c r="DT315" s="35"/>
      <c r="DU315" s="35"/>
      <c r="DV315" s="35"/>
      <c r="DW315" s="61">
        <f t="shared" si="13"/>
        <v>0</v>
      </c>
    </row>
    <row r="316" spans="1:151" s="5" customFormat="1" ht="12" customHeight="1" x14ac:dyDescent="0.2">
      <c r="A316" s="39" t="s">
        <v>378</v>
      </c>
      <c r="B316" s="60">
        <f t="shared" si="15"/>
        <v>0</v>
      </c>
      <c r="C316" s="52">
        <v>1</v>
      </c>
      <c r="D316" s="54">
        <v>44914</v>
      </c>
      <c r="E316" s="62">
        <v>61.62</v>
      </c>
      <c r="F316" s="62">
        <f t="shared" si="14"/>
        <v>0</v>
      </c>
      <c r="G316" s="60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1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  <c r="AY316" s="35"/>
      <c r="AZ316" s="35"/>
      <c r="BA316" s="35"/>
      <c r="BB316" s="35"/>
      <c r="BC316" s="35"/>
      <c r="BD316" s="35"/>
      <c r="BE316" s="35"/>
      <c r="BF316" s="35"/>
      <c r="BG316" s="35"/>
      <c r="BH316" s="35"/>
      <c r="BI316" s="35"/>
      <c r="BJ316" s="35"/>
      <c r="BK316" s="35"/>
      <c r="BL316" s="35"/>
      <c r="BM316" s="35"/>
      <c r="BN316" s="35"/>
      <c r="BO316" s="35"/>
      <c r="BP316" s="35"/>
      <c r="BQ316" s="35"/>
      <c r="BR316" s="35"/>
      <c r="BS316" s="35"/>
      <c r="BT316" s="35"/>
      <c r="BU316" s="35"/>
      <c r="BV316" s="35"/>
      <c r="BW316" s="35"/>
      <c r="BX316" s="35"/>
      <c r="BY316" s="35"/>
      <c r="BZ316" s="35"/>
      <c r="CA316" s="35"/>
      <c r="CB316" s="35"/>
      <c r="CC316" s="35"/>
      <c r="CD316" s="35"/>
      <c r="CE316" s="35"/>
      <c r="CF316" s="35"/>
      <c r="CG316" s="35"/>
      <c r="CH316" s="35"/>
      <c r="CI316" s="35"/>
      <c r="CJ316" s="35"/>
      <c r="CK316" s="35"/>
      <c r="CL316" s="35"/>
      <c r="CM316" s="35"/>
      <c r="CN316" s="35"/>
      <c r="CO316" s="35"/>
      <c r="CP316" s="35"/>
      <c r="CQ316" s="35"/>
      <c r="CR316" s="35"/>
      <c r="CS316" s="35"/>
      <c r="CT316" s="35"/>
      <c r="CU316" s="35"/>
      <c r="CV316" s="35"/>
      <c r="CW316" s="35"/>
      <c r="CX316" s="35"/>
      <c r="CY316" s="35"/>
      <c r="CZ316" s="35"/>
      <c r="DA316" s="35"/>
      <c r="DB316" s="35"/>
      <c r="DC316" s="35"/>
      <c r="DD316" s="35"/>
      <c r="DE316" s="35"/>
      <c r="DF316" s="35"/>
      <c r="DG316" s="35"/>
      <c r="DH316" s="35"/>
      <c r="DI316" s="35"/>
      <c r="DJ316" s="35"/>
      <c r="DK316" s="35"/>
      <c r="DL316" s="35"/>
      <c r="DM316" s="35"/>
      <c r="DN316" s="35"/>
      <c r="DO316" s="35"/>
      <c r="DP316" s="35"/>
      <c r="DQ316" s="35"/>
      <c r="DR316" s="35"/>
      <c r="DS316" s="35"/>
      <c r="DT316" s="35"/>
      <c r="DU316" s="35"/>
      <c r="DV316" s="35"/>
      <c r="DW316" s="61">
        <f t="shared" si="13"/>
        <v>0</v>
      </c>
    </row>
    <row r="317" spans="1:151" s="5" customFormat="1" ht="12" customHeight="1" x14ac:dyDescent="0.2">
      <c r="A317" s="39" t="s">
        <v>412</v>
      </c>
      <c r="B317" s="60">
        <f t="shared" si="15"/>
        <v>0</v>
      </c>
      <c r="C317" s="52">
        <v>1</v>
      </c>
      <c r="D317" s="54">
        <v>44914</v>
      </c>
      <c r="E317" s="62">
        <v>61.93</v>
      </c>
      <c r="F317" s="62">
        <f t="shared" si="14"/>
        <v>0</v>
      </c>
      <c r="G317" s="60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1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  <c r="AY317" s="35"/>
      <c r="AZ317" s="35"/>
      <c r="BA317" s="35"/>
      <c r="BB317" s="35"/>
      <c r="BC317" s="35"/>
      <c r="BD317" s="35"/>
      <c r="BE317" s="35"/>
      <c r="BF317" s="35"/>
      <c r="BG317" s="35"/>
      <c r="BH317" s="35"/>
      <c r="BI317" s="35"/>
      <c r="BJ317" s="35"/>
      <c r="BK317" s="35"/>
      <c r="BL317" s="35"/>
      <c r="BM317" s="35"/>
      <c r="BN317" s="35"/>
      <c r="BO317" s="35"/>
      <c r="BP317" s="35"/>
      <c r="BQ317" s="35"/>
      <c r="BR317" s="35"/>
      <c r="BS317" s="35"/>
      <c r="BT317" s="35"/>
      <c r="BU317" s="35"/>
      <c r="BV317" s="35"/>
      <c r="BW317" s="35"/>
      <c r="BX317" s="35"/>
      <c r="BY317" s="35"/>
      <c r="BZ317" s="35"/>
      <c r="CA317" s="35"/>
      <c r="CB317" s="35"/>
      <c r="CC317" s="35"/>
      <c r="CD317" s="35"/>
      <c r="CE317" s="35"/>
      <c r="CF317" s="35"/>
      <c r="CG317" s="35"/>
      <c r="CH317" s="35"/>
      <c r="CI317" s="35"/>
      <c r="CJ317" s="35"/>
      <c r="CK317" s="35"/>
      <c r="CL317" s="35"/>
      <c r="CM317" s="35"/>
      <c r="CN317" s="35"/>
      <c r="CO317" s="35"/>
      <c r="CP317" s="35"/>
      <c r="CQ317" s="35"/>
      <c r="CR317" s="35"/>
      <c r="CS317" s="35"/>
      <c r="CT317" s="35"/>
      <c r="CU317" s="35"/>
      <c r="CV317" s="35"/>
      <c r="CW317" s="35"/>
      <c r="CX317" s="35"/>
      <c r="CY317" s="35"/>
      <c r="CZ317" s="35"/>
      <c r="DA317" s="35"/>
      <c r="DB317" s="35"/>
      <c r="DC317" s="35"/>
      <c r="DD317" s="35"/>
      <c r="DE317" s="35"/>
      <c r="DF317" s="35"/>
      <c r="DG317" s="35"/>
      <c r="DH317" s="35"/>
      <c r="DI317" s="35"/>
      <c r="DJ317" s="35"/>
      <c r="DK317" s="35"/>
      <c r="DL317" s="35"/>
      <c r="DM317" s="35"/>
      <c r="DN317" s="35"/>
      <c r="DO317" s="35"/>
      <c r="DP317" s="35"/>
      <c r="DQ317" s="35"/>
      <c r="DR317" s="35"/>
      <c r="DS317" s="35"/>
      <c r="DT317" s="35"/>
      <c r="DU317" s="35"/>
      <c r="DV317" s="35"/>
      <c r="DW317" s="61">
        <f t="shared" si="13"/>
        <v>0</v>
      </c>
    </row>
    <row r="318" spans="1:151" s="5" customFormat="1" ht="12" customHeight="1" x14ac:dyDescent="0.2">
      <c r="A318" s="39" t="s">
        <v>379</v>
      </c>
      <c r="B318" s="60">
        <f t="shared" si="15"/>
        <v>0</v>
      </c>
      <c r="C318" s="52">
        <v>1</v>
      </c>
      <c r="D318" s="54">
        <v>44914</v>
      </c>
      <c r="E318" s="62">
        <v>104.44</v>
      </c>
      <c r="F318" s="62">
        <f t="shared" si="14"/>
        <v>0</v>
      </c>
      <c r="G318" s="60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1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  <c r="AY318" s="35"/>
      <c r="AZ318" s="35"/>
      <c r="BA318" s="35"/>
      <c r="BB318" s="35"/>
      <c r="BC318" s="35"/>
      <c r="BD318" s="35"/>
      <c r="BE318" s="35"/>
      <c r="BF318" s="35"/>
      <c r="BG318" s="35"/>
      <c r="BH318" s="35"/>
      <c r="BI318" s="35"/>
      <c r="BJ318" s="35"/>
      <c r="BK318" s="35"/>
      <c r="BL318" s="35"/>
      <c r="BM318" s="35"/>
      <c r="BN318" s="35"/>
      <c r="BO318" s="35"/>
      <c r="BP318" s="35"/>
      <c r="BQ318" s="35"/>
      <c r="BR318" s="35"/>
      <c r="BS318" s="35"/>
      <c r="BT318" s="35"/>
      <c r="BU318" s="35"/>
      <c r="BV318" s="35"/>
      <c r="BW318" s="35"/>
      <c r="BX318" s="35"/>
      <c r="BY318" s="35"/>
      <c r="BZ318" s="35"/>
      <c r="CA318" s="35"/>
      <c r="CB318" s="35"/>
      <c r="CC318" s="35"/>
      <c r="CD318" s="35"/>
      <c r="CE318" s="35"/>
      <c r="CF318" s="35"/>
      <c r="CG318" s="35"/>
      <c r="CH318" s="35"/>
      <c r="CI318" s="35"/>
      <c r="CJ318" s="35"/>
      <c r="CK318" s="35"/>
      <c r="CL318" s="35"/>
      <c r="CM318" s="35"/>
      <c r="CN318" s="35"/>
      <c r="CO318" s="35"/>
      <c r="CP318" s="35"/>
      <c r="CQ318" s="35"/>
      <c r="CR318" s="35"/>
      <c r="CS318" s="35"/>
      <c r="CT318" s="35"/>
      <c r="CU318" s="35"/>
      <c r="CV318" s="35"/>
      <c r="CW318" s="35"/>
      <c r="CX318" s="35"/>
      <c r="CY318" s="35"/>
      <c r="CZ318" s="35"/>
      <c r="DA318" s="35"/>
      <c r="DB318" s="35"/>
      <c r="DC318" s="35"/>
      <c r="DD318" s="35"/>
      <c r="DE318" s="35"/>
      <c r="DF318" s="35"/>
      <c r="DG318" s="35"/>
      <c r="DH318" s="35"/>
      <c r="DI318" s="35"/>
      <c r="DJ318" s="35"/>
      <c r="DK318" s="35"/>
      <c r="DL318" s="35"/>
      <c r="DM318" s="35"/>
      <c r="DN318" s="35"/>
      <c r="DO318" s="35"/>
      <c r="DP318" s="35"/>
      <c r="DQ318" s="35"/>
      <c r="DR318" s="35"/>
      <c r="DS318" s="35"/>
      <c r="DT318" s="35"/>
      <c r="DU318" s="35"/>
      <c r="DV318" s="35"/>
      <c r="DW318" s="61">
        <f t="shared" si="13"/>
        <v>0</v>
      </c>
    </row>
    <row r="319" spans="1:151" s="5" customFormat="1" ht="12" customHeight="1" x14ac:dyDescent="0.2">
      <c r="A319" s="39" t="s">
        <v>409</v>
      </c>
      <c r="B319" s="60">
        <f t="shared" si="15"/>
        <v>0</v>
      </c>
      <c r="C319" s="52">
        <v>1</v>
      </c>
      <c r="D319" s="55">
        <v>44914</v>
      </c>
      <c r="E319" s="62">
        <v>65.319999999999993</v>
      </c>
      <c r="F319" s="62">
        <f t="shared" si="14"/>
        <v>0</v>
      </c>
      <c r="G319" s="60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1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  <c r="AY319" s="35"/>
      <c r="AZ319" s="35"/>
      <c r="BA319" s="35"/>
      <c r="BB319" s="35"/>
      <c r="BC319" s="35"/>
      <c r="BD319" s="35"/>
      <c r="BE319" s="35"/>
      <c r="BF319" s="35"/>
      <c r="BG319" s="35"/>
      <c r="BH319" s="35"/>
      <c r="BI319" s="35"/>
      <c r="BJ319" s="35"/>
      <c r="BK319" s="35"/>
      <c r="BL319" s="35"/>
      <c r="BM319" s="35"/>
      <c r="BN319" s="35"/>
      <c r="BO319" s="35"/>
      <c r="BP319" s="35"/>
      <c r="BQ319" s="35"/>
      <c r="BR319" s="35"/>
      <c r="BS319" s="35"/>
      <c r="BT319" s="35"/>
      <c r="BU319" s="35"/>
      <c r="BV319" s="35"/>
      <c r="BW319" s="35"/>
      <c r="BX319" s="35"/>
      <c r="BY319" s="35"/>
      <c r="BZ319" s="35"/>
      <c r="CA319" s="35"/>
      <c r="CB319" s="35"/>
      <c r="CC319" s="35"/>
      <c r="CD319" s="35"/>
      <c r="CE319" s="35"/>
      <c r="CF319" s="35"/>
      <c r="CG319" s="35"/>
      <c r="CH319" s="35"/>
      <c r="CI319" s="35"/>
      <c r="CJ319" s="35"/>
      <c r="CK319" s="35"/>
      <c r="CL319" s="35"/>
      <c r="CM319" s="35"/>
      <c r="CN319" s="35"/>
      <c r="CO319" s="35"/>
      <c r="CP319" s="35"/>
      <c r="CQ319" s="35"/>
      <c r="CR319" s="35"/>
      <c r="CS319" s="35"/>
      <c r="CT319" s="35"/>
      <c r="CU319" s="35"/>
      <c r="CV319" s="35"/>
      <c r="CW319" s="35"/>
      <c r="CX319" s="35"/>
      <c r="CY319" s="35"/>
      <c r="CZ319" s="35"/>
      <c r="DA319" s="35"/>
      <c r="DB319" s="35"/>
      <c r="DC319" s="35"/>
      <c r="DD319" s="35"/>
      <c r="DE319" s="35"/>
      <c r="DF319" s="35"/>
      <c r="DG319" s="35"/>
      <c r="DH319" s="35"/>
      <c r="DI319" s="35"/>
      <c r="DJ319" s="35"/>
      <c r="DK319" s="35"/>
      <c r="DL319" s="35"/>
      <c r="DM319" s="35"/>
      <c r="DN319" s="35"/>
      <c r="DO319" s="35"/>
      <c r="DP319" s="35"/>
      <c r="DQ319" s="35"/>
      <c r="DR319" s="35"/>
      <c r="DS319" s="35"/>
      <c r="DT319" s="35"/>
      <c r="DU319" s="35"/>
      <c r="DV319" s="35"/>
      <c r="DW319" s="61">
        <f t="shared" si="13"/>
        <v>0</v>
      </c>
    </row>
    <row r="320" spans="1:151" s="5" customFormat="1" ht="12" customHeight="1" x14ac:dyDescent="0.2">
      <c r="A320" s="39" t="s">
        <v>382</v>
      </c>
      <c r="B320" s="60">
        <f t="shared" si="15"/>
        <v>10</v>
      </c>
      <c r="C320" s="52">
        <v>1</v>
      </c>
      <c r="D320" s="54">
        <v>44624</v>
      </c>
      <c r="E320" s="62">
        <v>68.55</v>
      </c>
      <c r="F320" s="62">
        <f t="shared" si="14"/>
        <v>685.5</v>
      </c>
      <c r="G320" s="60">
        <v>10</v>
      </c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1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  <c r="AY320" s="35"/>
      <c r="AZ320" s="35"/>
      <c r="BA320" s="35">
        <v>10</v>
      </c>
      <c r="BB320" s="35"/>
      <c r="BC320" s="35"/>
      <c r="BD320" s="35"/>
      <c r="BE320" s="35"/>
      <c r="BF320" s="35"/>
      <c r="BG320" s="35"/>
      <c r="BH320" s="35"/>
      <c r="BI320" s="35"/>
      <c r="BJ320" s="35"/>
      <c r="BK320" s="35"/>
      <c r="BL320" s="35"/>
      <c r="BM320" s="35"/>
      <c r="BN320" s="35"/>
      <c r="BO320" s="35"/>
      <c r="BP320" s="35"/>
      <c r="BQ320" s="35"/>
      <c r="BR320" s="35"/>
      <c r="BS320" s="35"/>
      <c r="BT320" s="35"/>
      <c r="BU320" s="35"/>
      <c r="BV320" s="35"/>
      <c r="BW320" s="35"/>
      <c r="BX320" s="35"/>
      <c r="BY320" s="35"/>
      <c r="BZ320" s="35"/>
      <c r="CA320" s="35"/>
      <c r="CB320" s="35"/>
      <c r="CC320" s="35"/>
      <c r="CD320" s="35"/>
      <c r="CE320" s="35"/>
      <c r="CF320" s="35"/>
      <c r="CG320" s="35"/>
      <c r="CH320" s="35"/>
      <c r="CI320" s="35"/>
      <c r="CJ320" s="35"/>
      <c r="CK320" s="35"/>
      <c r="CL320" s="35"/>
      <c r="CM320" s="35"/>
      <c r="CN320" s="35"/>
      <c r="CO320" s="35"/>
      <c r="CP320" s="35"/>
      <c r="CQ320" s="35"/>
      <c r="CR320" s="35"/>
      <c r="CS320" s="35"/>
      <c r="CT320" s="35"/>
      <c r="CU320" s="35"/>
      <c r="CV320" s="35"/>
      <c r="CW320" s="35"/>
      <c r="CX320" s="35"/>
      <c r="CY320" s="35"/>
      <c r="CZ320" s="35"/>
      <c r="DA320" s="35"/>
      <c r="DB320" s="35"/>
      <c r="DC320" s="35"/>
      <c r="DD320" s="35"/>
      <c r="DE320" s="35"/>
      <c r="DF320" s="35"/>
      <c r="DG320" s="35"/>
      <c r="DH320" s="35"/>
      <c r="DI320" s="35"/>
      <c r="DJ320" s="35"/>
      <c r="DK320" s="35"/>
      <c r="DL320" s="35"/>
      <c r="DM320" s="35"/>
      <c r="DN320" s="35"/>
      <c r="DO320" s="35"/>
      <c r="DP320" s="35"/>
      <c r="DQ320" s="35"/>
      <c r="DR320" s="35"/>
      <c r="DS320" s="35"/>
      <c r="DT320" s="35"/>
      <c r="DU320" s="35"/>
      <c r="DV320" s="35"/>
      <c r="DW320" s="61">
        <f t="shared" si="13"/>
        <v>0</v>
      </c>
    </row>
    <row r="321" spans="1:127" s="5" customFormat="1" ht="12" customHeight="1" x14ac:dyDescent="0.2">
      <c r="A321" s="39" t="s">
        <v>316</v>
      </c>
      <c r="B321" s="60">
        <f t="shared" si="15"/>
        <v>0</v>
      </c>
      <c r="C321" s="52">
        <v>1</v>
      </c>
      <c r="D321" s="54">
        <v>44963</v>
      </c>
      <c r="E321" s="62">
        <v>87.15</v>
      </c>
      <c r="F321" s="62">
        <f t="shared" si="14"/>
        <v>0</v>
      </c>
      <c r="G321" s="60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1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>
        <v>5</v>
      </c>
      <c r="BA321" s="35"/>
      <c r="BB321" s="35"/>
      <c r="BC321" s="35"/>
      <c r="BD321" s="35"/>
      <c r="BE321" s="35"/>
      <c r="BF321" s="35"/>
      <c r="BG321" s="35"/>
      <c r="BH321" s="35"/>
      <c r="BI321" s="35"/>
      <c r="BJ321" s="35"/>
      <c r="BK321" s="35"/>
      <c r="BL321" s="35"/>
      <c r="BM321" s="35"/>
      <c r="BN321" s="35"/>
      <c r="BO321" s="35"/>
      <c r="BP321" s="35"/>
      <c r="BQ321" s="35"/>
      <c r="BR321" s="35"/>
      <c r="BS321" s="35"/>
      <c r="BT321" s="35"/>
      <c r="BU321" s="35"/>
      <c r="BV321" s="35"/>
      <c r="BW321" s="35"/>
      <c r="BX321" s="35"/>
      <c r="BY321" s="35"/>
      <c r="BZ321" s="35"/>
      <c r="CA321" s="35"/>
      <c r="CB321" s="35"/>
      <c r="CC321" s="35"/>
      <c r="CD321" s="35"/>
      <c r="CE321" s="35"/>
      <c r="CF321" s="35"/>
      <c r="CG321" s="35"/>
      <c r="CH321" s="35"/>
      <c r="CI321" s="35"/>
      <c r="CJ321" s="35"/>
      <c r="CK321" s="35"/>
      <c r="CL321" s="35"/>
      <c r="CM321" s="35"/>
      <c r="CN321" s="35"/>
      <c r="CO321" s="35"/>
      <c r="CP321" s="35"/>
      <c r="CQ321" s="35"/>
      <c r="CR321" s="35"/>
      <c r="CS321" s="35"/>
      <c r="CT321" s="35"/>
      <c r="CU321" s="35"/>
      <c r="CV321" s="35"/>
      <c r="CW321" s="35"/>
      <c r="CX321" s="35"/>
      <c r="CY321" s="35"/>
      <c r="CZ321" s="35"/>
      <c r="DA321" s="35"/>
      <c r="DB321" s="35"/>
      <c r="DC321" s="35"/>
      <c r="DD321" s="35"/>
      <c r="DE321" s="35"/>
      <c r="DF321" s="35"/>
      <c r="DG321" s="35"/>
      <c r="DH321" s="35"/>
      <c r="DI321" s="35"/>
      <c r="DJ321" s="35">
        <v>5</v>
      </c>
      <c r="DK321" s="35"/>
      <c r="DL321" s="35"/>
      <c r="DM321" s="35"/>
      <c r="DN321" s="35"/>
      <c r="DO321" s="35"/>
      <c r="DP321" s="35"/>
      <c r="DQ321" s="35"/>
      <c r="DR321" s="35"/>
      <c r="DS321" s="35"/>
      <c r="DT321" s="35"/>
      <c r="DU321" s="35"/>
      <c r="DV321" s="35"/>
      <c r="DW321" s="61">
        <f t="shared" si="13"/>
        <v>0</v>
      </c>
    </row>
    <row r="322" spans="1:127" s="5" customFormat="1" ht="12" customHeight="1" x14ac:dyDescent="0.2">
      <c r="A322" s="39" t="s">
        <v>317</v>
      </c>
      <c r="B322" s="60">
        <f t="shared" si="15"/>
        <v>1</v>
      </c>
      <c r="C322" s="52">
        <v>1</v>
      </c>
      <c r="D322" s="54">
        <v>44963</v>
      </c>
      <c r="E322" s="88">
        <v>40.22</v>
      </c>
      <c r="F322" s="62">
        <f t="shared" si="14"/>
        <v>40.22</v>
      </c>
      <c r="G322" s="60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1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  <c r="AY322" s="35"/>
      <c r="AZ322" s="35"/>
      <c r="BA322" s="35"/>
      <c r="BB322" s="35"/>
      <c r="BC322" s="35"/>
      <c r="BD322" s="35"/>
      <c r="BE322" s="35"/>
      <c r="BF322" s="35">
        <v>5</v>
      </c>
      <c r="BG322" s="35"/>
      <c r="BH322" s="35"/>
      <c r="BI322" s="35"/>
      <c r="BJ322" s="35"/>
      <c r="BK322" s="35"/>
      <c r="BL322" s="35"/>
      <c r="BM322" s="35"/>
      <c r="BN322" s="35"/>
      <c r="BO322" s="35"/>
      <c r="BP322" s="35"/>
      <c r="BQ322" s="35">
        <v>1</v>
      </c>
      <c r="BR322" s="35"/>
      <c r="BS322" s="35"/>
      <c r="BT322" s="35"/>
      <c r="BU322" s="35"/>
      <c r="BV322" s="35"/>
      <c r="BW322" s="35"/>
      <c r="BX322" s="35"/>
      <c r="BY322" s="35"/>
      <c r="BZ322" s="35"/>
      <c r="CA322" s="35"/>
      <c r="CB322" s="35"/>
      <c r="CC322" s="35"/>
      <c r="CD322" s="35"/>
      <c r="CE322" s="35"/>
      <c r="CF322" s="35"/>
      <c r="CG322" s="35"/>
      <c r="CH322" s="35"/>
      <c r="CI322" s="35"/>
      <c r="CJ322" s="35"/>
      <c r="CK322" s="35"/>
      <c r="CL322" s="35"/>
      <c r="CM322" s="35"/>
      <c r="CN322" s="35"/>
      <c r="CO322" s="35"/>
      <c r="CP322" s="35"/>
      <c r="CQ322" s="35"/>
      <c r="CR322" s="35"/>
      <c r="CS322" s="35"/>
      <c r="CT322" s="35"/>
      <c r="CU322" s="35"/>
      <c r="CV322" s="35"/>
      <c r="CW322" s="35"/>
      <c r="CX322" s="35"/>
      <c r="CY322" s="35"/>
      <c r="CZ322" s="35"/>
      <c r="DA322" s="35"/>
      <c r="DB322" s="35"/>
      <c r="DC322" s="35"/>
      <c r="DD322" s="35"/>
      <c r="DE322" s="35"/>
      <c r="DF322" s="35"/>
      <c r="DG322" s="35"/>
      <c r="DH322" s="35"/>
      <c r="DI322" s="35"/>
      <c r="DJ322" s="35">
        <v>6</v>
      </c>
      <c r="DK322" s="35"/>
      <c r="DL322" s="35"/>
      <c r="DM322" s="35"/>
      <c r="DN322" s="35"/>
      <c r="DO322" s="35"/>
      <c r="DP322" s="35"/>
      <c r="DQ322" s="35"/>
      <c r="DR322" s="35"/>
      <c r="DS322" s="35"/>
      <c r="DT322" s="35"/>
      <c r="DU322" s="35"/>
      <c r="DV322" s="35"/>
      <c r="DW322" s="61">
        <f t="shared" si="13"/>
        <v>0</v>
      </c>
    </row>
    <row r="323" spans="1:127" s="5" customFormat="1" ht="12" customHeight="1" x14ac:dyDescent="0.2">
      <c r="A323" s="39" t="s">
        <v>286</v>
      </c>
      <c r="B323" s="60">
        <f t="shared" si="15"/>
        <v>0</v>
      </c>
      <c r="C323" s="52">
        <v>1</v>
      </c>
      <c r="D323" s="54">
        <v>44775</v>
      </c>
      <c r="E323" s="62">
        <v>41.59</v>
      </c>
      <c r="F323" s="62">
        <f t="shared" si="14"/>
        <v>0</v>
      </c>
      <c r="G323" s="60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1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  <c r="AY323" s="35"/>
      <c r="AZ323" s="35"/>
      <c r="BA323" s="35"/>
      <c r="BB323" s="35"/>
      <c r="BC323" s="35"/>
      <c r="BD323" s="35"/>
      <c r="BE323" s="35"/>
      <c r="BF323" s="35"/>
      <c r="BG323" s="35"/>
      <c r="BH323" s="35"/>
      <c r="BI323" s="35"/>
      <c r="BJ323" s="35"/>
      <c r="BK323" s="35"/>
      <c r="BL323" s="35"/>
      <c r="BM323" s="35"/>
      <c r="BN323" s="35"/>
      <c r="BO323" s="35"/>
      <c r="BP323" s="35"/>
      <c r="BQ323" s="35"/>
      <c r="BR323" s="35"/>
      <c r="BS323" s="35"/>
      <c r="BT323" s="35"/>
      <c r="BU323" s="35"/>
      <c r="BV323" s="35"/>
      <c r="BW323" s="35"/>
      <c r="BX323" s="35"/>
      <c r="BY323" s="35"/>
      <c r="BZ323" s="35"/>
      <c r="CA323" s="35"/>
      <c r="CB323" s="35"/>
      <c r="CC323" s="35"/>
      <c r="CD323" s="35"/>
      <c r="CE323" s="35"/>
      <c r="CF323" s="35"/>
      <c r="CG323" s="35"/>
      <c r="CH323" s="35"/>
      <c r="CI323" s="35"/>
      <c r="CJ323" s="35"/>
      <c r="CK323" s="35"/>
      <c r="CL323" s="35"/>
      <c r="CM323" s="35"/>
      <c r="CN323" s="35"/>
      <c r="CO323" s="35"/>
      <c r="CP323" s="35"/>
      <c r="CQ323" s="35"/>
      <c r="CR323" s="35"/>
      <c r="CS323" s="35"/>
      <c r="CT323" s="35"/>
      <c r="CU323" s="35"/>
      <c r="CV323" s="35"/>
      <c r="CW323" s="35"/>
      <c r="CX323" s="35"/>
      <c r="CY323" s="35"/>
      <c r="CZ323" s="35"/>
      <c r="DA323" s="35"/>
      <c r="DB323" s="35"/>
      <c r="DC323" s="35"/>
      <c r="DD323" s="35"/>
      <c r="DE323" s="35"/>
      <c r="DF323" s="35"/>
      <c r="DG323" s="35"/>
      <c r="DH323" s="35"/>
      <c r="DI323" s="35"/>
      <c r="DJ323" s="35"/>
      <c r="DK323" s="35"/>
      <c r="DL323" s="35"/>
      <c r="DM323" s="35"/>
      <c r="DN323" s="35"/>
      <c r="DO323" s="35"/>
      <c r="DP323" s="35"/>
      <c r="DQ323" s="35"/>
      <c r="DR323" s="35"/>
      <c r="DS323" s="35"/>
      <c r="DT323" s="35"/>
      <c r="DU323" s="35"/>
      <c r="DV323" s="35"/>
      <c r="DW323" s="61">
        <f t="shared" si="13"/>
        <v>0</v>
      </c>
    </row>
    <row r="324" spans="1:127" s="5" customFormat="1" ht="12" customHeight="1" x14ac:dyDescent="0.2">
      <c r="A324" s="39" t="s">
        <v>304</v>
      </c>
      <c r="B324" s="60">
        <f t="shared" si="15"/>
        <v>11</v>
      </c>
      <c r="C324" s="52">
        <v>1</v>
      </c>
      <c r="D324" s="54">
        <v>44832</v>
      </c>
      <c r="E324" s="62">
        <v>35.58</v>
      </c>
      <c r="F324" s="62">
        <f t="shared" si="14"/>
        <v>391.38</v>
      </c>
      <c r="G324" s="60">
        <v>11</v>
      </c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1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  <c r="AY324" s="35"/>
      <c r="AZ324" s="35"/>
      <c r="BA324" s="35"/>
      <c r="BB324" s="35">
        <v>11</v>
      </c>
      <c r="BC324" s="35"/>
      <c r="BD324" s="35"/>
      <c r="BE324" s="35"/>
      <c r="BF324" s="35"/>
      <c r="BG324" s="35"/>
      <c r="BH324" s="35"/>
      <c r="BI324" s="35"/>
      <c r="BJ324" s="35"/>
      <c r="BK324" s="35"/>
      <c r="BL324" s="35"/>
      <c r="BM324" s="35"/>
      <c r="BN324" s="35"/>
      <c r="BO324" s="35"/>
      <c r="BP324" s="35"/>
      <c r="BQ324" s="35"/>
      <c r="BR324" s="35"/>
      <c r="BS324" s="35"/>
      <c r="BT324" s="35"/>
      <c r="BU324" s="35"/>
      <c r="BV324" s="35"/>
      <c r="BW324" s="35"/>
      <c r="BX324" s="35"/>
      <c r="BY324" s="35"/>
      <c r="BZ324" s="35"/>
      <c r="CA324" s="35"/>
      <c r="CB324" s="35"/>
      <c r="CC324" s="35"/>
      <c r="CD324" s="35"/>
      <c r="CE324" s="35"/>
      <c r="CF324" s="35"/>
      <c r="CG324" s="35"/>
      <c r="CH324" s="35"/>
      <c r="CI324" s="35"/>
      <c r="CJ324" s="35"/>
      <c r="CK324" s="35"/>
      <c r="CL324" s="35"/>
      <c r="CM324" s="35"/>
      <c r="CN324" s="35"/>
      <c r="CO324" s="35"/>
      <c r="CP324" s="35"/>
      <c r="CQ324" s="35"/>
      <c r="CR324" s="35"/>
      <c r="CS324" s="35"/>
      <c r="CT324" s="35"/>
      <c r="CU324" s="35"/>
      <c r="CV324" s="35"/>
      <c r="CW324" s="35"/>
      <c r="CX324" s="35"/>
      <c r="CY324" s="35"/>
      <c r="CZ324" s="35"/>
      <c r="DA324" s="35"/>
      <c r="DB324" s="35"/>
      <c r="DC324" s="35"/>
      <c r="DD324" s="35"/>
      <c r="DE324" s="35"/>
      <c r="DF324" s="35"/>
      <c r="DG324" s="35"/>
      <c r="DH324" s="35"/>
      <c r="DI324" s="35"/>
      <c r="DJ324" s="35"/>
      <c r="DK324" s="35"/>
      <c r="DL324" s="35"/>
      <c r="DM324" s="35"/>
      <c r="DN324" s="35"/>
      <c r="DO324" s="35"/>
      <c r="DP324" s="35"/>
      <c r="DQ324" s="35"/>
      <c r="DR324" s="35"/>
      <c r="DS324" s="35"/>
      <c r="DT324" s="35"/>
      <c r="DU324" s="35"/>
      <c r="DV324" s="35"/>
      <c r="DW324" s="61">
        <f t="shared" ref="DW324:DW387" si="17">$B324-SUMIF($G$3:$IK$3,"",$G324:$IK324)</f>
        <v>0</v>
      </c>
    </row>
    <row r="325" spans="1:127" s="5" customFormat="1" ht="12" customHeight="1" x14ac:dyDescent="0.2">
      <c r="A325" s="39" t="s">
        <v>488</v>
      </c>
      <c r="B325" s="60">
        <f t="shared" si="15"/>
        <v>12</v>
      </c>
      <c r="C325" s="52">
        <v>1</v>
      </c>
      <c r="D325" s="55">
        <v>44865</v>
      </c>
      <c r="E325" s="62">
        <v>88.97</v>
      </c>
      <c r="F325" s="62">
        <f t="shared" si="14"/>
        <v>1067.6399999999999</v>
      </c>
      <c r="G325" s="60">
        <v>12</v>
      </c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1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  <c r="AY325" s="35"/>
      <c r="AZ325" s="35"/>
      <c r="BA325" s="35"/>
      <c r="BB325" s="35">
        <v>12</v>
      </c>
      <c r="BC325" s="35"/>
      <c r="BD325" s="35"/>
      <c r="BE325" s="35"/>
      <c r="BF325" s="35"/>
      <c r="BG325" s="35"/>
      <c r="BH325" s="35"/>
      <c r="BI325" s="35"/>
      <c r="BJ325" s="35"/>
      <c r="BK325" s="35"/>
      <c r="BL325" s="35"/>
      <c r="BM325" s="35"/>
      <c r="BN325" s="35"/>
      <c r="BO325" s="35"/>
      <c r="BP325" s="35"/>
      <c r="BQ325" s="35"/>
      <c r="BR325" s="35"/>
      <c r="BS325" s="35"/>
      <c r="BT325" s="35"/>
      <c r="BU325" s="35"/>
      <c r="BV325" s="35"/>
      <c r="BW325" s="35"/>
      <c r="BX325" s="35"/>
      <c r="BY325" s="35"/>
      <c r="BZ325" s="35"/>
      <c r="CA325" s="35"/>
      <c r="CB325" s="35"/>
      <c r="CC325" s="35"/>
      <c r="CD325" s="35"/>
      <c r="CE325" s="35"/>
      <c r="CF325" s="35"/>
      <c r="CG325" s="35"/>
      <c r="CH325" s="35"/>
      <c r="CI325" s="35"/>
      <c r="CJ325" s="35"/>
      <c r="CK325" s="35"/>
      <c r="CL325" s="35"/>
      <c r="CM325" s="35"/>
      <c r="CN325" s="35"/>
      <c r="CO325" s="35"/>
      <c r="CP325" s="35"/>
      <c r="CQ325" s="35"/>
      <c r="CR325" s="35"/>
      <c r="CS325" s="35"/>
      <c r="CT325" s="35"/>
      <c r="CU325" s="35"/>
      <c r="CV325" s="35"/>
      <c r="CW325" s="35"/>
      <c r="CX325" s="35"/>
      <c r="CY325" s="35"/>
      <c r="CZ325" s="35"/>
      <c r="DA325" s="35"/>
      <c r="DB325" s="35"/>
      <c r="DC325" s="35"/>
      <c r="DD325" s="35"/>
      <c r="DE325" s="35"/>
      <c r="DF325" s="35"/>
      <c r="DG325" s="35"/>
      <c r="DH325" s="35"/>
      <c r="DI325" s="35"/>
      <c r="DJ325" s="35"/>
      <c r="DK325" s="35"/>
      <c r="DL325" s="35"/>
      <c r="DM325" s="35"/>
      <c r="DN325" s="35"/>
      <c r="DO325" s="35"/>
      <c r="DP325" s="35"/>
      <c r="DQ325" s="35"/>
      <c r="DR325" s="35"/>
      <c r="DS325" s="35"/>
      <c r="DT325" s="35"/>
      <c r="DU325" s="35"/>
      <c r="DV325" s="35"/>
      <c r="DW325" s="61">
        <f t="shared" si="17"/>
        <v>0</v>
      </c>
    </row>
    <row r="326" spans="1:127" s="5" customFormat="1" x14ac:dyDescent="0.2">
      <c r="A326" s="39" t="s">
        <v>259</v>
      </c>
      <c r="B326" s="60">
        <f t="shared" si="15"/>
        <v>0</v>
      </c>
      <c r="C326" s="52">
        <v>1</v>
      </c>
      <c r="D326" s="55">
        <v>44897</v>
      </c>
      <c r="E326" s="62">
        <v>96.72</v>
      </c>
      <c r="F326" s="62">
        <f t="shared" si="14"/>
        <v>0</v>
      </c>
      <c r="G326" s="60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1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  <c r="AY326" s="35"/>
      <c r="AZ326" s="35"/>
      <c r="BA326" s="35"/>
      <c r="BB326" s="35"/>
      <c r="BC326" s="35"/>
      <c r="BD326" s="35"/>
      <c r="BE326" s="35"/>
      <c r="BF326" s="35"/>
      <c r="BG326" s="35"/>
      <c r="BH326" s="35"/>
      <c r="BI326" s="35"/>
      <c r="BJ326" s="35"/>
      <c r="BK326" s="35"/>
      <c r="BL326" s="35"/>
      <c r="BM326" s="35"/>
      <c r="BN326" s="35"/>
      <c r="BO326" s="35"/>
      <c r="BP326" s="35"/>
      <c r="BQ326" s="35"/>
      <c r="BR326" s="35"/>
      <c r="BS326" s="35"/>
      <c r="BT326" s="35"/>
      <c r="BU326" s="35"/>
      <c r="BV326" s="35"/>
      <c r="BW326" s="35"/>
      <c r="BX326" s="35"/>
      <c r="BY326" s="35"/>
      <c r="BZ326" s="35"/>
      <c r="CA326" s="35"/>
      <c r="CB326" s="35"/>
      <c r="CC326" s="35"/>
      <c r="CD326" s="35"/>
      <c r="CE326" s="35"/>
      <c r="CF326" s="35"/>
      <c r="CG326" s="35"/>
      <c r="CH326" s="35"/>
      <c r="CI326" s="35"/>
      <c r="CJ326" s="35"/>
      <c r="CK326" s="35"/>
      <c r="CL326" s="35"/>
      <c r="CM326" s="35"/>
      <c r="CN326" s="35"/>
      <c r="CO326" s="35"/>
      <c r="CP326" s="35"/>
      <c r="CQ326" s="35"/>
      <c r="CR326" s="35"/>
      <c r="CS326" s="35"/>
      <c r="CT326" s="35"/>
      <c r="CU326" s="35"/>
      <c r="CV326" s="35"/>
      <c r="CW326" s="35"/>
      <c r="CX326" s="35"/>
      <c r="CY326" s="35"/>
      <c r="CZ326" s="35"/>
      <c r="DA326" s="35"/>
      <c r="DB326" s="35"/>
      <c r="DC326" s="35"/>
      <c r="DD326" s="35"/>
      <c r="DE326" s="35"/>
      <c r="DF326" s="35"/>
      <c r="DG326" s="35"/>
      <c r="DH326" s="35"/>
      <c r="DI326" s="35"/>
      <c r="DJ326" s="35"/>
      <c r="DK326" s="35"/>
      <c r="DL326" s="35"/>
      <c r="DM326" s="35"/>
      <c r="DN326" s="35"/>
      <c r="DO326" s="35"/>
      <c r="DP326" s="35"/>
      <c r="DQ326" s="35"/>
      <c r="DR326" s="35"/>
      <c r="DS326" s="35"/>
      <c r="DT326" s="35"/>
      <c r="DU326" s="35"/>
      <c r="DV326" s="35"/>
      <c r="DW326" s="61">
        <f t="shared" si="17"/>
        <v>0</v>
      </c>
    </row>
    <row r="327" spans="1:127" s="5" customFormat="1" x14ac:dyDescent="0.2">
      <c r="A327" s="39" t="s">
        <v>487</v>
      </c>
      <c r="B327" s="60">
        <f t="shared" si="15"/>
        <v>0</v>
      </c>
      <c r="C327" s="52">
        <v>1</v>
      </c>
      <c r="D327" s="55">
        <v>44963</v>
      </c>
      <c r="E327" s="62">
        <v>75.42</v>
      </c>
      <c r="F327" s="62">
        <f t="shared" si="14"/>
        <v>0</v>
      </c>
      <c r="G327" s="60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1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  <c r="AY327" s="35"/>
      <c r="AZ327" s="35"/>
      <c r="BA327" s="35"/>
      <c r="BB327" s="35"/>
      <c r="BC327" s="35"/>
      <c r="BD327" s="35"/>
      <c r="BE327" s="35"/>
      <c r="BF327" s="35">
        <v>1</v>
      </c>
      <c r="BG327" s="35"/>
      <c r="BH327" s="35"/>
      <c r="BI327" s="35"/>
      <c r="BJ327" s="35"/>
      <c r="BK327" s="35"/>
      <c r="BL327" s="35"/>
      <c r="BM327" s="35"/>
      <c r="BN327" s="35"/>
      <c r="BO327" s="35"/>
      <c r="BP327" s="35"/>
      <c r="BQ327" s="35"/>
      <c r="BR327" s="35"/>
      <c r="BS327" s="35"/>
      <c r="BT327" s="35"/>
      <c r="BU327" s="35"/>
      <c r="BV327" s="35"/>
      <c r="BW327" s="35"/>
      <c r="BX327" s="35"/>
      <c r="BY327" s="35"/>
      <c r="BZ327" s="35"/>
      <c r="CA327" s="35"/>
      <c r="CB327" s="35"/>
      <c r="CC327" s="35"/>
      <c r="CD327" s="35"/>
      <c r="CE327" s="35"/>
      <c r="CF327" s="35"/>
      <c r="CG327" s="35"/>
      <c r="CH327" s="35"/>
      <c r="CI327" s="35"/>
      <c r="CJ327" s="35"/>
      <c r="CK327" s="35"/>
      <c r="CL327" s="35"/>
      <c r="CM327" s="35"/>
      <c r="CN327" s="35"/>
      <c r="CO327" s="35"/>
      <c r="CP327" s="35"/>
      <c r="CQ327" s="35"/>
      <c r="CR327" s="35"/>
      <c r="CS327" s="35"/>
      <c r="CT327" s="35"/>
      <c r="CU327" s="35"/>
      <c r="CV327" s="35"/>
      <c r="CW327" s="35"/>
      <c r="CX327" s="35"/>
      <c r="CY327" s="35"/>
      <c r="CZ327" s="35"/>
      <c r="DA327" s="35"/>
      <c r="DB327" s="35"/>
      <c r="DC327" s="35"/>
      <c r="DD327" s="35"/>
      <c r="DE327" s="35"/>
      <c r="DF327" s="35"/>
      <c r="DG327" s="35"/>
      <c r="DH327" s="35"/>
      <c r="DI327" s="35"/>
      <c r="DJ327" s="35">
        <v>1</v>
      </c>
      <c r="DK327" s="35"/>
      <c r="DL327" s="35"/>
      <c r="DM327" s="35"/>
      <c r="DN327" s="35"/>
      <c r="DO327" s="35"/>
      <c r="DP327" s="35"/>
      <c r="DQ327" s="35"/>
      <c r="DR327" s="35"/>
      <c r="DS327" s="35"/>
      <c r="DT327" s="35"/>
      <c r="DU327" s="35"/>
      <c r="DV327" s="35"/>
      <c r="DW327" s="61">
        <f t="shared" si="17"/>
        <v>0</v>
      </c>
    </row>
    <row r="328" spans="1:127" s="5" customFormat="1" ht="12" customHeight="1" x14ac:dyDescent="0.2">
      <c r="A328" s="39" t="s">
        <v>519</v>
      </c>
      <c r="B328" s="60">
        <f t="shared" si="15"/>
        <v>0</v>
      </c>
      <c r="C328" s="52">
        <v>1</v>
      </c>
      <c r="D328" s="54">
        <v>44914</v>
      </c>
      <c r="E328" s="62">
        <v>73.94</v>
      </c>
      <c r="F328" s="62">
        <f t="shared" si="14"/>
        <v>0</v>
      </c>
      <c r="G328" s="60">
        <v>1</v>
      </c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15"/>
      <c r="V328" s="35"/>
      <c r="W328" s="35"/>
      <c r="X328" s="35"/>
      <c r="Y328" s="35"/>
      <c r="Z328" s="35"/>
      <c r="AA328" s="35"/>
      <c r="AB328" s="35"/>
      <c r="AC328" s="35">
        <v>1</v>
      </c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  <c r="AY328" s="35"/>
      <c r="AZ328" s="35"/>
      <c r="BA328" s="35"/>
      <c r="BB328" s="35"/>
      <c r="BC328" s="35"/>
      <c r="BD328" s="35"/>
      <c r="BE328" s="35"/>
      <c r="BF328" s="35"/>
      <c r="BG328" s="35"/>
      <c r="BH328" s="35"/>
      <c r="BI328" s="35"/>
      <c r="BJ328" s="35"/>
      <c r="BK328" s="35"/>
      <c r="BL328" s="35"/>
      <c r="BM328" s="35"/>
      <c r="BN328" s="35"/>
      <c r="BO328" s="35"/>
      <c r="BP328" s="35"/>
      <c r="BQ328" s="35"/>
      <c r="BR328" s="35"/>
      <c r="BS328" s="35"/>
      <c r="BT328" s="35"/>
      <c r="BU328" s="35"/>
      <c r="BV328" s="35"/>
      <c r="BW328" s="35"/>
      <c r="BX328" s="35"/>
      <c r="BY328" s="35"/>
      <c r="BZ328" s="35"/>
      <c r="CA328" s="35"/>
      <c r="CB328" s="35"/>
      <c r="CC328" s="35"/>
      <c r="CD328" s="35"/>
      <c r="CE328" s="35"/>
      <c r="CF328" s="35"/>
      <c r="CG328" s="35"/>
      <c r="CH328" s="35"/>
      <c r="CI328" s="35"/>
      <c r="CJ328" s="35"/>
      <c r="CK328" s="35"/>
      <c r="CL328" s="35"/>
      <c r="CM328" s="35"/>
      <c r="CN328" s="35"/>
      <c r="CO328" s="35"/>
      <c r="CP328" s="35"/>
      <c r="CQ328" s="35"/>
      <c r="CR328" s="35"/>
      <c r="CS328" s="35"/>
      <c r="CT328" s="35"/>
      <c r="CU328" s="35"/>
      <c r="CV328" s="35"/>
      <c r="CW328" s="35"/>
      <c r="CX328" s="35"/>
      <c r="CY328" s="35"/>
      <c r="CZ328" s="35"/>
      <c r="DA328" s="35"/>
      <c r="DB328" s="35"/>
      <c r="DC328" s="35"/>
      <c r="DD328" s="35"/>
      <c r="DE328" s="35"/>
      <c r="DF328" s="35"/>
      <c r="DG328" s="35"/>
      <c r="DH328" s="35"/>
      <c r="DI328" s="35"/>
      <c r="DJ328" s="35"/>
      <c r="DK328" s="35"/>
      <c r="DL328" s="35"/>
      <c r="DM328" s="35"/>
      <c r="DN328" s="35"/>
      <c r="DO328" s="35"/>
      <c r="DP328" s="35"/>
      <c r="DQ328" s="35"/>
      <c r="DR328" s="35"/>
      <c r="DS328" s="35"/>
      <c r="DT328" s="35"/>
      <c r="DU328" s="35"/>
      <c r="DV328" s="35"/>
      <c r="DW328" s="61">
        <f t="shared" si="17"/>
        <v>0</v>
      </c>
    </row>
    <row r="329" spans="1:127" s="5" customFormat="1" ht="12" customHeight="1" x14ac:dyDescent="0.2">
      <c r="A329" s="39" t="s">
        <v>354</v>
      </c>
      <c r="B329" s="60">
        <f t="shared" si="15"/>
        <v>0</v>
      </c>
      <c r="C329" s="52">
        <v>10</v>
      </c>
      <c r="D329" s="54">
        <v>44914</v>
      </c>
      <c r="E329" s="62">
        <v>20.83</v>
      </c>
      <c r="F329" s="62">
        <f t="shared" si="14"/>
        <v>0</v>
      </c>
      <c r="G329" s="60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1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  <c r="AY329" s="35"/>
      <c r="AZ329" s="35"/>
      <c r="BA329" s="35"/>
      <c r="BB329" s="35"/>
      <c r="BC329" s="35"/>
      <c r="BD329" s="35"/>
      <c r="BE329" s="35"/>
      <c r="BF329" s="35"/>
      <c r="BG329" s="35"/>
      <c r="BH329" s="35"/>
      <c r="BI329" s="35"/>
      <c r="BJ329" s="35"/>
      <c r="BK329" s="35"/>
      <c r="BL329" s="35"/>
      <c r="BM329" s="35"/>
      <c r="BN329" s="35"/>
      <c r="BO329" s="35"/>
      <c r="BP329" s="35"/>
      <c r="BQ329" s="35"/>
      <c r="BR329" s="35"/>
      <c r="BS329" s="35"/>
      <c r="BT329" s="35"/>
      <c r="BU329" s="35"/>
      <c r="BV329" s="35"/>
      <c r="BW329" s="35"/>
      <c r="BX329" s="35"/>
      <c r="BY329" s="35"/>
      <c r="BZ329" s="35"/>
      <c r="CA329" s="35"/>
      <c r="CB329" s="35"/>
      <c r="CC329" s="35"/>
      <c r="CD329" s="35"/>
      <c r="CE329" s="35"/>
      <c r="CF329" s="35"/>
      <c r="CG329" s="35"/>
      <c r="CH329" s="35"/>
      <c r="CI329" s="35"/>
      <c r="CJ329" s="35"/>
      <c r="CK329" s="35"/>
      <c r="CL329" s="35"/>
      <c r="CM329" s="35"/>
      <c r="CN329" s="35"/>
      <c r="CO329" s="35"/>
      <c r="CP329" s="35"/>
      <c r="CQ329" s="35"/>
      <c r="CR329" s="35"/>
      <c r="CS329" s="35"/>
      <c r="CT329" s="35"/>
      <c r="CU329" s="35"/>
      <c r="CV329" s="35"/>
      <c r="CW329" s="35"/>
      <c r="CX329" s="35"/>
      <c r="CY329" s="35"/>
      <c r="CZ329" s="35"/>
      <c r="DA329" s="35"/>
      <c r="DB329" s="35"/>
      <c r="DC329" s="35"/>
      <c r="DD329" s="35"/>
      <c r="DE329" s="35"/>
      <c r="DF329" s="35"/>
      <c r="DG329" s="35"/>
      <c r="DH329" s="35"/>
      <c r="DI329" s="35"/>
      <c r="DJ329" s="35"/>
      <c r="DK329" s="35"/>
      <c r="DL329" s="35"/>
      <c r="DM329" s="35"/>
      <c r="DN329" s="35"/>
      <c r="DO329" s="35"/>
      <c r="DP329" s="35"/>
      <c r="DQ329" s="35"/>
      <c r="DR329" s="35"/>
      <c r="DS329" s="35"/>
      <c r="DT329" s="35"/>
      <c r="DU329" s="35"/>
      <c r="DV329" s="35"/>
      <c r="DW329" s="61">
        <f t="shared" si="17"/>
        <v>0</v>
      </c>
    </row>
    <row r="330" spans="1:127" s="5" customFormat="1" ht="12" customHeight="1" x14ac:dyDescent="0.2">
      <c r="A330" s="39" t="s">
        <v>310</v>
      </c>
      <c r="B330" s="60">
        <f t="shared" si="15"/>
        <v>2</v>
      </c>
      <c r="C330" s="52">
        <v>1</v>
      </c>
      <c r="D330" s="54">
        <v>44739</v>
      </c>
      <c r="E330" s="62">
        <v>59.59</v>
      </c>
      <c r="F330" s="62">
        <f t="shared" si="14"/>
        <v>119.18</v>
      </c>
      <c r="G330" s="60">
        <v>4</v>
      </c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1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  <c r="AY330" s="35">
        <v>1</v>
      </c>
      <c r="AZ330" s="35"/>
      <c r="BA330" s="35"/>
      <c r="BB330" s="35">
        <v>2</v>
      </c>
      <c r="BC330" s="35"/>
      <c r="BD330" s="35"/>
      <c r="BE330" s="35"/>
      <c r="BF330" s="35"/>
      <c r="BG330" s="35"/>
      <c r="BH330" s="35"/>
      <c r="BI330" s="35"/>
      <c r="BJ330" s="35"/>
      <c r="BK330" s="35"/>
      <c r="BL330" s="35"/>
      <c r="BM330" s="35"/>
      <c r="BN330" s="35"/>
      <c r="BO330" s="35"/>
      <c r="BP330" s="35"/>
      <c r="BQ330" s="35"/>
      <c r="BR330" s="35"/>
      <c r="BS330" s="35"/>
      <c r="BT330" s="35"/>
      <c r="BU330" s="35"/>
      <c r="BV330" s="35"/>
      <c r="BW330" s="35"/>
      <c r="BX330" s="35"/>
      <c r="BY330" s="35"/>
      <c r="BZ330" s="35"/>
      <c r="CA330" s="35"/>
      <c r="CB330" s="35"/>
      <c r="CC330" s="35"/>
      <c r="CD330" s="35"/>
      <c r="CE330" s="35"/>
      <c r="CF330" s="35"/>
      <c r="CG330" s="35"/>
      <c r="CH330" s="35"/>
      <c r="CI330" s="35"/>
      <c r="CJ330" s="35"/>
      <c r="CK330" s="35"/>
      <c r="CL330" s="35"/>
      <c r="CM330" s="35"/>
      <c r="CN330" s="35">
        <v>1</v>
      </c>
      <c r="CO330" s="35"/>
      <c r="CP330" s="35"/>
      <c r="CQ330" s="35"/>
      <c r="CR330" s="35"/>
      <c r="CS330" s="35"/>
      <c r="CT330" s="35"/>
      <c r="CU330" s="35"/>
      <c r="CV330" s="35"/>
      <c r="CW330" s="35"/>
      <c r="CX330" s="35"/>
      <c r="CY330" s="35"/>
      <c r="CZ330" s="35"/>
      <c r="DA330" s="35"/>
      <c r="DB330" s="35"/>
      <c r="DC330" s="35"/>
      <c r="DD330" s="35"/>
      <c r="DE330" s="35"/>
      <c r="DF330" s="35"/>
      <c r="DG330" s="35"/>
      <c r="DH330" s="35"/>
      <c r="DI330" s="35"/>
      <c r="DJ330" s="35"/>
      <c r="DK330" s="35"/>
      <c r="DL330" s="35"/>
      <c r="DM330" s="35"/>
      <c r="DN330" s="35"/>
      <c r="DO330" s="35"/>
      <c r="DP330" s="35"/>
      <c r="DQ330" s="35"/>
      <c r="DR330" s="35"/>
      <c r="DS330" s="35"/>
      <c r="DT330" s="35"/>
      <c r="DU330" s="35"/>
      <c r="DV330" s="35"/>
      <c r="DW330" s="61">
        <f t="shared" si="17"/>
        <v>0</v>
      </c>
    </row>
    <row r="331" spans="1:127" s="5" customFormat="1" x14ac:dyDescent="0.2">
      <c r="A331" s="39" t="s">
        <v>310</v>
      </c>
      <c r="B331" s="60">
        <f t="shared" si="15"/>
        <v>3</v>
      </c>
      <c r="C331" s="52">
        <v>1</v>
      </c>
      <c r="D331" s="55">
        <v>44963</v>
      </c>
      <c r="E331" s="62">
        <v>90.5</v>
      </c>
      <c r="F331" s="62">
        <f t="shared" si="14"/>
        <v>271.5</v>
      </c>
      <c r="G331" s="60">
        <v>2</v>
      </c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1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  <c r="AY331" s="35"/>
      <c r="AZ331" s="35"/>
      <c r="BA331" s="35"/>
      <c r="BB331" s="35">
        <v>3</v>
      </c>
      <c r="BC331" s="35"/>
      <c r="BD331" s="35"/>
      <c r="BE331" s="35"/>
      <c r="BF331" s="35"/>
      <c r="BG331" s="35"/>
      <c r="BH331" s="35"/>
      <c r="BI331" s="35"/>
      <c r="BJ331" s="35"/>
      <c r="BK331" s="35"/>
      <c r="BL331" s="35"/>
      <c r="BM331" s="35"/>
      <c r="BN331" s="35"/>
      <c r="BO331" s="35"/>
      <c r="BP331" s="35"/>
      <c r="BQ331" s="35"/>
      <c r="BR331" s="35"/>
      <c r="BS331" s="35"/>
      <c r="BT331" s="35"/>
      <c r="BU331" s="35"/>
      <c r="BV331" s="35"/>
      <c r="BW331" s="35"/>
      <c r="BX331" s="35"/>
      <c r="BY331" s="35"/>
      <c r="BZ331" s="35"/>
      <c r="CA331" s="35"/>
      <c r="CB331" s="35"/>
      <c r="CC331" s="35"/>
      <c r="CD331" s="35"/>
      <c r="CE331" s="35"/>
      <c r="CF331" s="35"/>
      <c r="CG331" s="35"/>
      <c r="CH331" s="35"/>
      <c r="CI331" s="35"/>
      <c r="CJ331" s="35"/>
      <c r="CK331" s="35"/>
      <c r="CL331" s="35"/>
      <c r="CM331" s="35"/>
      <c r="CN331" s="35">
        <v>2</v>
      </c>
      <c r="CO331" s="35"/>
      <c r="CP331" s="35"/>
      <c r="CQ331" s="35"/>
      <c r="CR331" s="35"/>
      <c r="CS331" s="35"/>
      <c r="CT331" s="35"/>
      <c r="CU331" s="35"/>
      <c r="CV331" s="35"/>
      <c r="CW331" s="35"/>
      <c r="CX331" s="35"/>
      <c r="CY331" s="35"/>
      <c r="CZ331" s="35"/>
      <c r="DA331" s="35"/>
      <c r="DB331" s="35"/>
      <c r="DC331" s="35"/>
      <c r="DD331" s="35"/>
      <c r="DE331" s="35"/>
      <c r="DF331" s="35"/>
      <c r="DG331" s="35"/>
      <c r="DH331" s="35"/>
      <c r="DI331" s="35"/>
      <c r="DJ331" s="35">
        <v>3</v>
      </c>
      <c r="DK331" s="35"/>
      <c r="DL331" s="35"/>
      <c r="DM331" s="35"/>
      <c r="DN331" s="35"/>
      <c r="DO331" s="35"/>
      <c r="DP331" s="35"/>
      <c r="DQ331" s="35"/>
      <c r="DR331" s="35"/>
      <c r="DS331" s="35"/>
      <c r="DT331" s="35"/>
      <c r="DU331" s="35"/>
      <c r="DV331" s="35"/>
      <c r="DW331" s="61">
        <f t="shared" si="17"/>
        <v>0</v>
      </c>
    </row>
    <row r="332" spans="1:127" s="5" customFormat="1" x14ac:dyDescent="0.2">
      <c r="A332" s="39" t="s">
        <v>310</v>
      </c>
      <c r="B332" s="60">
        <f t="shared" si="15"/>
        <v>6</v>
      </c>
      <c r="C332" s="52">
        <v>1</v>
      </c>
      <c r="D332" s="55">
        <v>44775</v>
      </c>
      <c r="E332" s="62">
        <v>64.31</v>
      </c>
      <c r="F332" s="62">
        <f t="shared" si="14"/>
        <v>385.86</v>
      </c>
      <c r="G332" s="60">
        <v>6</v>
      </c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1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  <c r="AY332" s="35"/>
      <c r="AZ332" s="35"/>
      <c r="BA332" s="35"/>
      <c r="BB332" s="35">
        <v>6</v>
      </c>
      <c r="BC332" s="35"/>
      <c r="BD332" s="35"/>
      <c r="BE332" s="35"/>
      <c r="BF332" s="35"/>
      <c r="BG332" s="35"/>
      <c r="BH332" s="35"/>
      <c r="BI332" s="35"/>
      <c r="BJ332" s="35"/>
      <c r="BK332" s="35"/>
      <c r="BL332" s="35"/>
      <c r="BM332" s="35"/>
      <c r="BN332" s="35"/>
      <c r="BO332" s="35"/>
      <c r="BP332" s="35"/>
      <c r="BQ332" s="35"/>
      <c r="BR332" s="35"/>
      <c r="BS332" s="35"/>
      <c r="BT332" s="35"/>
      <c r="BU332" s="35"/>
      <c r="BV332" s="35"/>
      <c r="BW332" s="35"/>
      <c r="BX332" s="35"/>
      <c r="BY332" s="35"/>
      <c r="BZ332" s="35"/>
      <c r="CA332" s="35"/>
      <c r="CB332" s="35"/>
      <c r="CC332" s="35"/>
      <c r="CD332" s="35"/>
      <c r="CE332" s="35"/>
      <c r="CF332" s="35"/>
      <c r="CG332" s="35"/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  <c r="DT332" s="35"/>
      <c r="DU332" s="35"/>
      <c r="DV332" s="35"/>
      <c r="DW332" s="61">
        <f t="shared" si="17"/>
        <v>0</v>
      </c>
    </row>
    <row r="333" spans="1:127" s="5" customFormat="1" x14ac:dyDescent="0.2">
      <c r="A333" s="39" t="s">
        <v>440</v>
      </c>
      <c r="B333" s="60">
        <f t="shared" si="15"/>
        <v>0</v>
      </c>
      <c r="C333" s="52">
        <v>1</v>
      </c>
      <c r="D333" s="55">
        <v>44606</v>
      </c>
      <c r="E333" s="62">
        <v>33.79</v>
      </c>
      <c r="F333" s="62">
        <f t="shared" si="14"/>
        <v>0</v>
      </c>
      <c r="G333" s="60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1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  <c r="AY333" s="35"/>
      <c r="AZ333" s="35"/>
      <c r="BA333" s="35"/>
      <c r="BB333" s="35"/>
      <c r="BC333" s="35"/>
      <c r="BD333" s="35"/>
      <c r="BE333" s="35"/>
      <c r="BF333" s="35"/>
      <c r="BG333" s="35"/>
      <c r="BH333" s="35"/>
      <c r="BI333" s="35"/>
      <c r="BJ333" s="35"/>
      <c r="BK333" s="35"/>
      <c r="BL333" s="35"/>
      <c r="BM333" s="35"/>
      <c r="BN333" s="35"/>
      <c r="BO333" s="35"/>
      <c r="BP333" s="35"/>
      <c r="BQ333" s="35"/>
      <c r="BR333" s="35"/>
      <c r="BS333" s="35"/>
      <c r="BT333" s="35"/>
      <c r="BU333" s="35"/>
      <c r="BV333" s="35"/>
      <c r="BW333" s="35"/>
      <c r="BX333" s="35"/>
      <c r="BY333" s="35"/>
      <c r="BZ333" s="35"/>
      <c r="CA333" s="35"/>
      <c r="CB333" s="35"/>
      <c r="CC333" s="35"/>
      <c r="CD333" s="35"/>
      <c r="CE333" s="35"/>
      <c r="CF333" s="35"/>
      <c r="CG333" s="35"/>
      <c r="CH333" s="35"/>
      <c r="CI333" s="35"/>
      <c r="CJ333" s="35"/>
      <c r="CK333" s="35"/>
      <c r="CL333" s="35"/>
      <c r="CM333" s="35"/>
      <c r="CN333" s="35"/>
      <c r="CO333" s="35"/>
      <c r="CP333" s="35"/>
      <c r="CQ333" s="35"/>
      <c r="CR333" s="35"/>
      <c r="CS333" s="35"/>
      <c r="CT333" s="35"/>
      <c r="CU333" s="35"/>
      <c r="CV333" s="35"/>
      <c r="CW333" s="35"/>
      <c r="CX333" s="35"/>
      <c r="CY333" s="35"/>
      <c r="CZ333" s="35"/>
      <c r="DA333" s="35"/>
      <c r="DB333" s="35"/>
      <c r="DC333" s="35"/>
      <c r="DD333" s="35"/>
      <c r="DE333" s="35"/>
      <c r="DF333" s="35"/>
      <c r="DG333" s="35"/>
      <c r="DH333" s="35"/>
      <c r="DI333" s="35"/>
      <c r="DJ333" s="35"/>
      <c r="DK333" s="35"/>
      <c r="DL333" s="35"/>
      <c r="DM333" s="35"/>
      <c r="DN333" s="35"/>
      <c r="DO333" s="35"/>
      <c r="DP333" s="35"/>
      <c r="DQ333" s="35"/>
      <c r="DR333" s="35"/>
      <c r="DS333" s="35"/>
      <c r="DT333" s="35"/>
      <c r="DU333" s="35"/>
      <c r="DV333" s="35"/>
      <c r="DW333" s="61">
        <f t="shared" si="17"/>
        <v>0</v>
      </c>
    </row>
    <row r="334" spans="1:127" s="5" customFormat="1" x14ac:dyDescent="0.2">
      <c r="A334" s="39" t="s">
        <v>292</v>
      </c>
      <c r="B334" s="60">
        <f t="shared" si="15"/>
        <v>0</v>
      </c>
      <c r="C334" s="52">
        <v>1</v>
      </c>
      <c r="D334" s="54">
        <v>44886</v>
      </c>
      <c r="E334" s="62">
        <v>58.33</v>
      </c>
      <c r="F334" s="62">
        <f t="shared" si="14"/>
        <v>0</v>
      </c>
      <c r="G334" s="60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1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  <c r="AY334" s="35"/>
      <c r="AZ334" s="35"/>
      <c r="BA334" s="35"/>
      <c r="BB334" s="35"/>
      <c r="BC334" s="35"/>
      <c r="BD334" s="35"/>
      <c r="BE334" s="35"/>
      <c r="BF334" s="35"/>
      <c r="BG334" s="35"/>
      <c r="BH334" s="35"/>
      <c r="BI334" s="35"/>
      <c r="BJ334" s="35"/>
      <c r="BK334" s="35"/>
      <c r="BL334" s="35"/>
      <c r="BM334" s="35"/>
      <c r="BN334" s="35"/>
      <c r="BO334" s="35"/>
      <c r="BP334" s="35"/>
      <c r="BQ334" s="35"/>
      <c r="BR334" s="35"/>
      <c r="BS334" s="35"/>
      <c r="BT334" s="35"/>
      <c r="BU334" s="35"/>
      <c r="BV334" s="35"/>
      <c r="BW334" s="35"/>
      <c r="BX334" s="35"/>
      <c r="BY334" s="35"/>
      <c r="BZ334" s="35"/>
      <c r="CA334" s="35"/>
      <c r="CB334" s="35"/>
      <c r="CC334" s="35"/>
      <c r="CD334" s="35"/>
      <c r="CE334" s="35"/>
      <c r="CF334" s="35"/>
      <c r="CG334" s="35"/>
      <c r="CH334" s="35"/>
      <c r="CI334" s="35"/>
      <c r="CJ334" s="35"/>
      <c r="CK334" s="35"/>
      <c r="CL334" s="35"/>
      <c r="CM334" s="35"/>
      <c r="CN334" s="35"/>
      <c r="CO334" s="35"/>
      <c r="CP334" s="35"/>
      <c r="CQ334" s="35"/>
      <c r="CR334" s="35"/>
      <c r="CS334" s="35"/>
      <c r="CT334" s="35"/>
      <c r="CU334" s="35"/>
      <c r="CV334" s="35"/>
      <c r="CW334" s="35"/>
      <c r="CX334" s="35"/>
      <c r="CY334" s="35"/>
      <c r="CZ334" s="35"/>
      <c r="DA334" s="35"/>
      <c r="DB334" s="35"/>
      <c r="DC334" s="35"/>
      <c r="DD334" s="35"/>
      <c r="DE334" s="35"/>
      <c r="DF334" s="35"/>
      <c r="DG334" s="35"/>
      <c r="DH334" s="35"/>
      <c r="DI334" s="35"/>
      <c r="DJ334" s="35"/>
      <c r="DK334" s="35"/>
      <c r="DL334" s="35"/>
      <c r="DM334" s="35"/>
      <c r="DN334" s="35"/>
      <c r="DO334" s="35"/>
      <c r="DP334" s="35"/>
      <c r="DQ334" s="35"/>
      <c r="DR334" s="35"/>
      <c r="DS334" s="35"/>
      <c r="DT334" s="35"/>
      <c r="DU334" s="35"/>
      <c r="DV334" s="35"/>
      <c r="DW334" s="61">
        <f t="shared" si="17"/>
        <v>0</v>
      </c>
    </row>
    <row r="335" spans="1:127" s="5" customFormat="1" x14ac:dyDescent="0.2">
      <c r="A335" s="39" t="s">
        <v>470</v>
      </c>
      <c r="B335" s="60">
        <f t="shared" si="15"/>
        <v>0</v>
      </c>
      <c r="C335" s="52">
        <v>5</v>
      </c>
      <c r="D335" s="54">
        <v>44851</v>
      </c>
      <c r="E335" s="62">
        <v>167.08</v>
      </c>
      <c r="F335" s="62">
        <f t="shared" si="14"/>
        <v>0</v>
      </c>
      <c r="G335" s="60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1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  <c r="AY335" s="35"/>
      <c r="AZ335" s="35"/>
      <c r="BA335" s="35"/>
      <c r="BB335" s="35"/>
      <c r="BC335" s="35"/>
      <c r="BD335" s="35"/>
      <c r="BE335" s="35"/>
      <c r="BF335" s="35"/>
      <c r="BG335" s="35"/>
      <c r="BH335" s="35"/>
      <c r="BI335" s="35"/>
      <c r="BJ335" s="35"/>
      <c r="BK335" s="35"/>
      <c r="BL335" s="35"/>
      <c r="BM335" s="35"/>
      <c r="BN335" s="35"/>
      <c r="BO335" s="35"/>
      <c r="BP335" s="35"/>
      <c r="BQ335" s="35"/>
      <c r="BR335" s="35"/>
      <c r="BS335" s="35"/>
      <c r="BT335" s="35"/>
      <c r="BU335" s="35"/>
      <c r="BV335" s="35"/>
      <c r="BW335" s="35"/>
      <c r="BX335" s="35"/>
      <c r="BY335" s="35"/>
      <c r="BZ335" s="35"/>
      <c r="CA335" s="35"/>
      <c r="CB335" s="35"/>
      <c r="CC335" s="35"/>
      <c r="CD335" s="35"/>
      <c r="CE335" s="35"/>
      <c r="CF335" s="35"/>
      <c r="CG335" s="35"/>
      <c r="CH335" s="35"/>
      <c r="CI335" s="35"/>
      <c r="CJ335" s="35"/>
      <c r="CK335" s="35"/>
      <c r="CL335" s="35"/>
      <c r="CM335" s="35"/>
      <c r="CN335" s="35"/>
      <c r="CO335" s="35"/>
      <c r="CP335" s="35"/>
      <c r="CQ335" s="35"/>
      <c r="CR335" s="35"/>
      <c r="CS335" s="35"/>
      <c r="CT335" s="35"/>
      <c r="CU335" s="35"/>
      <c r="CV335" s="35"/>
      <c r="CW335" s="35"/>
      <c r="CX335" s="35"/>
      <c r="CY335" s="35"/>
      <c r="CZ335" s="35"/>
      <c r="DA335" s="35"/>
      <c r="DB335" s="35"/>
      <c r="DC335" s="35"/>
      <c r="DD335" s="35"/>
      <c r="DE335" s="35"/>
      <c r="DF335" s="35"/>
      <c r="DG335" s="35"/>
      <c r="DH335" s="35"/>
      <c r="DI335" s="35"/>
      <c r="DJ335" s="35"/>
      <c r="DK335" s="35"/>
      <c r="DL335" s="35"/>
      <c r="DM335" s="35"/>
      <c r="DN335" s="35"/>
      <c r="DO335" s="35"/>
      <c r="DP335" s="35"/>
      <c r="DQ335" s="35"/>
      <c r="DR335" s="35"/>
      <c r="DS335" s="35"/>
      <c r="DT335" s="35"/>
      <c r="DU335" s="35"/>
      <c r="DV335" s="35"/>
      <c r="DW335" s="61">
        <f t="shared" si="17"/>
        <v>0</v>
      </c>
    </row>
    <row r="336" spans="1:127" s="5" customFormat="1" ht="12" customHeight="1" x14ac:dyDescent="0.2">
      <c r="A336" s="39" t="s">
        <v>457</v>
      </c>
      <c r="B336" s="60">
        <f t="shared" si="15"/>
        <v>0</v>
      </c>
      <c r="C336" s="52">
        <v>1</v>
      </c>
      <c r="D336" s="54">
        <v>44914</v>
      </c>
      <c r="E336" s="62">
        <v>39.68</v>
      </c>
      <c r="F336" s="62">
        <f t="shared" ref="F336:F342" si="18">E336*B336</f>
        <v>0</v>
      </c>
      <c r="G336" s="60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1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BH336" s="35"/>
      <c r="BI336" s="35"/>
      <c r="BJ336" s="35"/>
      <c r="BK336" s="35"/>
      <c r="BL336" s="35"/>
      <c r="BM336" s="35"/>
      <c r="BN336" s="35"/>
      <c r="BO336" s="35"/>
      <c r="BP336" s="35"/>
      <c r="BQ336" s="35"/>
      <c r="BR336" s="35"/>
      <c r="BS336" s="35"/>
      <c r="BT336" s="35"/>
      <c r="BU336" s="35"/>
      <c r="BV336" s="35"/>
      <c r="BW336" s="35"/>
      <c r="BX336" s="35"/>
      <c r="BY336" s="35"/>
      <c r="BZ336" s="35"/>
      <c r="CA336" s="35"/>
      <c r="CB336" s="35"/>
      <c r="CC336" s="35"/>
      <c r="CD336" s="35"/>
      <c r="CE336" s="35"/>
      <c r="CF336" s="35"/>
      <c r="CG336" s="35"/>
      <c r="CH336" s="35"/>
      <c r="CI336" s="35"/>
      <c r="CJ336" s="35"/>
      <c r="CK336" s="35"/>
      <c r="CL336" s="35"/>
      <c r="CM336" s="35"/>
      <c r="CN336" s="35"/>
      <c r="CO336" s="35"/>
      <c r="CP336" s="35"/>
      <c r="CQ336" s="35"/>
      <c r="CR336" s="35"/>
      <c r="CS336" s="35"/>
      <c r="CT336" s="35"/>
      <c r="CU336" s="35"/>
      <c r="CV336" s="35"/>
      <c r="CW336" s="35"/>
      <c r="CX336" s="35"/>
      <c r="CY336" s="35"/>
      <c r="CZ336" s="35"/>
      <c r="DA336" s="35"/>
      <c r="DB336" s="35"/>
      <c r="DC336" s="35"/>
      <c r="DD336" s="35"/>
      <c r="DE336" s="35"/>
      <c r="DF336" s="35"/>
      <c r="DG336" s="35"/>
      <c r="DH336" s="35"/>
      <c r="DI336" s="35"/>
      <c r="DJ336" s="35"/>
      <c r="DK336" s="35"/>
      <c r="DL336" s="35"/>
      <c r="DM336" s="35"/>
      <c r="DN336" s="35"/>
      <c r="DO336" s="35"/>
      <c r="DP336" s="35"/>
      <c r="DQ336" s="35"/>
      <c r="DR336" s="35"/>
      <c r="DS336" s="35"/>
      <c r="DT336" s="35"/>
      <c r="DU336" s="35"/>
      <c r="DV336" s="35"/>
      <c r="DW336" s="61">
        <f t="shared" si="17"/>
        <v>0</v>
      </c>
    </row>
    <row r="337" spans="1:127" s="5" customFormat="1" ht="12" customHeight="1" x14ac:dyDescent="0.2">
      <c r="A337" s="39" t="s">
        <v>467</v>
      </c>
      <c r="B337" s="60">
        <f t="shared" si="15"/>
        <v>0</v>
      </c>
      <c r="C337" s="52">
        <v>1</v>
      </c>
      <c r="D337" s="54">
        <v>44886</v>
      </c>
      <c r="E337" s="62">
        <v>33.22</v>
      </c>
      <c r="F337" s="62">
        <f t="shared" si="18"/>
        <v>0</v>
      </c>
      <c r="G337" s="60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1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  <c r="AY337" s="35"/>
      <c r="AZ337" s="35"/>
      <c r="BA337" s="35"/>
      <c r="BB337" s="35"/>
      <c r="BC337" s="35"/>
      <c r="BD337" s="35"/>
      <c r="BE337" s="35"/>
      <c r="BF337" s="35"/>
      <c r="BG337" s="35"/>
      <c r="BH337" s="35"/>
      <c r="BI337" s="35"/>
      <c r="BJ337" s="35"/>
      <c r="BK337" s="35"/>
      <c r="BL337" s="35"/>
      <c r="BM337" s="35"/>
      <c r="BN337" s="35"/>
      <c r="BO337" s="35"/>
      <c r="BP337" s="35"/>
      <c r="BQ337" s="35"/>
      <c r="BR337" s="35"/>
      <c r="BS337" s="35"/>
      <c r="BT337" s="35"/>
      <c r="BU337" s="35"/>
      <c r="BV337" s="35"/>
      <c r="BW337" s="35"/>
      <c r="BX337" s="35"/>
      <c r="BY337" s="35"/>
      <c r="BZ337" s="35"/>
      <c r="CA337" s="35"/>
      <c r="CB337" s="35"/>
      <c r="CC337" s="35"/>
      <c r="CD337" s="35"/>
      <c r="CE337" s="35"/>
      <c r="CF337" s="35"/>
      <c r="CG337" s="35"/>
      <c r="CH337" s="35"/>
      <c r="CI337" s="35"/>
      <c r="CJ337" s="35"/>
      <c r="CK337" s="35"/>
      <c r="CL337" s="35"/>
      <c r="CM337" s="35"/>
      <c r="CN337" s="35"/>
      <c r="CO337" s="35"/>
      <c r="CP337" s="35"/>
      <c r="CQ337" s="35"/>
      <c r="CR337" s="35"/>
      <c r="CS337" s="35"/>
      <c r="CT337" s="35"/>
      <c r="CU337" s="35"/>
      <c r="CV337" s="35"/>
      <c r="CW337" s="35"/>
      <c r="CX337" s="35"/>
      <c r="CY337" s="35"/>
      <c r="CZ337" s="35"/>
      <c r="DA337" s="35"/>
      <c r="DB337" s="35"/>
      <c r="DC337" s="35"/>
      <c r="DD337" s="35"/>
      <c r="DE337" s="35"/>
      <c r="DF337" s="35"/>
      <c r="DG337" s="35"/>
      <c r="DH337" s="35"/>
      <c r="DI337" s="35"/>
      <c r="DJ337" s="35"/>
      <c r="DK337" s="35"/>
      <c r="DL337" s="35"/>
      <c r="DM337" s="35"/>
      <c r="DN337" s="35"/>
      <c r="DO337" s="35"/>
      <c r="DP337" s="35"/>
      <c r="DQ337" s="35"/>
      <c r="DR337" s="35"/>
      <c r="DS337" s="35"/>
      <c r="DT337" s="35"/>
      <c r="DU337" s="35"/>
      <c r="DV337" s="35"/>
      <c r="DW337" s="61">
        <f t="shared" si="17"/>
        <v>0</v>
      </c>
    </row>
    <row r="338" spans="1:127" s="5" customFormat="1" ht="12" customHeight="1" x14ac:dyDescent="0.2">
      <c r="A338" s="39" t="s">
        <v>180</v>
      </c>
      <c r="B338" s="60">
        <f t="shared" ref="B338:B369" si="19">SUMIF(G$3:DV$3,"прих",G338:DV338)-SUMIF(G$3:DV$3,"отгр",G338:DV338)</f>
        <v>0</v>
      </c>
      <c r="C338" s="52">
        <v>1</v>
      </c>
      <c r="D338" s="54">
        <v>44809</v>
      </c>
      <c r="E338" s="62">
        <v>53.51</v>
      </c>
      <c r="F338" s="62">
        <f t="shared" si="18"/>
        <v>0</v>
      </c>
      <c r="G338" s="60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1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  <c r="AY338" s="35"/>
      <c r="AZ338" s="35"/>
      <c r="BA338" s="35"/>
      <c r="BB338" s="35"/>
      <c r="BC338" s="35"/>
      <c r="BD338" s="35"/>
      <c r="BE338" s="35"/>
      <c r="BF338" s="35"/>
      <c r="BG338" s="35"/>
      <c r="BH338" s="35"/>
      <c r="BI338" s="35"/>
      <c r="BJ338" s="35"/>
      <c r="BK338" s="35"/>
      <c r="BL338" s="35"/>
      <c r="BM338" s="35"/>
      <c r="BN338" s="35"/>
      <c r="BO338" s="35"/>
      <c r="BP338" s="35"/>
      <c r="BQ338" s="35"/>
      <c r="BR338" s="35"/>
      <c r="BS338" s="35"/>
      <c r="BT338" s="35"/>
      <c r="BU338" s="35"/>
      <c r="BV338" s="35"/>
      <c r="BW338" s="35"/>
      <c r="BX338" s="35"/>
      <c r="BY338" s="35"/>
      <c r="BZ338" s="35"/>
      <c r="CA338" s="35"/>
      <c r="CB338" s="35"/>
      <c r="CC338" s="35"/>
      <c r="CD338" s="35"/>
      <c r="CE338" s="35"/>
      <c r="CF338" s="35"/>
      <c r="CG338" s="35"/>
      <c r="CH338" s="35"/>
      <c r="CI338" s="35"/>
      <c r="CJ338" s="35"/>
      <c r="CK338" s="35"/>
      <c r="CL338" s="35"/>
      <c r="CM338" s="35"/>
      <c r="CN338" s="35"/>
      <c r="CO338" s="35"/>
      <c r="CP338" s="35"/>
      <c r="CQ338" s="35"/>
      <c r="CR338" s="35"/>
      <c r="CS338" s="35"/>
      <c r="CT338" s="35"/>
      <c r="CU338" s="35"/>
      <c r="CV338" s="35"/>
      <c r="CW338" s="35"/>
      <c r="CX338" s="35"/>
      <c r="CY338" s="35"/>
      <c r="CZ338" s="35"/>
      <c r="DA338" s="35"/>
      <c r="DB338" s="35"/>
      <c r="DC338" s="35"/>
      <c r="DD338" s="35"/>
      <c r="DE338" s="35"/>
      <c r="DF338" s="35"/>
      <c r="DG338" s="35"/>
      <c r="DH338" s="35"/>
      <c r="DI338" s="35"/>
      <c r="DJ338" s="35"/>
      <c r="DK338" s="35"/>
      <c r="DL338" s="35"/>
      <c r="DM338" s="35"/>
      <c r="DN338" s="35"/>
      <c r="DO338" s="35"/>
      <c r="DP338" s="35"/>
      <c r="DQ338" s="35"/>
      <c r="DR338" s="35"/>
      <c r="DS338" s="35"/>
      <c r="DT338" s="35"/>
      <c r="DU338" s="35"/>
      <c r="DV338" s="35"/>
      <c r="DW338" s="61">
        <f t="shared" si="17"/>
        <v>0</v>
      </c>
    </row>
    <row r="339" spans="1:127" s="5" customFormat="1" ht="12" customHeight="1" x14ac:dyDescent="0.2">
      <c r="A339" s="39" t="s">
        <v>506</v>
      </c>
      <c r="B339" s="60">
        <f t="shared" si="19"/>
        <v>0</v>
      </c>
      <c r="C339" s="52">
        <v>1</v>
      </c>
      <c r="D339" s="54">
        <v>44832</v>
      </c>
      <c r="E339" s="62">
        <v>38.44</v>
      </c>
      <c r="F339" s="62">
        <f>E339*B339</f>
        <v>0</v>
      </c>
      <c r="G339" s="60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1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  <c r="AY339" s="35"/>
      <c r="AZ339" s="35"/>
      <c r="BA339" s="35"/>
      <c r="BB339" s="35"/>
      <c r="BC339" s="35"/>
      <c r="BD339" s="35"/>
      <c r="BE339" s="35"/>
      <c r="BF339" s="35"/>
      <c r="BG339" s="35"/>
      <c r="BH339" s="35"/>
      <c r="BI339" s="35"/>
      <c r="BJ339" s="35"/>
      <c r="BK339" s="35"/>
      <c r="BL339" s="35"/>
      <c r="BM339" s="35"/>
      <c r="BN339" s="35"/>
      <c r="BO339" s="35"/>
      <c r="BP339" s="35"/>
      <c r="BQ339" s="35"/>
      <c r="BR339" s="35"/>
      <c r="BS339" s="35"/>
      <c r="BT339" s="35"/>
      <c r="BU339" s="35"/>
      <c r="BV339" s="35"/>
      <c r="BW339" s="35"/>
      <c r="BX339" s="35"/>
      <c r="BY339" s="35"/>
      <c r="BZ339" s="35"/>
      <c r="CA339" s="35"/>
      <c r="CB339" s="35"/>
      <c r="CC339" s="35"/>
      <c r="CD339" s="35"/>
      <c r="CE339" s="35"/>
      <c r="CF339" s="35"/>
      <c r="CG339" s="35"/>
      <c r="CH339" s="35"/>
      <c r="CI339" s="35"/>
      <c r="CJ339" s="35"/>
      <c r="CK339" s="35"/>
      <c r="CL339" s="35"/>
      <c r="CM339" s="35"/>
      <c r="CN339" s="35"/>
      <c r="CO339" s="35"/>
      <c r="CP339" s="35"/>
      <c r="CQ339" s="35"/>
      <c r="CR339" s="35"/>
      <c r="CS339" s="35"/>
      <c r="CT339" s="35"/>
      <c r="CU339" s="35"/>
      <c r="CV339" s="35"/>
      <c r="CW339" s="35"/>
      <c r="CX339" s="35"/>
      <c r="CY339" s="35"/>
      <c r="CZ339" s="35"/>
      <c r="DA339" s="35"/>
      <c r="DB339" s="35"/>
      <c r="DC339" s="35"/>
      <c r="DD339" s="35"/>
      <c r="DE339" s="35"/>
      <c r="DF339" s="35"/>
      <c r="DG339" s="35"/>
      <c r="DH339" s="35"/>
      <c r="DI339" s="35"/>
      <c r="DJ339" s="35"/>
      <c r="DK339" s="35"/>
      <c r="DL339" s="35"/>
      <c r="DM339" s="35"/>
      <c r="DN339" s="35"/>
      <c r="DO339" s="35"/>
      <c r="DP339" s="35"/>
      <c r="DQ339" s="35"/>
      <c r="DR339" s="35"/>
      <c r="DS339" s="35"/>
      <c r="DT339" s="35"/>
      <c r="DU339" s="35"/>
      <c r="DV339" s="35"/>
      <c r="DW339" s="61">
        <f t="shared" si="17"/>
        <v>0</v>
      </c>
    </row>
    <row r="340" spans="1:127" s="5" customFormat="1" ht="12" customHeight="1" x14ac:dyDescent="0.2">
      <c r="A340" s="39" t="s">
        <v>458</v>
      </c>
      <c r="B340" s="60">
        <f t="shared" si="19"/>
        <v>0</v>
      </c>
      <c r="C340" s="52">
        <v>1</v>
      </c>
      <c r="D340" s="54">
        <v>44897</v>
      </c>
      <c r="E340" s="62">
        <v>33.39</v>
      </c>
      <c r="F340" s="62">
        <f t="shared" si="18"/>
        <v>0</v>
      </c>
      <c r="G340" s="60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1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  <c r="AY340" s="35"/>
      <c r="AZ340" s="35"/>
      <c r="BA340" s="35"/>
      <c r="BB340" s="35"/>
      <c r="BC340" s="35"/>
      <c r="BD340" s="35"/>
      <c r="BE340" s="35"/>
      <c r="BF340" s="35"/>
      <c r="BG340" s="35"/>
      <c r="BH340" s="35"/>
      <c r="BI340" s="35"/>
      <c r="BJ340" s="35"/>
      <c r="BK340" s="35"/>
      <c r="BL340" s="35"/>
      <c r="BM340" s="35"/>
      <c r="BN340" s="35"/>
      <c r="BO340" s="35"/>
      <c r="BP340" s="35"/>
      <c r="BQ340" s="35"/>
      <c r="BR340" s="35"/>
      <c r="BS340" s="35"/>
      <c r="BT340" s="35"/>
      <c r="BU340" s="35"/>
      <c r="BV340" s="35"/>
      <c r="BW340" s="35"/>
      <c r="BX340" s="35"/>
      <c r="BY340" s="35"/>
      <c r="BZ340" s="35"/>
      <c r="CA340" s="35"/>
      <c r="CB340" s="35"/>
      <c r="CC340" s="35"/>
      <c r="CD340" s="35"/>
      <c r="CE340" s="35"/>
      <c r="CF340" s="35"/>
      <c r="CG340" s="35"/>
      <c r="CH340" s="35"/>
      <c r="CI340" s="35"/>
      <c r="CJ340" s="35"/>
      <c r="CK340" s="35"/>
      <c r="CL340" s="35"/>
      <c r="CM340" s="35"/>
      <c r="CN340" s="35"/>
      <c r="CO340" s="35"/>
      <c r="CP340" s="35"/>
      <c r="CQ340" s="35"/>
      <c r="CR340" s="35"/>
      <c r="CS340" s="35"/>
      <c r="CT340" s="35"/>
      <c r="CU340" s="35"/>
      <c r="CV340" s="35"/>
      <c r="CW340" s="35"/>
      <c r="CX340" s="35"/>
      <c r="CY340" s="35"/>
      <c r="CZ340" s="35"/>
      <c r="DA340" s="35"/>
      <c r="DB340" s="35"/>
      <c r="DC340" s="35"/>
      <c r="DD340" s="35"/>
      <c r="DE340" s="35"/>
      <c r="DF340" s="35"/>
      <c r="DG340" s="35"/>
      <c r="DH340" s="35"/>
      <c r="DI340" s="35"/>
      <c r="DJ340" s="35"/>
      <c r="DK340" s="35"/>
      <c r="DL340" s="35"/>
      <c r="DM340" s="35"/>
      <c r="DN340" s="35"/>
      <c r="DO340" s="35"/>
      <c r="DP340" s="35"/>
      <c r="DQ340" s="35"/>
      <c r="DR340" s="35"/>
      <c r="DS340" s="35"/>
      <c r="DT340" s="35"/>
      <c r="DU340" s="35"/>
      <c r="DV340" s="35"/>
      <c r="DW340" s="61">
        <f t="shared" si="17"/>
        <v>0</v>
      </c>
    </row>
    <row r="341" spans="1:127" s="5" customFormat="1" ht="12" customHeight="1" x14ac:dyDescent="0.2">
      <c r="A341" s="39" t="s">
        <v>468</v>
      </c>
      <c r="B341" s="60">
        <f t="shared" si="19"/>
        <v>0</v>
      </c>
      <c r="C341" s="52">
        <v>1</v>
      </c>
      <c r="D341" s="54">
        <v>44897</v>
      </c>
      <c r="E341" s="62">
        <v>33.39</v>
      </c>
      <c r="F341" s="62">
        <f t="shared" si="18"/>
        <v>0</v>
      </c>
      <c r="G341" s="60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1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  <c r="AY341" s="35"/>
      <c r="AZ341" s="35"/>
      <c r="BA341" s="35"/>
      <c r="BB341" s="35"/>
      <c r="BC341" s="35"/>
      <c r="BD341" s="35"/>
      <c r="BE341" s="35"/>
      <c r="BF341" s="35"/>
      <c r="BG341" s="35"/>
      <c r="BH341" s="35"/>
      <c r="BI341" s="35"/>
      <c r="BJ341" s="35"/>
      <c r="BK341" s="35"/>
      <c r="BL341" s="35"/>
      <c r="BM341" s="35"/>
      <c r="BN341" s="35"/>
      <c r="BO341" s="35"/>
      <c r="BP341" s="35"/>
      <c r="BQ341" s="35"/>
      <c r="BR341" s="35"/>
      <c r="BS341" s="35"/>
      <c r="BT341" s="35"/>
      <c r="BU341" s="35"/>
      <c r="BV341" s="35"/>
      <c r="BW341" s="35"/>
      <c r="BX341" s="35"/>
      <c r="BY341" s="35"/>
      <c r="BZ341" s="35"/>
      <c r="CA341" s="35"/>
      <c r="CB341" s="35"/>
      <c r="CC341" s="35"/>
      <c r="CD341" s="35"/>
      <c r="CE341" s="35"/>
      <c r="CF341" s="35"/>
      <c r="CG341" s="35"/>
      <c r="CH341" s="35"/>
      <c r="CI341" s="35"/>
      <c r="CJ341" s="35"/>
      <c r="CK341" s="35"/>
      <c r="CL341" s="35"/>
      <c r="CM341" s="35"/>
      <c r="CN341" s="35"/>
      <c r="CO341" s="35"/>
      <c r="CP341" s="35"/>
      <c r="CQ341" s="35"/>
      <c r="CR341" s="35"/>
      <c r="CS341" s="35"/>
      <c r="CT341" s="35"/>
      <c r="CU341" s="35"/>
      <c r="CV341" s="35"/>
      <c r="CW341" s="35"/>
      <c r="CX341" s="35"/>
      <c r="CY341" s="35"/>
      <c r="CZ341" s="35"/>
      <c r="DA341" s="35"/>
      <c r="DB341" s="35"/>
      <c r="DC341" s="35"/>
      <c r="DD341" s="35"/>
      <c r="DE341" s="35"/>
      <c r="DF341" s="35"/>
      <c r="DG341" s="35"/>
      <c r="DH341" s="35"/>
      <c r="DI341" s="35"/>
      <c r="DJ341" s="35"/>
      <c r="DK341" s="35"/>
      <c r="DL341" s="35"/>
      <c r="DM341" s="35"/>
      <c r="DN341" s="35"/>
      <c r="DO341" s="35"/>
      <c r="DP341" s="35"/>
      <c r="DQ341" s="35"/>
      <c r="DR341" s="35"/>
      <c r="DS341" s="35"/>
      <c r="DT341" s="35"/>
      <c r="DU341" s="35"/>
      <c r="DV341" s="35"/>
      <c r="DW341" s="61">
        <f t="shared" si="17"/>
        <v>0</v>
      </c>
    </row>
    <row r="342" spans="1:127" s="5" customFormat="1" ht="12" customHeight="1" x14ac:dyDescent="0.2">
      <c r="A342" s="39" t="s">
        <v>441</v>
      </c>
      <c r="B342" s="60">
        <f t="shared" si="19"/>
        <v>0</v>
      </c>
      <c r="C342" s="52">
        <v>1</v>
      </c>
      <c r="D342" s="54">
        <v>44665</v>
      </c>
      <c r="E342" s="62">
        <v>43.36</v>
      </c>
      <c r="F342" s="62">
        <f t="shared" si="18"/>
        <v>0</v>
      </c>
      <c r="G342" s="60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1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  <c r="AY342" s="35"/>
      <c r="AZ342" s="35"/>
      <c r="BA342" s="35"/>
      <c r="BB342" s="35"/>
      <c r="BC342" s="35"/>
      <c r="BD342" s="35"/>
      <c r="BE342" s="35"/>
      <c r="BF342" s="35"/>
      <c r="BG342" s="35"/>
      <c r="BH342" s="35"/>
      <c r="BI342" s="35"/>
      <c r="BJ342" s="35"/>
      <c r="BK342" s="35"/>
      <c r="BL342" s="35"/>
      <c r="BM342" s="35"/>
      <c r="BN342" s="35"/>
      <c r="BO342" s="35"/>
      <c r="BP342" s="35"/>
      <c r="BQ342" s="35"/>
      <c r="BR342" s="35"/>
      <c r="BS342" s="35"/>
      <c r="BT342" s="35"/>
      <c r="BU342" s="35"/>
      <c r="BV342" s="35"/>
      <c r="BW342" s="35"/>
      <c r="BX342" s="35"/>
      <c r="BY342" s="35"/>
      <c r="BZ342" s="35"/>
      <c r="CA342" s="35"/>
      <c r="CB342" s="35"/>
      <c r="CC342" s="35"/>
      <c r="CD342" s="35"/>
      <c r="CE342" s="35"/>
      <c r="CF342" s="35"/>
      <c r="CG342" s="35"/>
      <c r="CH342" s="35"/>
      <c r="CI342" s="35"/>
      <c r="CJ342" s="35"/>
      <c r="CK342" s="35"/>
      <c r="CL342" s="35"/>
      <c r="CM342" s="35"/>
      <c r="CN342" s="35"/>
      <c r="CO342" s="35"/>
      <c r="CP342" s="35"/>
      <c r="CQ342" s="35"/>
      <c r="CR342" s="35"/>
      <c r="CS342" s="35"/>
      <c r="CT342" s="35"/>
      <c r="CU342" s="35"/>
      <c r="CV342" s="35"/>
      <c r="CW342" s="35"/>
      <c r="CX342" s="35"/>
      <c r="CY342" s="35"/>
      <c r="CZ342" s="35"/>
      <c r="DA342" s="35"/>
      <c r="DB342" s="35"/>
      <c r="DC342" s="35"/>
      <c r="DD342" s="35"/>
      <c r="DE342" s="35"/>
      <c r="DF342" s="35"/>
      <c r="DG342" s="35"/>
      <c r="DH342" s="35"/>
      <c r="DI342" s="35"/>
      <c r="DJ342" s="35"/>
      <c r="DK342" s="35"/>
      <c r="DL342" s="35"/>
      <c r="DM342" s="35"/>
      <c r="DN342" s="35"/>
      <c r="DO342" s="35"/>
      <c r="DP342" s="35"/>
      <c r="DQ342" s="35"/>
      <c r="DR342" s="35"/>
      <c r="DS342" s="35"/>
      <c r="DT342" s="35"/>
      <c r="DU342" s="35"/>
      <c r="DV342" s="35"/>
      <c r="DW342" s="61">
        <f t="shared" si="17"/>
        <v>0</v>
      </c>
    </row>
    <row r="343" spans="1:127" s="5" customFormat="1" ht="12" customHeight="1" x14ac:dyDescent="0.2">
      <c r="A343" s="39" t="s">
        <v>308</v>
      </c>
      <c r="B343" s="60">
        <f t="shared" si="19"/>
        <v>1</v>
      </c>
      <c r="C343" s="52">
        <v>1</v>
      </c>
      <c r="D343" s="54">
        <v>44897</v>
      </c>
      <c r="E343" s="62">
        <v>42.79</v>
      </c>
      <c r="F343" s="62">
        <f t="shared" si="14"/>
        <v>42.79</v>
      </c>
      <c r="G343" s="60">
        <v>2</v>
      </c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1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  <c r="AY343" s="35"/>
      <c r="AZ343" s="35"/>
      <c r="BA343" s="35"/>
      <c r="BB343" s="35">
        <v>1</v>
      </c>
      <c r="BC343" s="35"/>
      <c r="BD343" s="35"/>
      <c r="BE343" s="35"/>
      <c r="BF343" s="35">
        <v>1</v>
      </c>
      <c r="BG343" s="35"/>
      <c r="BH343" s="35"/>
      <c r="BI343" s="35"/>
      <c r="BJ343" s="35"/>
      <c r="BK343" s="35"/>
      <c r="BL343" s="35"/>
      <c r="BM343" s="35"/>
      <c r="BN343" s="35"/>
      <c r="BO343" s="35"/>
      <c r="BP343" s="35"/>
      <c r="BQ343" s="35"/>
      <c r="BR343" s="35"/>
      <c r="BS343" s="35"/>
      <c r="BT343" s="35"/>
      <c r="BU343" s="35"/>
      <c r="BV343" s="35"/>
      <c r="BW343" s="35"/>
      <c r="BX343" s="35"/>
      <c r="BY343" s="35"/>
      <c r="BZ343" s="35"/>
      <c r="CA343" s="35"/>
      <c r="CB343" s="35"/>
      <c r="CC343" s="35"/>
      <c r="CD343" s="35"/>
      <c r="CE343" s="35"/>
      <c r="CF343" s="35"/>
      <c r="CG343" s="35"/>
      <c r="CH343" s="35"/>
      <c r="CI343" s="35"/>
      <c r="CJ343" s="35"/>
      <c r="CK343" s="35"/>
      <c r="CL343" s="35"/>
      <c r="CM343" s="35"/>
      <c r="CN343" s="35"/>
      <c r="CO343" s="35"/>
      <c r="CP343" s="35"/>
      <c r="CQ343" s="35"/>
      <c r="CR343" s="35"/>
      <c r="CS343" s="35"/>
      <c r="CT343" s="35"/>
      <c r="CU343" s="35"/>
      <c r="CV343" s="35"/>
      <c r="CW343" s="35"/>
      <c r="CX343" s="35"/>
      <c r="CY343" s="35"/>
      <c r="CZ343" s="35"/>
      <c r="DA343" s="35"/>
      <c r="DB343" s="35"/>
      <c r="DC343" s="35"/>
      <c r="DD343" s="35"/>
      <c r="DE343" s="35"/>
      <c r="DF343" s="35"/>
      <c r="DG343" s="35"/>
      <c r="DH343" s="35"/>
      <c r="DI343" s="35"/>
      <c r="DJ343" s="35"/>
      <c r="DK343" s="35"/>
      <c r="DL343" s="35"/>
      <c r="DM343" s="35"/>
      <c r="DN343" s="35"/>
      <c r="DO343" s="35"/>
      <c r="DP343" s="35"/>
      <c r="DQ343" s="35"/>
      <c r="DR343" s="35"/>
      <c r="DS343" s="35"/>
      <c r="DT343" s="35"/>
      <c r="DU343" s="35"/>
      <c r="DV343" s="35"/>
      <c r="DW343" s="61">
        <f t="shared" si="17"/>
        <v>0</v>
      </c>
    </row>
    <row r="344" spans="1:127" s="5" customFormat="1" ht="12" customHeight="1" x14ac:dyDescent="0.2">
      <c r="A344" s="39" t="s">
        <v>431</v>
      </c>
      <c r="B344" s="60">
        <f t="shared" si="19"/>
        <v>0</v>
      </c>
      <c r="C344" s="52">
        <v>1</v>
      </c>
      <c r="D344" s="54">
        <v>44624</v>
      </c>
      <c r="E344" s="62">
        <v>402.2</v>
      </c>
      <c r="F344" s="62">
        <f t="shared" si="14"/>
        <v>0</v>
      </c>
      <c r="G344" s="60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1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  <c r="AY344" s="35"/>
      <c r="AZ344" s="35"/>
      <c r="BA344" s="35"/>
      <c r="BB344" s="35"/>
      <c r="BC344" s="35"/>
      <c r="BD344" s="35"/>
      <c r="BE344" s="35"/>
      <c r="BF344" s="35"/>
      <c r="BG344" s="35"/>
      <c r="BH344" s="35"/>
      <c r="BI344" s="35"/>
      <c r="BJ344" s="35"/>
      <c r="BK344" s="35"/>
      <c r="BL344" s="35"/>
      <c r="BM344" s="35"/>
      <c r="BN344" s="35"/>
      <c r="BO344" s="35"/>
      <c r="BP344" s="35"/>
      <c r="BQ344" s="35"/>
      <c r="BR344" s="35"/>
      <c r="BS344" s="35"/>
      <c r="BT344" s="35"/>
      <c r="BU344" s="35"/>
      <c r="BV344" s="35"/>
      <c r="BW344" s="35"/>
      <c r="BX344" s="35"/>
      <c r="BY344" s="35"/>
      <c r="BZ344" s="35"/>
      <c r="CA344" s="35"/>
      <c r="CB344" s="35"/>
      <c r="CC344" s="35"/>
      <c r="CD344" s="35"/>
      <c r="CE344" s="35"/>
      <c r="CF344" s="35"/>
      <c r="CG344" s="35"/>
      <c r="CH344" s="35"/>
      <c r="CI344" s="35"/>
      <c r="CJ344" s="35"/>
      <c r="CK344" s="35"/>
      <c r="CL344" s="35"/>
      <c r="CM344" s="35"/>
      <c r="CN344" s="35"/>
      <c r="CO344" s="35"/>
      <c r="CP344" s="35"/>
      <c r="CQ344" s="35"/>
      <c r="CR344" s="35"/>
      <c r="CS344" s="35"/>
      <c r="CT344" s="35"/>
      <c r="CU344" s="35"/>
      <c r="CV344" s="35"/>
      <c r="CW344" s="35"/>
      <c r="CX344" s="35"/>
      <c r="CY344" s="35"/>
      <c r="CZ344" s="35"/>
      <c r="DA344" s="35"/>
      <c r="DB344" s="35"/>
      <c r="DC344" s="35"/>
      <c r="DD344" s="35"/>
      <c r="DE344" s="35"/>
      <c r="DF344" s="35"/>
      <c r="DG344" s="35"/>
      <c r="DH344" s="35"/>
      <c r="DI344" s="35"/>
      <c r="DJ344" s="35"/>
      <c r="DK344" s="35"/>
      <c r="DL344" s="35"/>
      <c r="DM344" s="35"/>
      <c r="DN344" s="35"/>
      <c r="DO344" s="35"/>
      <c r="DP344" s="35"/>
      <c r="DQ344" s="35"/>
      <c r="DR344" s="35"/>
      <c r="DS344" s="35"/>
      <c r="DT344" s="35"/>
      <c r="DU344" s="35"/>
      <c r="DV344" s="35"/>
      <c r="DW344" s="61">
        <f t="shared" si="17"/>
        <v>0</v>
      </c>
    </row>
    <row r="345" spans="1:127" s="5" customFormat="1" ht="12" customHeight="1" x14ac:dyDescent="0.2">
      <c r="A345" s="39" t="s">
        <v>284</v>
      </c>
      <c r="B345" s="60">
        <f t="shared" si="19"/>
        <v>0</v>
      </c>
      <c r="C345" s="52">
        <v>1</v>
      </c>
      <c r="D345" s="54">
        <v>44753</v>
      </c>
      <c r="E345" s="62">
        <v>60.41</v>
      </c>
      <c r="F345" s="62">
        <f t="shared" si="14"/>
        <v>0</v>
      </c>
      <c r="G345" s="60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1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  <c r="AY345" s="35"/>
      <c r="AZ345" s="35"/>
      <c r="BA345" s="35"/>
      <c r="BB345" s="35"/>
      <c r="BC345" s="35"/>
      <c r="BD345" s="35"/>
      <c r="BE345" s="35"/>
      <c r="BF345" s="35"/>
      <c r="BG345" s="35"/>
      <c r="BH345" s="35"/>
      <c r="BI345" s="35"/>
      <c r="BJ345" s="35"/>
      <c r="BK345" s="35"/>
      <c r="BL345" s="35"/>
      <c r="BM345" s="35"/>
      <c r="BN345" s="35"/>
      <c r="BO345" s="35"/>
      <c r="BP345" s="35"/>
      <c r="BQ345" s="35"/>
      <c r="BR345" s="35"/>
      <c r="BS345" s="35"/>
      <c r="BT345" s="35"/>
      <c r="BU345" s="35"/>
      <c r="BV345" s="35"/>
      <c r="BW345" s="35"/>
      <c r="BX345" s="35"/>
      <c r="BY345" s="35"/>
      <c r="BZ345" s="35"/>
      <c r="CA345" s="35"/>
      <c r="CB345" s="35"/>
      <c r="CC345" s="35"/>
      <c r="CD345" s="35"/>
      <c r="CE345" s="35"/>
      <c r="CF345" s="35"/>
      <c r="CG345" s="35"/>
      <c r="CH345" s="35"/>
      <c r="CI345" s="35"/>
      <c r="CJ345" s="35"/>
      <c r="CK345" s="35"/>
      <c r="CL345" s="35"/>
      <c r="CM345" s="35"/>
      <c r="CN345" s="35"/>
      <c r="CO345" s="35"/>
      <c r="CP345" s="35"/>
      <c r="CQ345" s="35"/>
      <c r="CR345" s="35"/>
      <c r="CS345" s="35"/>
      <c r="CT345" s="35"/>
      <c r="CU345" s="35"/>
      <c r="CV345" s="35"/>
      <c r="CW345" s="35"/>
      <c r="CX345" s="35"/>
      <c r="CY345" s="35"/>
      <c r="CZ345" s="35"/>
      <c r="DA345" s="35"/>
      <c r="DB345" s="35"/>
      <c r="DC345" s="35"/>
      <c r="DD345" s="35"/>
      <c r="DE345" s="35"/>
      <c r="DF345" s="35"/>
      <c r="DG345" s="35"/>
      <c r="DH345" s="35"/>
      <c r="DI345" s="35"/>
      <c r="DJ345" s="35"/>
      <c r="DK345" s="35"/>
      <c r="DL345" s="35"/>
      <c r="DM345" s="35"/>
      <c r="DN345" s="35"/>
      <c r="DO345" s="35"/>
      <c r="DP345" s="35"/>
      <c r="DQ345" s="35"/>
      <c r="DR345" s="35"/>
      <c r="DS345" s="35"/>
      <c r="DT345" s="35"/>
      <c r="DU345" s="35"/>
      <c r="DV345" s="35"/>
      <c r="DW345" s="61">
        <f t="shared" si="17"/>
        <v>0</v>
      </c>
    </row>
    <row r="346" spans="1:127" s="5" customFormat="1" ht="12" customHeight="1" x14ac:dyDescent="0.2">
      <c r="A346" s="39" t="s">
        <v>258</v>
      </c>
      <c r="B346" s="60">
        <f t="shared" si="19"/>
        <v>0</v>
      </c>
      <c r="C346" s="52">
        <v>1</v>
      </c>
      <c r="D346" s="54">
        <v>44739</v>
      </c>
      <c r="E346" s="62">
        <v>26.94</v>
      </c>
      <c r="F346" s="62">
        <f t="shared" si="14"/>
        <v>0</v>
      </c>
      <c r="G346" s="60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1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  <c r="AY346" s="35"/>
      <c r="AZ346" s="35"/>
      <c r="BA346" s="35"/>
      <c r="BB346" s="35"/>
      <c r="BC346" s="35"/>
      <c r="BD346" s="35"/>
      <c r="BE346" s="35"/>
      <c r="BF346" s="35"/>
      <c r="BG346" s="35"/>
      <c r="BH346" s="35"/>
      <c r="BI346" s="35"/>
      <c r="BJ346" s="35"/>
      <c r="BK346" s="35"/>
      <c r="BL346" s="35"/>
      <c r="BM346" s="35"/>
      <c r="BN346" s="35"/>
      <c r="BO346" s="35"/>
      <c r="BP346" s="35"/>
      <c r="BQ346" s="35"/>
      <c r="BR346" s="35"/>
      <c r="BS346" s="35"/>
      <c r="BT346" s="35"/>
      <c r="BU346" s="35"/>
      <c r="BV346" s="35"/>
      <c r="BW346" s="35"/>
      <c r="BX346" s="35"/>
      <c r="BY346" s="35"/>
      <c r="BZ346" s="35"/>
      <c r="CA346" s="35"/>
      <c r="CB346" s="35"/>
      <c r="CC346" s="35"/>
      <c r="CD346" s="35"/>
      <c r="CE346" s="35"/>
      <c r="CF346" s="35"/>
      <c r="CG346" s="35"/>
      <c r="CH346" s="35"/>
      <c r="CI346" s="35"/>
      <c r="CJ346" s="35"/>
      <c r="CK346" s="35"/>
      <c r="CL346" s="35"/>
      <c r="CM346" s="35"/>
      <c r="CN346" s="35"/>
      <c r="CO346" s="35"/>
      <c r="CP346" s="35"/>
      <c r="CQ346" s="35"/>
      <c r="CR346" s="35"/>
      <c r="CS346" s="35"/>
      <c r="CT346" s="35"/>
      <c r="CU346" s="35"/>
      <c r="CV346" s="35"/>
      <c r="CW346" s="35"/>
      <c r="CX346" s="35"/>
      <c r="CY346" s="35"/>
      <c r="CZ346" s="35"/>
      <c r="DA346" s="35"/>
      <c r="DB346" s="35"/>
      <c r="DC346" s="35"/>
      <c r="DD346" s="35"/>
      <c r="DE346" s="35"/>
      <c r="DF346" s="35"/>
      <c r="DG346" s="35"/>
      <c r="DH346" s="35"/>
      <c r="DI346" s="35"/>
      <c r="DJ346" s="35"/>
      <c r="DK346" s="35"/>
      <c r="DL346" s="35"/>
      <c r="DM346" s="35"/>
      <c r="DN346" s="35"/>
      <c r="DO346" s="35"/>
      <c r="DP346" s="35"/>
      <c r="DQ346" s="35"/>
      <c r="DR346" s="35"/>
      <c r="DS346" s="35"/>
      <c r="DT346" s="35"/>
      <c r="DU346" s="35"/>
      <c r="DV346" s="35"/>
      <c r="DW346" s="61">
        <f t="shared" si="17"/>
        <v>0</v>
      </c>
    </row>
    <row r="347" spans="1:127" s="5" customFormat="1" ht="12" customHeight="1" x14ac:dyDescent="0.2">
      <c r="A347" s="39" t="s">
        <v>198</v>
      </c>
      <c r="B347" s="60">
        <f t="shared" si="19"/>
        <v>69</v>
      </c>
      <c r="C347" s="52">
        <v>1</v>
      </c>
      <c r="D347" s="54">
        <v>44844</v>
      </c>
      <c r="E347" s="62">
        <v>30.67</v>
      </c>
      <c r="F347" s="62">
        <f t="shared" si="14"/>
        <v>2116.23</v>
      </c>
      <c r="G347" s="60">
        <v>81</v>
      </c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1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>
        <v>2</v>
      </c>
      <c r="BC347" s="35"/>
      <c r="BD347" s="35"/>
      <c r="BE347" s="35"/>
      <c r="BF347" s="35">
        <v>5</v>
      </c>
      <c r="BG347" s="35"/>
      <c r="BH347" s="35"/>
      <c r="BI347" s="35"/>
      <c r="BJ347" s="35"/>
      <c r="BK347" s="35"/>
      <c r="BL347" s="35"/>
      <c r="BM347" s="35"/>
      <c r="BN347" s="35"/>
      <c r="BO347" s="35"/>
      <c r="BP347" s="35"/>
      <c r="BQ347" s="35"/>
      <c r="BR347" s="35"/>
      <c r="BS347" s="35"/>
      <c r="BT347" s="35"/>
      <c r="BU347" s="35"/>
      <c r="BV347" s="35"/>
      <c r="BW347" s="35"/>
      <c r="BX347" s="35"/>
      <c r="BY347" s="35"/>
      <c r="BZ347" s="35"/>
      <c r="CA347" s="35"/>
      <c r="CB347" s="35"/>
      <c r="CC347" s="35"/>
      <c r="CD347" s="35"/>
      <c r="CE347" s="35"/>
      <c r="CF347" s="35"/>
      <c r="CG347" s="35"/>
      <c r="CH347" s="35"/>
      <c r="CI347" s="35"/>
      <c r="CJ347" s="35">
        <v>5</v>
      </c>
      <c r="CK347" s="35"/>
      <c r="CL347" s="35"/>
      <c r="CM347" s="35"/>
      <c r="CN347" s="35"/>
      <c r="CO347" s="35"/>
      <c r="CP347" s="35"/>
      <c r="CQ347" s="35"/>
      <c r="CR347" s="35"/>
      <c r="CS347" s="35"/>
      <c r="CT347" s="35"/>
      <c r="CU347" s="35"/>
      <c r="CV347" s="35"/>
      <c r="CW347" s="35"/>
      <c r="CX347" s="35"/>
      <c r="CY347" s="35"/>
      <c r="CZ347" s="35"/>
      <c r="DA347" s="35"/>
      <c r="DB347" s="35"/>
      <c r="DC347" s="35"/>
      <c r="DD347" s="35"/>
      <c r="DE347" s="35"/>
      <c r="DF347" s="35"/>
      <c r="DG347" s="35"/>
      <c r="DH347" s="35"/>
      <c r="DI347" s="35"/>
      <c r="DJ347" s="35"/>
      <c r="DK347" s="35"/>
      <c r="DL347" s="35"/>
      <c r="DM347" s="35"/>
      <c r="DN347" s="35"/>
      <c r="DO347" s="35">
        <v>2</v>
      </c>
      <c r="DP347" s="35"/>
      <c r="DQ347" s="35"/>
      <c r="DR347" s="35"/>
      <c r="DS347" s="35"/>
      <c r="DT347" s="35"/>
      <c r="DU347" s="35"/>
      <c r="DV347" s="35">
        <v>67</v>
      </c>
      <c r="DW347" s="61">
        <f t="shared" si="17"/>
        <v>0</v>
      </c>
    </row>
    <row r="348" spans="1:127" s="5" customFormat="1" ht="12" customHeight="1" x14ac:dyDescent="0.2">
      <c r="A348" s="39" t="s">
        <v>564</v>
      </c>
      <c r="B348" s="60">
        <f t="shared" si="19"/>
        <v>0</v>
      </c>
      <c r="C348" s="52">
        <v>1</v>
      </c>
      <c r="D348" s="54">
        <v>44963</v>
      </c>
      <c r="E348" s="62">
        <v>67.040000000000006</v>
      </c>
      <c r="F348" s="62">
        <f t="shared" si="14"/>
        <v>0</v>
      </c>
      <c r="G348" s="60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>
        <v>4</v>
      </c>
      <c r="T348" s="35"/>
      <c r="U348" s="1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  <c r="AY348" s="35"/>
      <c r="AZ348" s="35"/>
      <c r="BA348" s="35"/>
      <c r="BB348" s="35"/>
      <c r="BC348" s="35"/>
      <c r="BD348" s="35"/>
      <c r="BE348" s="35"/>
      <c r="BF348" s="35"/>
      <c r="BG348" s="35"/>
      <c r="BH348" s="35"/>
      <c r="BI348" s="35"/>
      <c r="BJ348" s="35"/>
      <c r="BK348" s="35"/>
      <c r="BL348" s="35"/>
      <c r="BM348" s="35"/>
      <c r="BN348" s="35"/>
      <c r="BO348" s="35"/>
      <c r="BP348" s="35"/>
      <c r="BQ348" s="35"/>
      <c r="BR348" s="35"/>
      <c r="BS348" s="35"/>
      <c r="BT348" s="35"/>
      <c r="BU348" s="35"/>
      <c r="BV348" s="35"/>
      <c r="BW348" s="35"/>
      <c r="BX348" s="35"/>
      <c r="BY348" s="35"/>
      <c r="BZ348" s="35"/>
      <c r="CA348" s="35"/>
      <c r="CB348" s="35"/>
      <c r="CC348" s="35"/>
      <c r="CD348" s="35"/>
      <c r="CE348" s="35"/>
      <c r="CF348" s="35"/>
      <c r="CG348" s="35"/>
      <c r="CH348" s="35"/>
      <c r="CI348" s="35"/>
      <c r="CJ348" s="35"/>
      <c r="CK348" s="35"/>
      <c r="CL348" s="35"/>
      <c r="CM348" s="35"/>
      <c r="CN348" s="35"/>
      <c r="CO348" s="35"/>
      <c r="CP348" s="35"/>
      <c r="CQ348" s="35"/>
      <c r="CR348" s="35"/>
      <c r="CS348" s="35"/>
      <c r="CT348" s="35"/>
      <c r="CU348" s="35"/>
      <c r="CV348" s="35"/>
      <c r="CW348" s="35"/>
      <c r="CX348" s="35"/>
      <c r="CY348" s="35"/>
      <c r="CZ348" s="35"/>
      <c r="DA348" s="35"/>
      <c r="DB348" s="35"/>
      <c r="DC348" s="35"/>
      <c r="DD348" s="35"/>
      <c r="DE348" s="35"/>
      <c r="DF348" s="35"/>
      <c r="DG348" s="35"/>
      <c r="DH348" s="35"/>
      <c r="DI348" s="35"/>
      <c r="DJ348" s="35">
        <v>4</v>
      </c>
      <c r="DK348" s="35"/>
      <c r="DL348" s="35"/>
      <c r="DM348" s="35"/>
      <c r="DN348" s="35"/>
      <c r="DO348" s="35"/>
      <c r="DP348" s="35"/>
      <c r="DQ348" s="35"/>
      <c r="DR348" s="35"/>
      <c r="DS348" s="35"/>
      <c r="DT348" s="35"/>
      <c r="DU348" s="35"/>
      <c r="DV348" s="35"/>
      <c r="DW348" s="61">
        <f t="shared" si="17"/>
        <v>0</v>
      </c>
    </row>
    <row r="349" spans="1:127" s="5" customFormat="1" x14ac:dyDescent="0.2">
      <c r="A349" s="42" t="s">
        <v>124</v>
      </c>
      <c r="B349" s="60">
        <f t="shared" si="19"/>
        <v>20</v>
      </c>
      <c r="C349" s="52">
        <v>5</v>
      </c>
      <c r="D349" s="54">
        <v>44963</v>
      </c>
      <c r="E349" s="62">
        <v>74.739999999999995</v>
      </c>
      <c r="F349" s="62">
        <f t="shared" si="14"/>
        <v>1494.8</v>
      </c>
      <c r="G349" s="60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1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  <c r="AY349" s="35"/>
      <c r="AZ349" s="35"/>
      <c r="BA349" s="35"/>
      <c r="BB349" s="35"/>
      <c r="BC349" s="35"/>
      <c r="BD349" s="35">
        <v>10</v>
      </c>
      <c r="BE349" s="35"/>
      <c r="BF349" s="35"/>
      <c r="BG349" s="35"/>
      <c r="BH349" s="35"/>
      <c r="BI349" s="35"/>
      <c r="BJ349" s="35"/>
      <c r="BK349" s="35"/>
      <c r="BL349" s="35"/>
      <c r="BM349" s="35"/>
      <c r="BN349" s="35"/>
      <c r="BO349" s="35"/>
      <c r="BP349" s="35">
        <v>5</v>
      </c>
      <c r="BQ349" s="35"/>
      <c r="BR349" s="35"/>
      <c r="BS349" s="35"/>
      <c r="BT349" s="35"/>
      <c r="BU349" s="35"/>
      <c r="BV349" s="35"/>
      <c r="BW349" s="35"/>
      <c r="BX349" s="35"/>
      <c r="BY349" s="35"/>
      <c r="BZ349" s="35"/>
      <c r="CA349" s="35"/>
      <c r="CB349" s="35"/>
      <c r="CC349" s="35"/>
      <c r="CD349" s="35"/>
      <c r="CE349" s="35"/>
      <c r="CF349" s="35"/>
      <c r="CG349" s="35"/>
      <c r="CH349" s="35"/>
      <c r="CI349" s="35"/>
      <c r="CJ349" s="35"/>
      <c r="CK349" s="35"/>
      <c r="CL349" s="35"/>
      <c r="CM349" s="35"/>
      <c r="CN349" s="35"/>
      <c r="CO349" s="35"/>
      <c r="CP349" s="35"/>
      <c r="CQ349" s="35"/>
      <c r="CR349" s="35"/>
      <c r="CS349" s="35"/>
      <c r="CT349" s="35"/>
      <c r="CU349" s="35"/>
      <c r="CV349" s="35"/>
      <c r="CW349" s="35"/>
      <c r="CX349" s="35"/>
      <c r="CY349" s="35"/>
      <c r="CZ349" s="35"/>
      <c r="DA349" s="35"/>
      <c r="DB349" s="35"/>
      <c r="DC349" s="35"/>
      <c r="DD349" s="35"/>
      <c r="DE349" s="35"/>
      <c r="DF349" s="35"/>
      <c r="DG349" s="35"/>
      <c r="DH349" s="35"/>
      <c r="DI349" s="35"/>
      <c r="DJ349" s="35">
        <v>30</v>
      </c>
      <c r="DK349" s="35"/>
      <c r="DL349" s="35"/>
      <c r="DM349" s="35"/>
      <c r="DN349" s="35"/>
      <c r="DO349" s="35"/>
      <c r="DP349" s="35"/>
      <c r="DQ349" s="35"/>
      <c r="DR349" s="35"/>
      <c r="DS349" s="35"/>
      <c r="DT349" s="35"/>
      <c r="DU349" s="35"/>
      <c r="DV349" s="35">
        <v>15</v>
      </c>
      <c r="DW349" s="61">
        <f t="shared" si="17"/>
        <v>0</v>
      </c>
    </row>
    <row r="350" spans="1:127" s="5" customFormat="1" x14ac:dyDescent="0.2">
      <c r="A350" s="42" t="s">
        <v>323</v>
      </c>
      <c r="B350" s="60">
        <f t="shared" si="19"/>
        <v>0</v>
      </c>
      <c r="C350" s="52">
        <v>1</v>
      </c>
      <c r="D350" s="54">
        <v>44665</v>
      </c>
      <c r="E350" s="62">
        <v>84.88</v>
      </c>
      <c r="F350" s="62">
        <f t="shared" si="14"/>
        <v>0</v>
      </c>
      <c r="G350" s="60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1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BH350" s="35"/>
      <c r="BI350" s="35"/>
      <c r="BJ350" s="35"/>
      <c r="BK350" s="35"/>
      <c r="BL350" s="35"/>
      <c r="BM350" s="35"/>
      <c r="BN350" s="35"/>
      <c r="BO350" s="35"/>
      <c r="BP350" s="35"/>
      <c r="BQ350" s="35"/>
      <c r="BR350" s="35"/>
      <c r="BS350" s="35"/>
      <c r="BT350" s="35"/>
      <c r="BU350" s="35"/>
      <c r="BV350" s="35"/>
      <c r="BW350" s="35"/>
      <c r="BX350" s="35"/>
      <c r="BY350" s="35"/>
      <c r="BZ350" s="35"/>
      <c r="CA350" s="35"/>
      <c r="CB350" s="35"/>
      <c r="CC350" s="35"/>
      <c r="CD350" s="35"/>
      <c r="CE350" s="35"/>
      <c r="CF350" s="35"/>
      <c r="CG350" s="35"/>
      <c r="CH350" s="35"/>
      <c r="CI350" s="35"/>
      <c r="CJ350" s="35"/>
      <c r="CK350" s="35"/>
      <c r="CL350" s="35"/>
      <c r="CM350" s="35"/>
      <c r="CN350" s="35"/>
      <c r="CO350" s="35"/>
      <c r="CP350" s="35"/>
      <c r="CQ350" s="35"/>
      <c r="CR350" s="35"/>
      <c r="CS350" s="35"/>
      <c r="CT350" s="35"/>
      <c r="CU350" s="35"/>
      <c r="CV350" s="35"/>
      <c r="CW350" s="35"/>
      <c r="CX350" s="35"/>
      <c r="CY350" s="35"/>
      <c r="CZ350" s="35"/>
      <c r="DA350" s="35"/>
      <c r="DB350" s="35"/>
      <c r="DC350" s="35"/>
      <c r="DD350" s="35"/>
      <c r="DE350" s="35"/>
      <c r="DF350" s="35"/>
      <c r="DG350" s="35"/>
      <c r="DH350" s="35"/>
      <c r="DI350" s="35"/>
      <c r="DJ350" s="35"/>
      <c r="DK350" s="35"/>
      <c r="DL350" s="35"/>
      <c r="DM350" s="35"/>
      <c r="DN350" s="35"/>
      <c r="DO350" s="35"/>
      <c r="DP350" s="35"/>
      <c r="DQ350" s="35"/>
      <c r="DR350" s="35"/>
      <c r="DS350" s="35"/>
      <c r="DT350" s="35"/>
      <c r="DU350" s="35"/>
      <c r="DV350" s="35"/>
      <c r="DW350" s="61">
        <f t="shared" si="17"/>
        <v>0</v>
      </c>
    </row>
    <row r="351" spans="1:127" s="5" customFormat="1" x14ac:dyDescent="0.2">
      <c r="A351" s="42" t="s">
        <v>428</v>
      </c>
      <c r="B351" s="60">
        <f t="shared" si="19"/>
        <v>10</v>
      </c>
      <c r="C351" s="52">
        <v>5</v>
      </c>
      <c r="D351" s="54">
        <v>44914</v>
      </c>
      <c r="E351" s="62">
        <v>63.16</v>
      </c>
      <c r="F351" s="62">
        <f t="shared" ref="F351:F392" si="20">E351*B351</f>
        <v>631.59999999999991</v>
      </c>
      <c r="G351" s="60">
        <v>10</v>
      </c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1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BH351" s="35"/>
      <c r="BI351" s="35"/>
      <c r="BJ351" s="35"/>
      <c r="BK351" s="35"/>
      <c r="BL351" s="35"/>
      <c r="BM351" s="35"/>
      <c r="BN351" s="35"/>
      <c r="BO351" s="35"/>
      <c r="BP351" s="35"/>
      <c r="BQ351" s="35"/>
      <c r="BR351" s="35"/>
      <c r="BS351" s="35"/>
      <c r="BT351" s="35"/>
      <c r="BU351" s="35"/>
      <c r="BV351" s="35"/>
      <c r="BW351" s="35"/>
      <c r="BX351" s="35"/>
      <c r="BY351" s="35"/>
      <c r="BZ351" s="35"/>
      <c r="CA351" s="35"/>
      <c r="CB351" s="35"/>
      <c r="CC351" s="35"/>
      <c r="CD351" s="35"/>
      <c r="CE351" s="35"/>
      <c r="CF351" s="35"/>
      <c r="CG351" s="35"/>
      <c r="CH351" s="35">
        <v>10</v>
      </c>
      <c r="CI351" s="35"/>
      <c r="CJ351" s="35"/>
      <c r="CK351" s="35"/>
      <c r="CL351" s="35"/>
      <c r="CM351" s="35"/>
      <c r="CN351" s="35"/>
      <c r="CO351" s="35"/>
      <c r="CP351" s="35"/>
      <c r="CQ351" s="35"/>
      <c r="CR351" s="35"/>
      <c r="CS351" s="35"/>
      <c r="CT351" s="35"/>
      <c r="CU351" s="35"/>
      <c r="CV351" s="35"/>
      <c r="CW351" s="35"/>
      <c r="CX351" s="35"/>
      <c r="CY351" s="35"/>
      <c r="CZ351" s="35"/>
      <c r="DA351" s="35"/>
      <c r="DB351" s="35"/>
      <c r="DC351" s="35"/>
      <c r="DD351" s="35"/>
      <c r="DE351" s="35"/>
      <c r="DF351" s="35"/>
      <c r="DG351" s="35"/>
      <c r="DH351" s="35"/>
      <c r="DI351" s="35"/>
      <c r="DJ351" s="35"/>
      <c r="DK351" s="35"/>
      <c r="DL351" s="35"/>
      <c r="DM351" s="35"/>
      <c r="DN351" s="35"/>
      <c r="DO351" s="35"/>
      <c r="DP351" s="35"/>
      <c r="DQ351" s="35"/>
      <c r="DR351" s="35"/>
      <c r="DS351" s="35"/>
      <c r="DT351" s="35"/>
      <c r="DU351" s="35"/>
      <c r="DV351" s="35"/>
      <c r="DW351" s="61">
        <f t="shared" si="17"/>
        <v>0</v>
      </c>
    </row>
    <row r="352" spans="1:127" s="5" customFormat="1" x14ac:dyDescent="0.2">
      <c r="A352" s="42" t="s">
        <v>466</v>
      </c>
      <c r="B352" s="60">
        <f t="shared" si="19"/>
        <v>0</v>
      </c>
      <c r="C352" s="52">
        <v>5</v>
      </c>
      <c r="D352" s="54">
        <v>44809</v>
      </c>
      <c r="E352" s="62">
        <v>57.01</v>
      </c>
      <c r="F352" s="62">
        <f t="shared" si="20"/>
        <v>0</v>
      </c>
      <c r="G352" s="60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1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  <c r="AY352" s="35"/>
      <c r="AZ352" s="35"/>
      <c r="BA352" s="35"/>
      <c r="BB352" s="35"/>
      <c r="BC352" s="35"/>
      <c r="BD352" s="35"/>
      <c r="BE352" s="35"/>
      <c r="BF352" s="35"/>
      <c r="BG352" s="35"/>
      <c r="BH352" s="35"/>
      <c r="BI352" s="35"/>
      <c r="BJ352" s="35"/>
      <c r="BK352" s="35"/>
      <c r="BL352" s="35"/>
      <c r="BM352" s="35"/>
      <c r="BN352" s="35"/>
      <c r="BO352" s="35"/>
      <c r="BP352" s="35"/>
      <c r="BQ352" s="35"/>
      <c r="BR352" s="35"/>
      <c r="BS352" s="35"/>
      <c r="BT352" s="35"/>
      <c r="BU352" s="35"/>
      <c r="BV352" s="35"/>
      <c r="BW352" s="35"/>
      <c r="BX352" s="35"/>
      <c r="BY352" s="35"/>
      <c r="BZ352" s="35"/>
      <c r="CA352" s="35"/>
      <c r="CB352" s="35"/>
      <c r="CC352" s="35"/>
      <c r="CD352" s="35"/>
      <c r="CE352" s="35"/>
      <c r="CF352" s="35"/>
      <c r="CG352" s="35"/>
      <c r="CH352" s="35"/>
      <c r="CI352" s="35"/>
      <c r="CJ352" s="35"/>
      <c r="CK352" s="35"/>
      <c r="CL352" s="35"/>
      <c r="CM352" s="35"/>
      <c r="CN352" s="35"/>
      <c r="CO352" s="35"/>
      <c r="CP352" s="35"/>
      <c r="CQ352" s="35"/>
      <c r="CR352" s="35"/>
      <c r="CS352" s="35"/>
      <c r="CT352" s="35"/>
      <c r="CU352" s="35"/>
      <c r="CV352" s="35"/>
      <c r="CW352" s="35"/>
      <c r="CX352" s="35"/>
      <c r="CY352" s="35"/>
      <c r="CZ352" s="35"/>
      <c r="DA352" s="35"/>
      <c r="DB352" s="35"/>
      <c r="DC352" s="35"/>
      <c r="DD352" s="35"/>
      <c r="DE352" s="35"/>
      <c r="DF352" s="35"/>
      <c r="DG352" s="35"/>
      <c r="DH352" s="35"/>
      <c r="DI352" s="35"/>
      <c r="DJ352" s="35"/>
      <c r="DK352" s="35"/>
      <c r="DL352" s="35"/>
      <c r="DM352" s="35"/>
      <c r="DN352" s="35"/>
      <c r="DO352" s="35"/>
      <c r="DP352" s="35"/>
      <c r="DQ352" s="35"/>
      <c r="DR352" s="35"/>
      <c r="DS352" s="35"/>
      <c r="DT352" s="35"/>
      <c r="DU352" s="35"/>
      <c r="DV352" s="35"/>
      <c r="DW352" s="61">
        <f t="shared" si="17"/>
        <v>0</v>
      </c>
    </row>
    <row r="353" spans="1:127" s="5" customFormat="1" x14ac:dyDescent="0.2">
      <c r="A353" s="42" t="s">
        <v>121</v>
      </c>
      <c r="B353" s="60">
        <f t="shared" si="19"/>
        <v>0</v>
      </c>
      <c r="C353" s="52">
        <v>5</v>
      </c>
      <c r="D353" s="55">
        <v>44725</v>
      </c>
      <c r="E353" s="62">
        <v>219.35</v>
      </c>
      <c r="F353" s="62">
        <f t="shared" si="20"/>
        <v>0</v>
      </c>
      <c r="G353" s="60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1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  <c r="AY353" s="35"/>
      <c r="AZ353" s="35"/>
      <c r="BA353" s="35"/>
      <c r="BB353" s="35"/>
      <c r="BC353" s="35"/>
      <c r="BD353" s="35"/>
      <c r="BE353" s="35"/>
      <c r="BF353" s="35"/>
      <c r="BG353" s="35"/>
      <c r="BH353" s="35"/>
      <c r="BI353" s="35"/>
      <c r="BJ353" s="35"/>
      <c r="BK353" s="35"/>
      <c r="BL353" s="35"/>
      <c r="BM353" s="35"/>
      <c r="BN353" s="35"/>
      <c r="BO353" s="35"/>
      <c r="BP353" s="35"/>
      <c r="BQ353" s="35"/>
      <c r="BR353" s="35"/>
      <c r="BS353" s="35"/>
      <c r="BT353" s="35"/>
      <c r="BU353" s="35"/>
      <c r="BV353" s="35"/>
      <c r="BW353" s="35"/>
      <c r="BX353" s="35"/>
      <c r="BY353" s="35"/>
      <c r="BZ353" s="35"/>
      <c r="CA353" s="35"/>
      <c r="CB353" s="35"/>
      <c r="CC353" s="35"/>
      <c r="CD353" s="35"/>
      <c r="CE353" s="35"/>
      <c r="CF353" s="35"/>
      <c r="CG353" s="35"/>
      <c r="CH353" s="35"/>
      <c r="CI353" s="35"/>
      <c r="CJ353" s="35"/>
      <c r="CK353" s="35"/>
      <c r="CL353" s="35"/>
      <c r="CM353" s="35"/>
      <c r="CN353" s="35"/>
      <c r="CO353" s="35"/>
      <c r="CP353" s="35"/>
      <c r="CQ353" s="35"/>
      <c r="CR353" s="35"/>
      <c r="CS353" s="35"/>
      <c r="CT353" s="35"/>
      <c r="CU353" s="35"/>
      <c r="CV353" s="35"/>
      <c r="CW353" s="35"/>
      <c r="CX353" s="35"/>
      <c r="CY353" s="35"/>
      <c r="CZ353" s="35"/>
      <c r="DA353" s="35"/>
      <c r="DB353" s="35"/>
      <c r="DC353" s="35"/>
      <c r="DD353" s="35"/>
      <c r="DE353" s="35"/>
      <c r="DF353" s="35"/>
      <c r="DG353" s="35"/>
      <c r="DH353" s="35"/>
      <c r="DI353" s="35"/>
      <c r="DJ353" s="35"/>
      <c r="DK353" s="35"/>
      <c r="DL353" s="35"/>
      <c r="DM353" s="35"/>
      <c r="DN353" s="35"/>
      <c r="DO353" s="35"/>
      <c r="DP353" s="35"/>
      <c r="DQ353" s="35"/>
      <c r="DR353" s="35"/>
      <c r="DS353" s="35"/>
      <c r="DT353" s="35"/>
      <c r="DU353" s="35"/>
      <c r="DV353" s="35"/>
      <c r="DW353" s="61">
        <f t="shared" si="17"/>
        <v>0</v>
      </c>
    </row>
    <row r="354" spans="1:127" s="5" customFormat="1" ht="12" customHeight="1" x14ac:dyDescent="0.2">
      <c r="A354" s="39" t="s">
        <v>199</v>
      </c>
      <c r="B354" s="60">
        <f t="shared" si="19"/>
        <v>10</v>
      </c>
      <c r="C354" s="52">
        <v>5</v>
      </c>
      <c r="D354" s="55">
        <v>44914</v>
      </c>
      <c r="E354" s="62">
        <v>56.66</v>
      </c>
      <c r="F354" s="62">
        <f t="shared" si="20"/>
        <v>566.59999999999991</v>
      </c>
      <c r="G354" s="60">
        <v>10</v>
      </c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1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  <c r="AY354" s="35"/>
      <c r="AZ354" s="35"/>
      <c r="BA354" s="35"/>
      <c r="BB354" s="35"/>
      <c r="BC354" s="35"/>
      <c r="BD354" s="35"/>
      <c r="BE354" s="35"/>
      <c r="BF354" s="35"/>
      <c r="BG354" s="35"/>
      <c r="BH354" s="35"/>
      <c r="BI354" s="35"/>
      <c r="BJ354" s="35"/>
      <c r="BK354" s="35"/>
      <c r="BL354" s="35"/>
      <c r="BM354" s="35"/>
      <c r="BN354" s="35"/>
      <c r="BO354" s="35"/>
      <c r="BP354" s="35"/>
      <c r="BQ354" s="35"/>
      <c r="BR354" s="35"/>
      <c r="BS354" s="35"/>
      <c r="BT354" s="35"/>
      <c r="BU354" s="35"/>
      <c r="BV354" s="35"/>
      <c r="BW354" s="35"/>
      <c r="BX354" s="35"/>
      <c r="BY354" s="35"/>
      <c r="BZ354" s="35"/>
      <c r="CA354" s="35"/>
      <c r="CB354" s="35"/>
      <c r="CC354" s="35"/>
      <c r="CD354" s="35"/>
      <c r="CE354" s="35"/>
      <c r="CF354" s="35"/>
      <c r="CG354" s="35"/>
      <c r="CH354" s="35">
        <v>10</v>
      </c>
      <c r="CI354" s="35"/>
      <c r="CJ354" s="35"/>
      <c r="CK354" s="35"/>
      <c r="CL354" s="35"/>
      <c r="CM354" s="35"/>
      <c r="CN354" s="35"/>
      <c r="CO354" s="35"/>
      <c r="CP354" s="35"/>
      <c r="CQ354" s="35"/>
      <c r="CR354" s="35"/>
      <c r="CS354" s="35"/>
      <c r="CT354" s="35"/>
      <c r="CU354" s="35"/>
      <c r="CV354" s="35"/>
      <c r="CW354" s="35"/>
      <c r="CX354" s="35"/>
      <c r="CY354" s="35"/>
      <c r="CZ354" s="35"/>
      <c r="DA354" s="35"/>
      <c r="DB354" s="35"/>
      <c r="DC354" s="35"/>
      <c r="DD354" s="35"/>
      <c r="DE354" s="35"/>
      <c r="DF354" s="35"/>
      <c r="DG354" s="35"/>
      <c r="DH354" s="35"/>
      <c r="DI354" s="35"/>
      <c r="DJ354" s="35"/>
      <c r="DK354" s="35"/>
      <c r="DL354" s="35"/>
      <c r="DM354" s="35"/>
      <c r="DN354" s="35"/>
      <c r="DO354" s="35"/>
      <c r="DP354" s="35"/>
      <c r="DQ354" s="35"/>
      <c r="DR354" s="35"/>
      <c r="DS354" s="35"/>
      <c r="DT354" s="35"/>
      <c r="DU354" s="35"/>
      <c r="DV354" s="35"/>
      <c r="DW354" s="61">
        <f t="shared" si="17"/>
        <v>0</v>
      </c>
    </row>
    <row r="355" spans="1:127" s="5" customFormat="1" ht="12" customHeight="1" x14ac:dyDescent="0.2">
      <c r="A355" s="39" t="s">
        <v>199</v>
      </c>
      <c r="B355" s="60">
        <f t="shared" si="19"/>
        <v>0</v>
      </c>
      <c r="C355" s="52">
        <v>5</v>
      </c>
      <c r="D355" s="55">
        <v>44897</v>
      </c>
      <c r="E355" s="62">
        <v>53.9</v>
      </c>
      <c r="F355" s="62">
        <f t="shared" si="20"/>
        <v>0</v>
      </c>
      <c r="G355" s="60">
        <v>10</v>
      </c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1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BH355" s="35"/>
      <c r="BI355" s="35"/>
      <c r="BJ355" s="35"/>
      <c r="BK355" s="35"/>
      <c r="BL355" s="35"/>
      <c r="BM355" s="35"/>
      <c r="BN355" s="35"/>
      <c r="BO355" s="35"/>
      <c r="BP355" s="35"/>
      <c r="BQ355" s="35"/>
      <c r="BR355" s="35"/>
      <c r="BS355" s="35"/>
      <c r="BT355" s="35"/>
      <c r="BU355" s="35"/>
      <c r="BV355" s="35"/>
      <c r="BW355" s="35"/>
      <c r="BX355" s="35"/>
      <c r="BY355" s="35"/>
      <c r="BZ355" s="35"/>
      <c r="CA355" s="35"/>
      <c r="CB355" s="35"/>
      <c r="CC355" s="35"/>
      <c r="CD355" s="35"/>
      <c r="CE355" s="35"/>
      <c r="CF355" s="35"/>
      <c r="CG355" s="35">
        <v>10</v>
      </c>
      <c r="CH355" s="35"/>
      <c r="CI355" s="35"/>
      <c r="CJ355" s="35"/>
      <c r="CK355" s="35"/>
      <c r="CL355" s="35"/>
      <c r="CM355" s="35"/>
      <c r="CN355" s="35"/>
      <c r="CO355" s="35"/>
      <c r="CP355" s="35"/>
      <c r="CQ355" s="35"/>
      <c r="CR355" s="35"/>
      <c r="CS355" s="35"/>
      <c r="CT355" s="35"/>
      <c r="CU355" s="35"/>
      <c r="CV355" s="35"/>
      <c r="CW355" s="35"/>
      <c r="CX355" s="35"/>
      <c r="CY355" s="35"/>
      <c r="CZ355" s="35"/>
      <c r="DA355" s="35"/>
      <c r="DB355" s="35"/>
      <c r="DC355" s="35"/>
      <c r="DD355" s="35"/>
      <c r="DE355" s="35"/>
      <c r="DF355" s="35"/>
      <c r="DG355" s="35"/>
      <c r="DH355" s="35"/>
      <c r="DI355" s="35"/>
      <c r="DJ355" s="35"/>
      <c r="DK355" s="35"/>
      <c r="DL355" s="35"/>
      <c r="DM355" s="35"/>
      <c r="DN355" s="35"/>
      <c r="DO355" s="35"/>
      <c r="DP355" s="35"/>
      <c r="DQ355" s="35"/>
      <c r="DR355" s="35"/>
      <c r="DS355" s="35"/>
      <c r="DT355" s="35"/>
      <c r="DU355" s="35"/>
      <c r="DV355" s="35"/>
      <c r="DW355" s="61">
        <f t="shared" si="17"/>
        <v>0</v>
      </c>
    </row>
    <row r="356" spans="1:127" s="5" customFormat="1" ht="12" customHeight="1" x14ac:dyDescent="0.2">
      <c r="A356" s="39" t="s">
        <v>435</v>
      </c>
      <c r="B356" s="60">
        <f t="shared" si="19"/>
        <v>0</v>
      </c>
      <c r="C356" s="52">
        <v>5</v>
      </c>
      <c r="D356" s="55">
        <v>44963</v>
      </c>
      <c r="E356" s="62">
        <v>71.02</v>
      </c>
      <c r="F356" s="62">
        <f t="shared" si="20"/>
        <v>0</v>
      </c>
      <c r="G356" s="60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1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  <c r="AY356" s="35"/>
      <c r="AZ356" s="35"/>
      <c r="BA356" s="35"/>
      <c r="BB356" s="35"/>
      <c r="BC356" s="35"/>
      <c r="BD356" s="35"/>
      <c r="BE356" s="35">
        <v>10</v>
      </c>
      <c r="BF356" s="35"/>
      <c r="BG356" s="35"/>
      <c r="BH356" s="35"/>
      <c r="BI356" s="35"/>
      <c r="BJ356" s="35"/>
      <c r="BK356" s="35"/>
      <c r="BL356" s="35"/>
      <c r="BM356" s="35"/>
      <c r="BN356" s="35"/>
      <c r="BO356" s="35"/>
      <c r="BP356" s="35"/>
      <c r="BQ356" s="35"/>
      <c r="BR356" s="35"/>
      <c r="BS356" s="35"/>
      <c r="BT356" s="35"/>
      <c r="BU356" s="35"/>
      <c r="BV356" s="35"/>
      <c r="BW356" s="35"/>
      <c r="BX356" s="35"/>
      <c r="BY356" s="35"/>
      <c r="BZ356" s="35"/>
      <c r="CA356" s="35"/>
      <c r="CB356" s="35"/>
      <c r="CC356" s="35"/>
      <c r="CD356" s="35"/>
      <c r="CE356" s="35"/>
      <c r="CF356" s="35"/>
      <c r="CG356" s="35"/>
      <c r="CH356" s="35"/>
      <c r="CI356" s="35"/>
      <c r="CJ356" s="35"/>
      <c r="CK356" s="35"/>
      <c r="CL356" s="35"/>
      <c r="CM356" s="35"/>
      <c r="CN356" s="35"/>
      <c r="CO356" s="35"/>
      <c r="CP356" s="35"/>
      <c r="CQ356" s="35"/>
      <c r="CR356" s="35"/>
      <c r="CS356" s="35"/>
      <c r="CT356" s="35"/>
      <c r="CU356" s="35"/>
      <c r="CV356" s="35"/>
      <c r="CW356" s="35"/>
      <c r="CX356" s="35"/>
      <c r="CY356" s="35"/>
      <c r="CZ356" s="35"/>
      <c r="DA356" s="35"/>
      <c r="DB356" s="35"/>
      <c r="DC356" s="35"/>
      <c r="DD356" s="35"/>
      <c r="DE356" s="35"/>
      <c r="DF356" s="35"/>
      <c r="DG356" s="35"/>
      <c r="DH356" s="35"/>
      <c r="DI356" s="35"/>
      <c r="DJ356" s="35">
        <v>10</v>
      </c>
      <c r="DK356" s="35"/>
      <c r="DL356" s="35"/>
      <c r="DM356" s="35"/>
      <c r="DN356" s="35"/>
      <c r="DO356" s="35"/>
      <c r="DP356" s="35"/>
      <c r="DQ356" s="35"/>
      <c r="DR356" s="35"/>
      <c r="DS356" s="35"/>
      <c r="DT356" s="35"/>
      <c r="DU356" s="35"/>
      <c r="DV356" s="35"/>
      <c r="DW356" s="61">
        <f t="shared" si="17"/>
        <v>0</v>
      </c>
    </row>
    <row r="357" spans="1:127" s="5" customFormat="1" x14ac:dyDescent="0.2">
      <c r="A357" s="42" t="s">
        <v>100</v>
      </c>
      <c r="B357" s="60">
        <f t="shared" si="19"/>
        <v>0</v>
      </c>
      <c r="C357" s="52">
        <v>1</v>
      </c>
      <c r="D357" s="54">
        <v>44718</v>
      </c>
      <c r="E357" s="88">
        <v>43.8</v>
      </c>
      <c r="F357" s="62">
        <f t="shared" si="20"/>
        <v>0</v>
      </c>
      <c r="G357" s="60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1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BH357" s="35"/>
      <c r="BI357" s="35"/>
      <c r="BJ357" s="35"/>
      <c r="BK357" s="35"/>
      <c r="BL357" s="35"/>
      <c r="BM357" s="35"/>
      <c r="BN357" s="35"/>
      <c r="BO357" s="35"/>
      <c r="BP357" s="35"/>
      <c r="BQ357" s="35"/>
      <c r="BR357" s="35"/>
      <c r="BS357" s="35"/>
      <c r="BT357" s="35"/>
      <c r="BU357" s="35"/>
      <c r="BV357" s="35"/>
      <c r="BW357" s="35"/>
      <c r="BX357" s="35"/>
      <c r="BY357" s="35"/>
      <c r="BZ357" s="35"/>
      <c r="CA357" s="35"/>
      <c r="CB357" s="35"/>
      <c r="CC357" s="35"/>
      <c r="CD357" s="35"/>
      <c r="CE357" s="35"/>
      <c r="CF357" s="35"/>
      <c r="CG357" s="35"/>
      <c r="CH357" s="35"/>
      <c r="CI357" s="35"/>
      <c r="CJ357" s="35"/>
      <c r="CK357" s="35"/>
      <c r="CL357" s="35"/>
      <c r="CM357" s="35"/>
      <c r="CN357" s="35"/>
      <c r="CO357" s="35"/>
      <c r="CP357" s="35"/>
      <c r="CQ357" s="35"/>
      <c r="CR357" s="35"/>
      <c r="CS357" s="35"/>
      <c r="CT357" s="35"/>
      <c r="CU357" s="35"/>
      <c r="CV357" s="35"/>
      <c r="CW357" s="35"/>
      <c r="CX357" s="35"/>
      <c r="CY357" s="35"/>
      <c r="CZ357" s="35"/>
      <c r="DA357" s="35"/>
      <c r="DB357" s="35"/>
      <c r="DC357" s="35"/>
      <c r="DD357" s="35"/>
      <c r="DE357" s="35"/>
      <c r="DF357" s="35"/>
      <c r="DG357" s="35"/>
      <c r="DH357" s="35"/>
      <c r="DI357" s="35"/>
      <c r="DJ357" s="35"/>
      <c r="DK357" s="35"/>
      <c r="DL357" s="35"/>
      <c r="DM357" s="35"/>
      <c r="DN357" s="35"/>
      <c r="DO357" s="35"/>
      <c r="DP357" s="35"/>
      <c r="DQ357" s="35"/>
      <c r="DR357" s="35"/>
      <c r="DS357" s="35"/>
      <c r="DT357" s="35"/>
      <c r="DU357" s="35"/>
      <c r="DV357" s="35"/>
      <c r="DW357" s="61">
        <f t="shared" si="17"/>
        <v>0</v>
      </c>
    </row>
    <row r="358" spans="1:127" s="5" customFormat="1" x14ac:dyDescent="0.2">
      <c r="A358" s="42" t="s">
        <v>469</v>
      </c>
      <c r="B358" s="60">
        <f t="shared" si="19"/>
        <v>0</v>
      </c>
      <c r="C358" s="52">
        <v>1</v>
      </c>
      <c r="D358" s="54">
        <v>44697</v>
      </c>
      <c r="E358" s="88">
        <v>72.989999999999995</v>
      </c>
      <c r="F358" s="62">
        <f t="shared" si="20"/>
        <v>0</v>
      </c>
      <c r="G358" s="60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1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BH358" s="35"/>
      <c r="BI358" s="35"/>
      <c r="BJ358" s="35"/>
      <c r="BK358" s="35"/>
      <c r="BL358" s="35"/>
      <c r="BM358" s="35"/>
      <c r="BN358" s="35"/>
      <c r="BO358" s="35"/>
      <c r="BP358" s="35"/>
      <c r="BQ358" s="35"/>
      <c r="BR358" s="35"/>
      <c r="BS358" s="35"/>
      <c r="BT358" s="35"/>
      <c r="BU358" s="35"/>
      <c r="BV358" s="35"/>
      <c r="BW358" s="35"/>
      <c r="BX358" s="35"/>
      <c r="BY358" s="35"/>
      <c r="BZ358" s="35"/>
      <c r="CA358" s="35"/>
      <c r="CB358" s="35"/>
      <c r="CC358" s="35"/>
      <c r="CD358" s="35"/>
      <c r="CE358" s="35"/>
      <c r="CF358" s="35"/>
      <c r="CG358" s="35"/>
      <c r="CH358" s="35"/>
      <c r="CI358" s="35"/>
      <c r="CJ358" s="35"/>
      <c r="CK358" s="35"/>
      <c r="CL358" s="35"/>
      <c r="CM358" s="35"/>
      <c r="CN358" s="35"/>
      <c r="CO358" s="35"/>
      <c r="CP358" s="35"/>
      <c r="CQ358" s="35"/>
      <c r="CR358" s="35"/>
      <c r="CS358" s="35"/>
      <c r="CT358" s="35"/>
      <c r="CU358" s="35"/>
      <c r="CV358" s="35"/>
      <c r="CW358" s="35"/>
      <c r="CX358" s="35"/>
      <c r="CY358" s="35"/>
      <c r="CZ358" s="35"/>
      <c r="DA358" s="35"/>
      <c r="DB358" s="35"/>
      <c r="DC358" s="35"/>
      <c r="DD358" s="35"/>
      <c r="DE358" s="35"/>
      <c r="DF358" s="35"/>
      <c r="DG358" s="35"/>
      <c r="DH358" s="35"/>
      <c r="DI358" s="35"/>
      <c r="DJ358" s="35"/>
      <c r="DK358" s="35"/>
      <c r="DL358" s="35"/>
      <c r="DM358" s="35"/>
      <c r="DN358" s="35"/>
      <c r="DO358" s="35"/>
      <c r="DP358" s="35"/>
      <c r="DQ358" s="35"/>
      <c r="DR358" s="35"/>
      <c r="DS358" s="35"/>
      <c r="DT358" s="35"/>
      <c r="DU358" s="35"/>
      <c r="DV358" s="35"/>
      <c r="DW358" s="61">
        <f t="shared" si="17"/>
        <v>0</v>
      </c>
    </row>
    <row r="359" spans="1:127" s="5" customFormat="1" x14ac:dyDescent="0.2">
      <c r="A359" s="42" t="s">
        <v>481</v>
      </c>
      <c r="B359" s="60">
        <f t="shared" si="19"/>
        <v>0</v>
      </c>
      <c r="C359" s="52">
        <v>5</v>
      </c>
      <c r="D359" s="54">
        <v>44725</v>
      </c>
      <c r="E359" s="88">
        <v>40.94</v>
      </c>
      <c r="F359" s="62">
        <f t="shared" si="20"/>
        <v>0</v>
      </c>
      <c r="G359" s="60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1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  <c r="AY359" s="35"/>
      <c r="AZ359" s="35"/>
      <c r="BA359" s="35"/>
      <c r="BB359" s="35"/>
      <c r="BC359" s="35"/>
      <c r="BD359" s="35"/>
      <c r="BE359" s="35"/>
      <c r="BF359" s="35"/>
      <c r="BG359" s="35"/>
      <c r="BH359" s="35"/>
      <c r="BI359" s="35"/>
      <c r="BJ359" s="35"/>
      <c r="BK359" s="35"/>
      <c r="BL359" s="35"/>
      <c r="BM359" s="35"/>
      <c r="BN359" s="35"/>
      <c r="BO359" s="35"/>
      <c r="BP359" s="35"/>
      <c r="BQ359" s="35"/>
      <c r="BR359" s="35"/>
      <c r="BS359" s="35"/>
      <c r="BT359" s="35"/>
      <c r="BU359" s="35"/>
      <c r="BV359" s="35"/>
      <c r="BW359" s="35"/>
      <c r="BX359" s="35"/>
      <c r="BY359" s="35"/>
      <c r="BZ359" s="35"/>
      <c r="CA359" s="35"/>
      <c r="CB359" s="35"/>
      <c r="CC359" s="35"/>
      <c r="CD359" s="35"/>
      <c r="CE359" s="35"/>
      <c r="CF359" s="35"/>
      <c r="CG359" s="35"/>
      <c r="CH359" s="35"/>
      <c r="CI359" s="35"/>
      <c r="CJ359" s="35"/>
      <c r="CK359" s="35"/>
      <c r="CL359" s="35"/>
      <c r="CM359" s="35"/>
      <c r="CN359" s="35"/>
      <c r="CO359" s="35"/>
      <c r="CP359" s="35"/>
      <c r="CQ359" s="35"/>
      <c r="CR359" s="35"/>
      <c r="CS359" s="35"/>
      <c r="CT359" s="35"/>
      <c r="CU359" s="35"/>
      <c r="CV359" s="35"/>
      <c r="CW359" s="35"/>
      <c r="CX359" s="35"/>
      <c r="CY359" s="35"/>
      <c r="CZ359" s="35"/>
      <c r="DA359" s="35"/>
      <c r="DB359" s="35"/>
      <c r="DC359" s="35"/>
      <c r="DD359" s="35"/>
      <c r="DE359" s="35"/>
      <c r="DF359" s="35"/>
      <c r="DG359" s="35"/>
      <c r="DH359" s="35"/>
      <c r="DI359" s="35"/>
      <c r="DJ359" s="35"/>
      <c r="DK359" s="35"/>
      <c r="DL359" s="35"/>
      <c r="DM359" s="35"/>
      <c r="DN359" s="35"/>
      <c r="DO359" s="35"/>
      <c r="DP359" s="35"/>
      <c r="DQ359" s="35"/>
      <c r="DR359" s="35"/>
      <c r="DS359" s="35"/>
      <c r="DT359" s="35"/>
      <c r="DU359" s="35"/>
      <c r="DV359" s="35"/>
      <c r="DW359" s="61">
        <f t="shared" si="17"/>
        <v>0</v>
      </c>
    </row>
    <row r="360" spans="1:127" s="5" customFormat="1" x14ac:dyDescent="0.2">
      <c r="A360" s="39" t="s">
        <v>178</v>
      </c>
      <c r="B360" s="60">
        <f t="shared" si="19"/>
        <v>0</v>
      </c>
      <c r="C360" s="52">
        <v>1</v>
      </c>
      <c r="D360" s="54">
        <v>44963</v>
      </c>
      <c r="E360" s="62">
        <v>147.81</v>
      </c>
      <c r="F360" s="62">
        <f t="shared" si="20"/>
        <v>0</v>
      </c>
      <c r="G360" s="60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1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BH360" s="35"/>
      <c r="BI360" s="35"/>
      <c r="BJ360" s="35"/>
      <c r="BK360" s="35"/>
      <c r="BL360" s="35"/>
      <c r="BM360" s="35"/>
      <c r="BN360" s="35"/>
      <c r="BO360" s="35"/>
      <c r="BP360" s="35"/>
      <c r="BQ360" s="35"/>
      <c r="BR360" s="35"/>
      <c r="BS360" s="35"/>
      <c r="BT360" s="35"/>
      <c r="BU360" s="35"/>
      <c r="BV360" s="35"/>
      <c r="BW360" s="35"/>
      <c r="BX360" s="35"/>
      <c r="BY360" s="35"/>
      <c r="BZ360" s="35"/>
      <c r="CA360" s="35"/>
      <c r="CB360" s="35"/>
      <c r="CC360" s="35"/>
      <c r="CD360" s="35"/>
      <c r="CE360" s="35"/>
      <c r="CF360" s="35"/>
      <c r="CG360" s="35"/>
      <c r="CH360" s="35"/>
      <c r="CI360" s="35"/>
      <c r="CJ360" s="35"/>
      <c r="CK360" s="35"/>
      <c r="CL360" s="35"/>
      <c r="CM360" s="35"/>
      <c r="CN360" s="35"/>
      <c r="CO360" s="35"/>
      <c r="CP360" s="35"/>
      <c r="CQ360" s="35"/>
      <c r="CR360" s="35"/>
      <c r="CS360" s="35"/>
      <c r="CT360" s="35"/>
      <c r="CU360" s="35"/>
      <c r="CV360" s="35"/>
      <c r="CW360" s="35"/>
      <c r="CX360" s="35"/>
      <c r="CY360" s="35"/>
      <c r="CZ360" s="35"/>
      <c r="DA360" s="35"/>
      <c r="DB360" s="35"/>
      <c r="DC360" s="35"/>
      <c r="DD360" s="35"/>
      <c r="DE360" s="35"/>
      <c r="DF360" s="35"/>
      <c r="DG360" s="35"/>
      <c r="DH360" s="35"/>
      <c r="DI360" s="35"/>
      <c r="DJ360" s="35">
        <v>1</v>
      </c>
      <c r="DK360" s="35"/>
      <c r="DL360" s="35"/>
      <c r="DM360" s="35"/>
      <c r="DN360" s="35"/>
      <c r="DO360" s="35"/>
      <c r="DP360" s="35">
        <v>1</v>
      </c>
      <c r="DQ360" s="35"/>
      <c r="DR360" s="35"/>
      <c r="DS360" s="35"/>
      <c r="DT360" s="35"/>
      <c r="DU360" s="35"/>
      <c r="DV360" s="35"/>
      <c r="DW360" s="61">
        <f t="shared" si="17"/>
        <v>0</v>
      </c>
    </row>
    <row r="361" spans="1:127" s="5" customFormat="1" x14ac:dyDescent="0.2">
      <c r="A361" s="42" t="s">
        <v>99</v>
      </c>
      <c r="B361" s="60">
        <f t="shared" si="19"/>
        <v>0</v>
      </c>
      <c r="C361" s="52">
        <v>1</v>
      </c>
      <c r="D361" s="54">
        <v>44809</v>
      </c>
      <c r="E361" s="62">
        <v>25.74</v>
      </c>
      <c r="F361" s="62">
        <f t="shared" si="20"/>
        <v>0</v>
      </c>
      <c r="G361" s="60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1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  <c r="AY361" s="35"/>
      <c r="AZ361" s="35"/>
      <c r="BA361" s="35"/>
      <c r="BB361" s="35"/>
      <c r="BC361" s="35"/>
      <c r="BD361" s="35"/>
      <c r="BE361" s="35"/>
      <c r="BF361" s="35"/>
      <c r="BG361" s="35"/>
      <c r="BH361" s="35"/>
      <c r="BI361" s="35"/>
      <c r="BJ361" s="35"/>
      <c r="BK361" s="35"/>
      <c r="BL361" s="35"/>
      <c r="BM361" s="35"/>
      <c r="BN361" s="35"/>
      <c r="BO361" s="35"/>
      <c r="BP361" s="35"/>
      <c r="BQ361" s="35"/>
      <c r="BR361" s="35"/>
      <c r="BS361" s="35"/>
      <c r="BT361" s="35"/>
      <c r="BU361" s="35"/>
      <c r="BV361" s="35"/>
      <c r="BW361" s="35"/>
      <c r="BX361" s="35"/>
      <c r="BY361" s="35"/>
      <c r="BZ361" s="35"/>
      <c r="CA361" s="35"/>
      <c r="CB361" s="35"/>
      <c r="CC361" s="35"/>
      <c r="CD361" s="35"/>
      <c r="CE361" s="35"/>
      <c r="CF361" s="35"/>
      <c r="CG361" s="35"/>
      <c r="CH361" s="35"/>
      <c r="CI361" s="35"/>
      <c r="CJ361" s="35"/>
      <c r="CK361" s="35"/>
      <c r="CL361" s="35"/>
      <c r="CM361" s="35"/>
      <c r="CN361" s="35"/>
      <c r="CO361" s="35"/>
      <c r="CP361" s="35"/>
      <c r="CQ361" s="35"/>
      <c r="CR361" s="35"/>
      <c r="CS361" s="35"/>
      <c r="CT361" s="35"/>
      <c r="CU361" s="35"/>
      <c r="CV361" s="35"/>
      <c r="CW361" s="35"/>
      <c r="CX361" s="35"/>
      <c r="CY361" s="35"/>
      <c r="CZ361" s="35"/>
      <c r="DA361" s="35"/>
      <c r="DB361" s="35"/>
      <c r="DC361" s="35"/>
      <c r="DD361" s="35"/>
      <c r="DE361" s="35"/>
      <c r="DF361" s="35"/>
      <c r="DG361" s="35"/>
      <c r="DH361" s="35"/>
      <c r="DI361" s="35"/>
      <c r="DJ361" s="35"/>
      <c r="DK361" s="35"/>
      <c r="DL361" s="35"/>
      <c r="DM361" s="35"/>
      <c r="DN361" s="35"/>
      <c r="DO361" s="35"/>
      <c r="DP361" s="35"/>
      <c r="DQ361" s="35"/>
      <c r="DR361" s="35"/>
      <c r="DS361" s="35"/>
      <c r="DT361" s="35"/>
      <c r="DU361" s="35"/>
      <c r="DV361" s="35"/>
      <c r="DW361" s="61">
        <f t="shared" si="17"/>
        <v>0</v>
      </c>
    </row>
    <row r="362" spans="1:127" s="5" customFormat="1" x14ac:dyDescent="0.2">
      <c r="A362" s="42" t="s">
        <v>98</v>
      </c>
      <c r="B362" s="60">
        <f t="shared" si="19"/>
        <v>0</v>
      </c>
      <c r="C362" s="52">
        <v>1</v>
      </c>
      <c r="D362" s="53">
        <v>44914</v>
      </c>
      <c r="E362" s="62">
        <v>67.78</v>
      </c>
      <c r="F362" s="62">
        <f t="shared" si="20"/>
        <v>0</v>
      </c>
      <c r="G362" s="60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1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  <c r="AY362" s="35"/>
      <c r="AZ362" s="35"/>
      <c r="BA362" s="35"/>
      <c r="BB362" s="35"/>
      <c r="BC362" s="35"/>
      <c r="BD362" s="35"/>
      <c r="BE362" s="35"/>
      <c r="BF362" s="35"/>
      <c r="BG362" s="35"/>
      <c r="BH362" s="35"/>
      <c r="BI362" s="35"/>
      <c r="BJ362" s="35"/>
      <c r="BK362" s="35"/>
      <c r="BL362" s="35"/>
      <c r="BM362" s="35"/>
      <c r="BN362" s="35"/>
      <c r="BO362" s="35"/>
      <c r="BP362" s="35"/>
      <c r="BQ362" s="35"/>
      <c r="BR362" s="35"/>
      <c r="BS362" s="35"/>
      <c r="BT362" s="35"/>
      <c r="BU362" s="35"/>
      <c r="BV362" s="35"/>
      <c r="BW362" s="35"/>
      <c r="BX362" s="35"/>
      <c r="BY362" s="35"/>
      <c r="BZ362" s="35"/>
      <c r="CA362" s="35"/>
      <c r="CB362" s="35"/>
      <c r="CC362" s="35"/>
      <c r="CD362" s="35"/>
      <c r="CE362" s="35"/>
      <c r="CF362" s="35"/>
      <c r="CG362" s="35"/>
      <c r="CH362" s="35"/>
      <c r="CI362" s="35"/>
      <c r="CJ362" s="35"/>
      <c r="CK362" s="35"/>
      <c r="CL362" s="35"/>
      <c r="CM362" s="35"/>
      <c r="CN362" s="35"/>
      <c r="CO362" s="35"/>
      <c r="CP362" s="35"/>
      <c r="CQ362" s="35"/>
      <c r="CR362" s="35"/>
      <c r="CS362" s="35"/>
      <c r="CT362" s="35"/>
      <c r="CU362" s="35"/>
      <c r="CV362" s="35"/>
      <c r="CW362" s="35"/>
      <c r="CX362" s="35"/>
      <c r="CY362" s="35"/>
      <c r="CZ362" s="35"/>
      <c r="DA362" s="35"/>
      <c r="DB362" s="35"/>
      <c r="DC362" s="35"/>
      <c r="DD362" s="35"/>
      <c r="DE362" s="35"/>
      <c r="DF362" s="35"/>
      <c r="DG362" s="35"/>
      <c r="DH362" s="35"/>
      <c r="DI362" s="35"/>
      <c r="DJ362" s="35"/>
      <c r="DK362" s="35"/>
      <c r="DL362" s="35"/>
      <c r="DM362" s="35"/>
      <c r="DN362" s="35"/>
      <c r="DO362" s="35"/>
      <c r="DP362" s="35"/>
      <c r="DQ362" s="35"/>
      <c r="DR362" s="35"/>
      <c r="DS362" s="35"/>
      <c r="DT362" s="35"/>
      <c r="DU362" s="35"/>
      <c r="DV362" s="35"/>
      <c r="DW362" s="61">
        <f t="shared" si="17"/>
        <v>0</v>
      </c>
    </row>
    <row r="363" spans="1:127" s="5" customFormat="1" x14ac:dyDescent="0.2">
      <c r="A363" s="42" t="s">
        <v>97</v>
      </c>
      <c r="B363" s="60">
        <f t="shared" si="19"/>
        <v>0</v>
      </c>
      <c r="C363" s="52">
        <v>1</v>
      </c>
      <c r="D363" s="53">
        <v>44795</v>
      </c>
      <c r="E363" s="62">
        <v>61.81</v>
      </c>
      <c r="F363" s="62">
        <f t="shared" si="20"/>
        <v>0</v>
      </c>
      <c r="G363" s="60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1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  <c r="AY363" s="35"/>
      <c r="AZ363" s="35"/>
      <c r="BA363" s="35"/>
      <c r="BB363" s="35"/>
      <c r="BC363" s="35"/>
      <c r="BD363" s="35"/>
      <c r="BE363" s="35"/>
      <c r="BF363" s="35"/>
      <c r="BG363" s="35"/>
      <c r="BH363" s="35"/>
      <c r="BI363" s="35"/>
      <c r="BJ363" s="35"/>
      <c r="BK363" s="35"/>
      <c r="BL363" s="35"/>
      <c r="BM363" s="35"/>
      <c r="BN363" s="35"/>
      <c r="BO363" s="35"/>
      <c r="BP363" s="35"/>
      <c r="BQ363" s="35"/>
      <c r="BR363" s="35"/>
      <c r="BS363" s="35"/>
      <c r="BT363" s="35"/>
      <c r="BU363" s="35"/>
      <c r="BV363" s="35"/>
      <c r="BW363" s="35"/>
      <c r="BX363" s="35"/>
      <c r="BY363" s="35"/>
      <c r="BZ363" s="35"/>
      <c r="CA363" s="35"/>
      <c r="CB363" s="35"/>
      <c r="CC363" s="35"/>
      <c r="CD363" s="35"/>
      <c r="CE363" s="35"/>
      <c r="CF363" s="35"/>
      <c r="CG363" s="35"/>
      <c r="CH363" s="35"/>
      <c r="CI363" s="35"/>
      <c r="CJ363" s="35"/>
      <c r="CK363" s="35"/>
      <c r="CL363" s="35"/>
      <c r="CM363" s="35"/>
      <c r="CN363" s="35"/>
      <c r="CO363" s="35"/>
      <c r="CP363" s="35"/>
      <c r="CQ363" s="35"/>
      <c r="CR363" s="35"/>
      <c r="CS363" s="35"/>
      <c r="CT363" s="35"/>
      <c r="CU363" s="35"/>
      <c r="CV363" s="35"/>
      <c r="CW363" s="35"/>
      <c r="CX363" s="35"/>
      <c r="CY363" s="35"/>
      <c r="CZ363" s="35"/>
      <c r="DA363" s="35"/>
      <c r="DB363" s="35"/>
      <c r="DC363" s="35"/>
      <c r="DD363" s="35"/>
      <c r="DE363" s="35"/>
      <c r="DF363" s="35"/>
      <c r="DG363" s="35"/>
      <c r="DH363" s="35"/>
      <c r="DI363" s="35"/>
      <c r="DJ363" s="35"/>
      <c r="DK363" s="35"/>
      <c r="DL363" s="35"/>
      <c r="DM363" s="35"/>
      <c r="DN363" s="35"/>
      <c r="DO363" s="35"/>
      <c r="DP363" s="35"/>
      <c r="DQ363" s="35"/>
      <c r="DR363" s="35"/>
      <c r="DS363" s="35"/>
      <c r="DT363" s="35"/>
      <c r="DU363" s="35"/>
      <c r="DV363" s="35"/>
      <c r="DW363" s="61">
        <f t="shared" si="17"/>
        <v>0</v>
      </c>
    </row>
    <row r="364" spans="1:127" s="5" customFormat="1" x14ac:dyDescent="0.2">
      <c r="A364" s="42" t="s">
        <v>442</v>
      </c>
      <c r="B364" s="60">
        <f t="shared" si="19"/>
        <v>10</v>
      </c>
      <c r="C364" s="52">
        <v>10</v>
      </c>
      <c r="D364" s="53">
        <v>44914</v>
      </c>
      <c r="E364" s="62">
        <v>49.91</v>
      </c>
      <c r="F364" s="62">
        <f t="shared" si="20"/>
        <v>499.09999999999997</v>
      </c>
      <c r="G364" s="60">
        <v>10</v>
      </c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1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  <c r="AY364" s="35"/>
      <c r="AZ364" s="35"/>
      <c r="BA364" s="35"/>
      <c r="BB364" s="35"/>
      <c r="BC364" s="35"/>
      <c r="BD364" s="35"/>
      <c r="BE364" s="35"/>
      <c r="BF364" s="35"/>
      <c r="BG364" s="35"/>
      <c r="BH364" s="35"/>
      <c r="BI364" s="35"/>
      <c r="BJ364" s="35"/>
      <c r="BK364" s="35"/>
      <c r="BL364" s="35"/>
      <c r="BM364" s="35"/>
      <c r="BN364" s="35"/>
      <c r="BO364" s="35"/>
      <c r="BP364" s="35"/>
      <c r="BQ364" s="35"/>
      <c r="BR364" s="35"/>
      <c r="BS364" s="35"/>
      <c r="BT364" s="35"/>
      <c r="BU364" s="35"/>
      <c r="BV364" s="35"/>
      <c r="BW364" s="35"/>
      <c r="BX364" s="35"/>
      <c r="BY364" s="35"/>
      <c r="BZ364" s="35"/>
      <c r="CA364" s="35"/>
      <c r="CB364" s="35"/>
      <c r="CC364" s="35"/>
      <c r="CD364" s="35"/>
      <c r="CE364" s="35"/>
      <c r="CF364" s="35"/>
      <c r="CG364" s="35"/>
      <c r="CH364" s="35">
        <v>10</v>
      </c>
      <c r="CI364" s="35"/>
      <c r="CJ364" s="35"/>
      <c r="CK364" s="35"/>
      <c r="CL364" s="35"/>
      <c r="CM364" s="35"/>
      <c r="CN364" s="35"/>
      <c r="CO364" s="35"/>
      <c r="CP364" s="35"/>
      <c r="CQ364" s="35"/>
      <c r="CR364" s="35"/>
      <c r="CS364" s="35"/>
      <c r="CT364" s="35"/>
      <c r="CU364" s="35"/>
      <c r="CV364" s="35"/>
      <c r="CW364" s="35"/>
      <c r="CX364" s="35"/>
      <c r="CY364" s="35"/>
      <c r="CZ364" s="35"/>
      <c r="DA364" s="35"/>
      <c r="DB364" s="35"/>
      <c r="DC364" s="35"/>
      <c r="DD364" s="35"/>
      <c r="DE364" s="35"/>
      <c r="DF364" s="35"/>
      <c r="DG364" s="35"/>
      <c r="DH364" s="35"/>
      <c r="DI364" s="35"/>
      <c r="DJ364" s="35"/>
      <c r="DK364" s="35"/>
      <c r="DL364" s="35"/>
      <c r="DM364" s="35"/>
      <c r="DN364" s="35"/>
      <c r="DO364" s="35"/>
      <c r="DP364" s="35"/>
      <c r="DQ364" s="35"/>
      <c r="DR364" s="35"/>
      <c r="DS364" s="35"/>
      <c r="DT364" s="35"/>
      <c r="DU364" s="35"/>
      <c r="DV364" s="35"/>
      <c r="DW364" s="61">
        <f t="shared" si="17"/>
        <v>0</v>
      </c>
    </row>
    <row r="365" spans="1:127" s="5" customFormat="1" x14ac:dyDescent="0.2">
      <c r="A365" s="42" t="s">
        <v>281</v>
      </c>
      <c r="B365" s="60">
        <f t="shared" si="19"/>
        <v>0</v>
      </c>
      <c r="C365" s="52">
        <v>5</v>
      </c>
      <c r="D365" s="53">
        <v>44865</v>
      </c>
      <c r="E365" s="62">
        <v>117.43</v>
      </c>
      <c r="F365" s="62">
        <f t="shared" si="20"/>
        <v>0</v>
      </c>
      <c r="G365" s="60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1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BH365" s="35"/>
      <c r="BI365" s="35"/>
      <c r="BJ365" s="35"/>
      <c r="BK365" s="35"/>
      <c r="BL365" s="35"/>
      <c r="BM365" s="35"/>
      <c r="BN365" s="35"/>
      <c r="BO365" s="35"/>
      <c r="BP365" s="35"/>
      <c r="BQ365" s="35"/>
      <c r="BR365" s="35"/>
      <c r="BS365" s="35"/>
      <c r="BT365" s="35"/>
      <c r="BU365" s="35"/>
      <c r="BV365" s="35"/>
      <c r="BW365" s="35"/>
      <c r="BX365" s="35"/>
      <c r="BY365" s="35"/>
      <c r="BZ365" s="35"/>
      <c r="CA365" s="35"/>
      <c r="CB365" s="35"/>
      <c r="CC365" s="35"/>
      <c r="CD365" s="35"/>
      <c r="CE365" s="35"/>
      <c r="CF365" s="35"/>
      <c r="CG365" s="35"/>
      <c r="CH365" s="35"/>
      <c r="CI365" s="35"/>
      <c r="CJ365" s="35"/>
      <c r="CK365" s="35"/>
      <c r="CL365" s="35"/>
      <c r="CM365" s="35"/>
      <c r="CN365" s="35"/>
      <c r="CO365" s="35"/>
      <c r="CP365" s="35"/>
      <c r="CQ365" s="35"/>
      <c r="CR365" s="35"/>
      <c r="CS365" s="35"/>
      <c r="CT365" s="35"/>
      <c r="CU365" s="35"/>
      <c r="CV365" s="35"/>
      <c r="CW365" s="35"/>
      <c r="CX365" s="35"/>
      <c r="CY365" s="35"/>
      <c r="CZ365" s="35"/>
      <c r="DA365" s="35"/>
      <c r="DB365" s="35"/>
      <c r="DC365" s="35"/>
      <c r="DD365" s="35"/>
      <c r="DE365" s="35"/>
      <c r="DF365" s="35"/>
      <c r="DG365" s="35"/>
      <c r="DH365" s="35"/>
      <c r="DI365" s="35"/>
      <c r="DJ365" s="35"/>
      <c r="DK365" s="35"/>
      <c r="DL365" s="35"/>
      <c r="DM365" s="35"/>
      <c r="DN365" s="35"/>
      <c r="DO365" s="35"/>
      <c r="DP365" s="35"/>
      <c r="DQ365" s="35"/>
      <c r="DR365" s="35"/>
      <c r="DS365" s="35"/>
      <c r="DT365" s="35"/>
      <c r="DU365" s="35"/>
      <c r="DV365" s="35"/>
      <c r="DW365" s="61">
        <f t="shared" si="17"/>
        <v>0</v>
      </c>
    </row>
    <row r="366" spans="1:127" s="5" customFormat="1" x14ac:dyDescent="0.2">
      <c r="A366" s="42" t="s">
        <v>114</v>
      </c>
      <c r="B366" s="60">
        <f t="shared" si="19"/>
        <v>0</v>
      </c>
      <c r="C366" s="52">
        <v>1</v>
      </c>
      <c r="D366" s="53">
        <v>44914</v>
      </c>
      <c r="E366" s="62">
        <v>51.45</v>
      </c>
      <c r="F366" s="62">
        <f t="shared" si="20"/>
        <v>0</v>
      </c>
      <c r="G366" s="60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1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  <c r="AY366" s="35"/>
      <c r="AZ366" s="35"/>
      <c r="BA366" s="35"/>
      <c r="BB366" s="35"/>
      <c r="BC366" s="35"/>
      <c r="BD366" s="35"/>
      <c r="BE366" s="35"/>
      <c r="BF366" s="35"/>
      <c r="BG366" s="35"/>
      <c r="BH366" s="35"/>
      <c r="BI366" s="35"/>
      <c r="BJ366" s="35"/>
      <c r="BK366" s="35"/>
      <c r="BL366" s="35"/>
      <c r="BM366" s="35"/>
      <c r="BN366" s="35"/>
      <c r="BO366" s="35"/>
      <c r="BP366" s="35"/>
      <c r="BQ366" s="35"/>
      <c r="BR366" s="35"/>
      <c r="BS366" s="35"/>
      <c r="BT366" s="35"/>
      <c r="BU366" s="35"/>
      <c r="BV366" s="35"/>
      <c r="BW366" s="35"/>
      <c r="BX366" s="35"/>
      <c r="BY366" s="35"/>
      <c r="BZ366" s="35"/>
      <c r="CA366" s="35"/>
      <c r="CB366" s="35"/>
      <c r="CC366" s="35"/>
      <c r="CD366" s="35"/>
      <c r="CE366" s="35"/>
      <c r="CF366" s="35"/>
      <c r="CG366" s="35"/>
      <c r="CH366" s="35"/>
      <c r="CI366" s="35"/>
      <c r="CJ366" s="35"/>
      <c r="CK366" s="35"/>
      <c r="CL366" s="35"/>
      <c r="CM366" s="35"/>
      <c r="CN366" s="35"/>
      <c r="CO366" s="35"/>
      <c r="CP366" s="35"/>
      <c r="CQ366" s="35"/>
      <c r="CR366" s="35"/>
      <c r="CS366" s="35"/>
      <c r="CT366" s="35"/>
      <c r="CU366" s="35"/>
      <c r="CV366" s="35"/>
      <c r="CW366" s="35"/>
      <c r="CX366" s="35"/>
      <c r="CY366" s="35"/>
      <c r="CZ366" s="35"/>
      <c r="DA366" s="35"/>
      <c r="DB366" s="35"/>
      <c r="DC366" s="35"/>
      <c r="DD366" s="35"/>
      <c r="DE366" s="35"/>
      <c r="DF366" s="35"/>
      <c r="DG366" s="35"/>
      <c r="DH366" s="35"/>
      <c r="DI366" s="35"/>
      <c r="DJ366" s="35"/>
      <c r="DK366" s="35"/>
      <c r="DL366" s="35"/>
      <c r="DM366" s="35"/>
      <c r="DN366" s="35"/>
      <c r="DO366" s="35"/>
      <c r="DP366" s="35"/>
      <c r="DQ366" s="35"/>
      <c r="DR366" s="35"/>
      <c r="DS366" s="35"/>
      <c r="DT366" s="35"/>
      <c r="DU366" s="35"/>
      <c r="DV366" s="35"/>
      <c r="DW366" s="61">
        <f t="shared" si="17"/>
        <v>0</v>
      </c>
    </row>
    <row r="367" spans="1:127" s="5" customFormat="1" x14ac:dyDescent="0.2">
      <c r="A367" s="42" t="s">
        <v>96</v>
      </c>
      <c r="B367" s="60">
        <f t="shared" si="19"/>
        <v>0</v>
      </c>
      <c r="C367" s="52">
        <v>1</v>
      </c>
      <c r="D367" s="53">
        <v>44963</v>
      </c>
      <c r="E367" s="62">
        <v>67.37</v>
      </c>
      <c r="F367" s="62">
        <f t="shared" si="20"/>
        <v>0</v>
      </c>
      <c r="G367" s="60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1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  <c r="AY367" s="35"/>
      <c r="AZ367" s="35"/>
      <c r="BA367" s="35"/>
      <c r="BB367" s="35"/>
      <c r="BC367" s="35"/>
      <c r="BD367" s="35"/>
      <c r="BE367" s="35"/>
      <c r="BF367" s="35"/>
      <c r="BG367" s="35"/>
      <c r="BH367" s="35"/>
      <c r="BI367" s="35"/>
      <c r="BJ367" s="35"/>
      <c r="BK367" s="35"/>
      <c r="BL367" s="35"/>
      <c r="BM367" s="35"/>
      <c r="BN367" s="35"/>
      <c r="BO367" s="35"/>
      <c r="BP367" s="35"/>
      <c r="BQ367" s="35"/>
      <c r="BR367" s="35"/>
      <c r="BS367" s="35"/>
      <c r="BT367" s="35"/>
      <c r="BU367" s="35"/>
      <c r="BV367" s="35"/>
      <c r="BW367" s="35"/>
      <c r="BX367" s="35"/>
      <c r="BY367" s="35"/>
      <c r="BZ367" s="35"/>
      <c r="CA367" s="35"/>
      <c r="CB367" s="35"/>
      <c r="CC367" s="35"/>
      <c r="CD367" s="35"/>
      <c r="CE367" s="35"/>
      <c r="CF367" s="35"/>
      <c r="CG367" s="35"/>
      <c r="CH367" s="35"/>
      <c r="CI367" s="35"/>
      <c r="CJ367" s="35"/>
      <c r="CK367" s="35"/>
      <c r="CL367" s="35"/>
      <c r="CM367" s="35"/>
      <c r="CN367" s="35"/>
      <c r="CO367" s="35"/>
      <c r="CP367" s="35"/>
      <c r="CQ367" s="35"/>
      <c r="CR367" s="35"/>
      <c r="CS367" s="35"/>
      <c r="CT367" s="35"/>
      <c r="CU367" s="35"/>
      <c r="CV367" s="35"/>
      <c r="CW367" s="35"/>
      <c r="CX367" s="35"/>
      <c r="CY367" s="35"/>
      <c r="CZ367" s="35"/>
      <c r="DA367" s="35"/>
      <c r="DB367" s="35"/>
      <c r="DC367" s="35"/>
      <c r="DD367" s="35"/>
      <c r="DE367" s="35"/>
      <c r="DF367" s="35"/>
      <c r="DG367" s="35"/>
      <c r="DH367" s="35"/>
      <c r="DI367" s="35"/>
      <c r="DJ367" s="35">
        <v>1</v>
      </c>
      <c r="DK367" s="35"/>
      <c r="DL367" s="35"/>
      <c r="DM367" s="35"/>
      <c r="DN367" s="35"/>
      <c r="DO367" s="35"/>
      <c r="DP367" s="35">
        <v>1</v>
      </c>
      <c r="DQ367" s="35"/>
      <c r="DR367" s="35"/>
      <c r="DS367" s="35"/>
      <c r="DT367" s="35"/>
      <c r="DU367" s="35"/>
      <c r="DV367" s="35"/>
      <c r="DW367" s="61">
        <f t="shared" si="17"/>
        <v>0</v>
      </c>
    </row>
    <row r="368" spans="1:127" s="5" customFormat="1" ht="12" customHeight="1" x14ac:dyDescent="0.2">
      <c r="A368" s="39" t="s">
        <v>369</v>
      </c>
      <c r="B368" s="60">
        <f t="shared" si="19"/>
        <v>0</v>
      </c>
      <c r="C368" s="52">
        <v>1</v>
      </c>
      <c r="D368" s="54">
        <v>44809</v>
      </c>
      <c r="E368" s="62">
        <v>480.51</v>
      </c>
      <c r="F368" s="62">
        <f t="shared" si="20"/>
        <v>0</v>
      </c>
      <c r="G368" s="60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1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  <c r="AY368" s="35"/>
      <c r="AZ368" s="35"/>
      <c r="BA368" s="35"/>
      <c r="BB368" s="35"/>
      <c r="BC368" s="35"/>
      <c r="BD368" s="35"/>
      <c r="BE368" s="35"/>
      <c r="BF368" s="35"/>
      <c r="BG368" s="35"/>
      <c r="BH368" s="35"/>
      <c r="BI368" s="35"/>
      <c r="BJ368" s="35"/>
      <c r="BK368" s="35"/>
      <c r="BL368" s="35"/>
      <c r="BM368" s="35"/>
      <c r="BN368" s="35"/>
      <c r="BO368" s="35"/>
      <c r="BP368" s="35"/>
      <c r="BQ368" s="35"/>
      <c r="BR368" s="35"/>
      <c r="BS368" s="35"/>
      <c r="BT368" s="35"/>
      <c r="BU368" s="35"/>
      <c r="BV368" s="35"/>
      <c r="BW368" s="35"/>
      <c r="BX368" s="35"/>
      <c r="BY368" s="35"/>
      <c r="BZ368" s="35"/>
      <c r="CA368" s="35"/>
      <c r="CB368" s="35"/>
      <c r="CC368" s="35"/>
      <c r="CD368" s="35"/>
      <c r="CE368" s="35"/>
      <c r="CF368" s="35"/>
      <c r="CG368" s="35"/>
      <c r="CH368" s="35"/>
      <c r="CI368" s="35"/>
      <c r="CJ368" s="35"/>
      <c r="CK368" s="35"/>
      <c r="CL368" s="35"/>
      <c r="CM368" s="35"/>
      <c r="CN368" s="35"/>
      <c r="CO368" s="35"/>
      <c r="CP368" s="35"/>
      <c r="CQ368" s="35"/>
      <c r="CR368" s="35"/>
      <c r="CS368" s="35"/>
      <c r="CT368" s="35"/>
      <c r="CU368" s="35"/>
      <c r="CV368" s="35"/>
      <c r="CW368" s="35"/>
      <c r="CX368" s="35"/>
      <c r="CY368" s="35"/>
      <c r="CZ368" s="35"/>
      <c r="DA368" s="35"/>
      <c r="DB368" s="35"/>
      <c r="DC368" s="35"/>
      <c r="DD368" s="35"/>
      <c r="DE368" s="35"/>
      <c r="DF368" s="35"/>
      <c r="DG368" s="35"/>
      <c r="DH368" s="35"/>
      <c r="DI368" s="35"/>
      <c r="DJ368" s="35"/>
      <c r="DK368" s="35"/>
      <c r="DL368" s="35"/>
      <c r="DM368" s="35"/>
      <c r="DN368" s="35"/>
      <c r="DO368" s="35"/>
      <c r="DP368" s="35"/>
      <c r="DQ368" s="35"/>
      <c r="DR368" s="35"/>
      <c r="DS368" s="35"/>
      <c r="DT368" s="35"/>
      <c r="DU368" s="35"/>
      <c r="DV368" s="35"/>
      <c r="DW368" s="61">
        <f t="shared" si="17"/>
        <v>0</v>
      </c>
    </row>
    <row r="369" spans="1:127" s="5" customFormat="1" x14ac:dyDescent="0.2">
      <c r="A369" s="42" t="s">
        <v>361</v>
      </c>
      <c r="B369" s="60">
        <f t="shared" si="19"/>
        <v>0</v>
      </c>
      <c r="C369" s="52">
        <v>25</v>
      </c>
      <c r="D369" s="53">
        <v>44963</v>
      </c>
      <c r="E369" s="62">
        <v>20.45</v>
      </c>
      <c r="F369" s="62">
        <f t="shared" si="20"/>
        <v>0</v>
      </c>
      <c r="G369" s="60"/>
      <c r="H369" s="35"/>
      <c r="I369" s="35"/>
      <c r="J369" s="35"/>
      <c r="K369" s="35"/>
      <c r="L369" s="35"/>
      <c r="M369" s="35"/>
      <c r="N369" s="35"/>
      <c r="O369" s="35"/>
      <c r="P369" s="35">
        <v>50</v>
      </c>
      <c r="Q369" s="35"/>
      <c r="R369" s="35"/>
      <c r="S369" s="35"/>
      <c r="T369" s="35"/>
      <c r="U369" s="1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  <c r="AY369" s="35"/>
      <c r="AZ369" s="35"/>
      <c r="BA369" s="35"/>
      <c r="BB369" s="35"/>
      <c r="BC369" s="35"/>
      <c r="BD369" s="35"/>
      <c r="BE369" s="35"/>
      <c r="BF369" s="35"/>
      <c r="BG369" s="35"/>
      <c r="BH369" s="35"/>
      <c r="BI369" s="35"/>
      <c r="BJ369" s="35"/>
      <c r="BK369" s="35"/>
      <c r="BL369" s="35"/>
      <c r="BM369" s="35"/>
      <c r="BN369" s="35"/>
      <c r="BO369" s="35"/>
      <c r="BP369" s="35"/>
      <c r="BQ369" s="35"/>
      <c r="BR369" s="35"/>
      <c r="BS369" s="35"/>
      <c r="BT369" s="35"/>
      <c r="BU369" s="35"/>
      <c r="BV369" s="35"/>
      <c r="BW369" s="35"/>
      <c r="BX369" s="35"/>
      <c r="BY369" s="35"/>
      <c r="BZ369" s="35"/>
      <c r="CA369" s="35"/>
      <c r="CB369" s="35"/>
      <c r="CC369" s="35"/>
      <c r="CD369" s="35"/>
      <c r="CE369" s="35"/>
      <c r="CF369" s="35"/>
      <c r="CG369" s="35"/>
      <c r="CH369" s="35"/>
      <c r="CI369" s="35"/>
      <c r="CJ369" s="35"/>
      <c r="CK369" s="35"/>
      <c r="CL369" s="35"/>
      <c r="CM369" s="35"/>
      <c r="CN369" s="35"/>
      <c r="CO369" s="35"/>
      <c r="CP369" s="35"/>
      <c r="CQ369" s="35"/>
      <c r="CR369" s="35"/>
      <c r="CS369" s="35"/>
      <c r="CT369" s="35"/>
      <c r="CU369" s="35"/>
      <c r="CV369" s="35"/>
      <c r="CW369" s="35"/>
      <c r="CX369" s="35"/>
      <c r="CY369" s="35"/>
      <c r="CZ369" s="35"/>
      <c r="DA369" s="35"/>
      <c r="DB369" s="35"/>
      <c r="DC369" s="35"/>
      <c r="DD369" s="35"/>
      <c r="DE369" s="35"/>
      <c r="DF369" s="35"/>
      <c r="DG369" s="35"/>
      <c r="DH369" s="35"/>
      <c r="DI369" s="35"/>
      <c r="DJ369" s="35">
        <v>50</v>
      </c>
      <c r="DK369" s="35"/>
      <c r="DL369" s="35"/>
      <c r="DM369" s="35"/>
      <c r="DN369" s="35"/>
      <c r="DO369" s="35"/>
      <c r="DP369" s="35"/>
      <c r="DQ369" s="35"/>
      <c r="DR369" s="35"/>
      <c r="DS369" s="35"/>
      <c r="DT369" s="35"/>
      <c r="DU369" s="35"/>
      <c r="DV369" s="35"/>
      <c r="DW369" s="61">
        <f t="shared" si="17"/>
        <v>0</v>
      </c>
    </row>
    <row r="370" spans="1:127" s="5" customFormat="1" ht="12" customHeight="1" x14ac:dyDescent="0.2">
      <c r="A370" s="95" t="s">
        <v>44</v>
      </c>
      <c r="B370" s="60">
        <f t="shared" ref="B370:B383" si="21">SUMIF(G$3:DV$3,"прих",G370:DV370)-SUMIF(G$3:DV$3,"отгр",G370:DV370)</f>
        <v>48</v>
      </c>
      <c r="C370" s="52">
        <v>12</v>
      </c>
      <c r="D370" s="55" t="s">
        <v>572</v>
      </c>
      <c r="E370" s="62">
        <v>8.39</v>
      </c>
      <c r="F370" s="62">
        <f t="shared" si="20"/>
        <v>402.72</v>
      </c>
      <c r="G370" s="60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1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>
        <v>24</v>
      </c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  <c r="AY370" s="35"/>
      <c r="AZ370" s="35"/>
      <c r="BA370" s="35"/>
      <c r="BB370" s="35"/>
      <c r="BC370" s="35"/>
      <c r="BD370" s="35"/>
      <c r="BE370" s="35"/>
      <c r="BF370" s="35"/>
      <c r="BG370" s="35"/>
      <c r="BH370" s="35"/>
      <c r="BI370" s="35"/>
      <c r="BJ370" s="35"/>
      <c r="BK370" s="35"/>
      <c r="BL370" s="35"/>
      <c r="BM370" s="35"/>
      <c r="BN370" s="35"/>
      <c r="BO370" s="35"/>
      <c r="BP370" s="35"/>
      <c r="BQ370" s="35"/>
      <c r="BR370" s="35"/>
      <c r="BS370" s="35"/>
      <c r="BT370" s="35"/>
      <c r="BU370" s="35"/>
      <c r="BV370" s="35"/>
      <c r="BW370" s="35"/>
      <c r="BX370" s="35"/>
      <c r="BY370" s="35"/>
      <c r="BZ370" s="35"/>
      <c r="CA370" s="35"/>
      <c r="CB370" s="35"/>
      <c r="CC370" s="35"/>
      <c r="CD370" s="35"/>
      <c r="CE370" s="35"/>
      <c r="CF370" s="35"/>
      <c r="CG370" s="35"/>
      <c r="CH370" s="35"/>
      <c r="CI370" s="35"/>
      <c r="CJ370" s="35"/>
      <c r="CK370" s="35"/>
      <c r="CL370" s="35"/>
      <c r="CM370" s="35"/>
      <c r="CN370" s="35"/>
      <c r="CO370" s="35"/>
      <c r="CP370" s="35"/>
      <c r="CQ370" s="35"/>
      <c r="CR370" s="35"/>
      <c r="CS370" s="35"/>
      <c r="CT370" s="35"/>
      <c r="CU370" s="35"/>
      <c r="CV370" s="35"/>
      <c r="CW370" s="35"/>
      <c r="CX370" s="35"/>
      <c r="CY370" s="35"/>
      <c r="CZ370" s="35"/>
      <c r="DA370" s="35"/>
      <c r="DB370" s="35">
        <v>24</v>
      </c>
      <c r="DC370" s="35"/>
      <c r="DD370" s="35"/>
      <c r="DE370" s="35"/>
      <c r="DF370" s="35"/>
      <c r="DG370" s="35"/>
      <c r="DH370" s="35"/>
      <c r="DI370" s="35"/>
      <c r="DJ370" s="35"/>
      <c r="DK370" s="35"/>
      <c r="DL370" s="35"/>
      <c r="DM370" s="35"/>
      <c r="DN370" s="35"/>
      <c r="DO370" s="35"/>
      <c r="DP370" s="35"/>
      <c r="DQ370" s="35">
        <v>24</v>
      </c>
      <c r="DR370" s="35"/>
      <c r="DS370" s="35"/>
      <c r="DT370" s="35"/>
      <c r="DU370" s="35"/>
      <c r="DV370" s="35"/>
      <c r="DW370" s="61">
        <f t="shared" si="17"/>
        <v>24</v>
      </c>
    </row>
    <row r="371" spans="1:127" s="5" customFormat="1" ht="12" customHeight="1" x14ac:dyDescent="0.2">
      <c r="A371" s="95" t="s">
        <v>327</v>
      </c>
      <c r="B371" s="60">
        <f t="shared" si="21"/>
        <v>0</v>
      </c>
      <c r="C371" s="52">
        <v>25</v>
      </c>
      <c r="D371" s="54">
        <v>44809</v>
      </c>
      <c r="E371" s="62">
        <v>9.18</v>
      </c>
      <c r="F371" s="62">
        <f t="shared" si="20"/>
        <v>0</v>
      </c>
      <c r="G371" s="60">
        <v>25</v>
      </c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1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  <c r="AY371" s="35"/>
      <c r="AZ371" s="35"/>
      <c r="BA371" s="35"/>
      <c r="BB371" s="35"/>
      <c r="BC371" s="35"/>
      <c r="BD371" s="35"/>
      <c r="BE371" s="35"/>
      <c r="BF371" s="35"/>
      <c r="BG371" s="35"/>
      <c r="BH371" s="35"/>
      <c r="BI371" s="35"/>
      <c r="BJ371" s="35"/>
      <c r="BK371" s="35"/>
      <c r="BL371" s="35"/>
      <c r="BM371" s="35"/>
      <c r="BN371" s="35"/>
      <c r="BO371" s="35"/>
      <c r="BP371" s="35"/>
      <c r="BQ371" s="35"/>
      <c r="BR371" s="35"/>
      <c r="BS371" s="35"/>
      <c r="BT371" s="35"/>
      <c r="BU371" s="35"/>
      <c r="BV371" s="35"/>
      <c r="BW371" s="35"/>
      <c r="BX371" s="35"/>
      <c r="BY371" s="35">
        <v>25</v>
      </c>
      <c r="BZ371" s="35"/>
      <c r="CA371" s="35"/>
      <c r="CB371" s="35"/>
      <c r="CC371" s="35"/>
      <c r="CD371" s="35"/>
      <c r="CE371" s="35"/>
      <c r="CF371" s="35"/>
      <c r="CG371" s="35"/>
      <c r="CH371" s="35"/>
      <c r="CI371" s="35"/>
      <c r="CJ371" s="35"/>
      <c r="CK371" s="35"/>
      <c r="CL371" s="35"/>
      <c r="CM371" s="35"/>
      <c r="CN371" s="35"/>
      <c r="CO371" s="35"/>
      <c r="CP371" s="35"/>
      <c r="CQ371" s="35"/>
      <c r="CR371" s="35"/>
      <c r="CS371" s="35"/>
      <c r="CT371" s="35"/>
      <c r="CU371" s="35"/>
      <c r="CV371" s="35"/>
      <c r="CW371" s="35"/>
      <c r="CX371" s="35"/>
      <c r="CY371" s="35"/>
      <c r="CZ371" s="35"/>
      <c r="DA371" s="35"/>
      <c r="DB371" s="35"/>
      <c r="DC371" s="35"/>
      <c r="DD371" s="35"/>
      <c r="DE371" s="35"/>
      <c r="DF371" s="35"/>
      <c r="DG371" s="35"/>
      <c r="DH371" s="35"/>
      <c r="DI371" s="35"/>
      <c r="DJ371" s="35"/>
      <c r="DK371" s="35"/>
      <c r="DL371" s="35"/>
      <c r="DM371" s="35"/>
      <c r="DN371" s="35"/>
      <c r="DO371" s="35"/>
      <c r="DP371" s="35"/>
      <c r="DQ371" s="35"/>
      <c r="DR371" s="35"/>
      <c r="DS371" s="35"/>
      <c r="DT371" s="35"/>
      <c r="DU371" s="35"/>
      <c r="DV371" s="35"/>
      <c r="DW371" s="61">
        <f t="shared" si="17"/>
        <v>0</v>
      </c>
    </row>
    <row r="372" spans="1:127" s="5" customFormat="1" ht="12" customHeight="1" x14ac:dyDescent="0.2">
      <c r="A372" s="95" t="s">
        <v>393</v>
      </c>
      <c r="B372" s="60">
        <f t="shared" si="21"/>
        <v>0</v>
      </c>
      <c r="C372" s="52">
        <v>1</v>
      </c>
      <c r="D372" s="54">
        <v>44606</v>
      </c>
      <c r="E372" s="62">
        <v>15.26</v>
      </c>
      <c r="F372" s="62">
        <f t="shared" si="20"/>
        <v>0</v>
      </c>
      <c r="G372" s="60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1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  <c r="AY372" s="35"/>
      <c r="AZ372" s="35"/>
      <c r="BA372" s="35"/>
      <c r="BB372" s="35"/>
      <c r="BC372" s="35"/>
      <c r="BD372" s="35"/>
      <c r="BE372" s="35"/>
      <c r="BF372" s="35"/>
      <c r="BG372" s="35"/>
      <c r="BH372" s="35"/>
      <c r="BI372" s="35"/>
      <c r="BJ372" s="35"/>
      <c r="BK372" s="35"/>
      <c r="BL372" s="35"/>
      <c r="BM372" s="35"/>
      <c r="BN372" s="35"/>
      <c r="BO372" s="35"/>
      <c r="BP372" s="35"/>
      <c r="BQ372" s="35"/>
      <c r="BR372" s="35"/>
      <c r="BS372" s="35"/>
      <c r="BT372" s="35"/>
      <c r="BU372" s="35"/>
      <c r="BV372" s="35"/>
      <c r="BW372" s="35"/>
      <c r="BX372" s="35"/>
      <c r="BY372" s="35"/>
      <c r="BZ372" s="35"/>
      <c r="CA372" s="35"/>
      <c r="CB372" s="35"/>
      <c r="CC372" s="35"/>
      <c r="CD372" s="35"/>
      <c r="CE372" s="35"/>
      <c r="CF372" s="35"/>
      <c r="CG372" s="35"/>
      <c r="CH372" s="35"/>
      <c r="CI372" s="35"/>
      <c r="CJ372" s="35"/>
      <c r="CK372" s="35"/>
      <c r="CL372" s="35"/>
      <c r="CM372" s="35"/>
      <c r="CN372" s="35"/>
      <c r="CO372" s="35"/>
      <c r="CP372" s="35"/>
      <c r="CQ372" s="35"/>
      <c r="CR372" s="35"/>
      <c r="CS372" s="35"/>
      <c r="CT372" s="35"/>
      <c r="CU372" s="35"/>
      <c r="CV372" s="35"/>
      <c r="CW372" s="35"/>
      <c r="CX372" s="35"/>
      <c r="CY372" s="35"/>
      <c r="CZ372" s="35"/>
      <c r="DA372" s="35"/>
      <c r="DB372" s="35"/>
      <c r="DC372" s="35"/>
      <c r="DD372" s="35"/>
      <c r="DE372" s="35"/>
      <c r="DF372" s="35"/>
      <c r="DG372" s="35"/>
      <c r="DH372" s="35"/>
      <c r="DI372" s="35"/>
      <c r="DJ372" s="35"/>
      <c r="DK372" s="35"/>
      <c r="DL372" s="35"/>
      <c r="DM372" s="35"/>
      <c r="DN372" s="35"/>
      <c r="DO372" s="35"/>
      <c r="DP372" s="35"/>
      <c r="DQ372" s="35"/>
      <c r="DR372" s="35"/>
      <c r="DS372" s="35"/>
      <c r="DT372" s="35"/>
      <c r="DU372" s="35"/>
      <c r="DV372" s="35"/>
      <c r="DW372" s="61">
        <f t="shared" si="17"/>
        <v>0</v>
      </c>
    </row>
    <row r="373" spans="1:127" s="5" customFormat="1" ht="12" customHeight="1" x14ac:dyDescent="0.2">
      <c r="A373" s="95" t="s">
        <v>439</v>
      </c>
      <c r="B373" s="60">
        <f t="shared" si="21"/>
        <v>0</v>
      </c>
      <c r="C373" s="52">
        <v>1</v>
      </c>
      <c r="D373" s="54">
        <v>44718</v>
      </c>
      <c r="E373" s="62">
        <v>17.36</v>
      </c>
      <c r="F373" s="62">
        <f t="shared" si="20"/>
        <v>0</v>
      </c>
      <c r="G373" s="60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1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  <c r="AY373" s="35"/>
      <c r="AZ373" s="35"/>
      <c r="BA373" s="35"/>
      <c r="BB373" s="35"/>
      <c r="BC373" s="35"/>
      <c r="BD373" s="35"/>
      <c r="BE373" s="35"/>
      <c r="BF373" s="35"/>
      <c r="BG373" s="35"/>
      <c r="BH373" s="35"/>
      <c r="BI373" s="35"/>
      <c r="BJ373" s="35"/>
      <c r="BK373" s="35"/>
      <c r="BL373" s="35"/>
      <c r="BM373" s="35"/>
      <c r="BN373" s="35"/>
      <c r="BO373" s="35"/>
      <c r="BP373" s="35"/>
      <c r="BQ373" s="35"/>
      <c r="BR373" s="35"/>
      <c r="BS373" s="35"/>
      <c r="BT373" s="35"/>
      <c r="BU373" s="35"/>
      <c r="BV373" s="35"/>
      <c r="BW373" s="35"/>
      <c r="BX373" s="35"/>
      <c r="BY373" s="35"/>
      <c r="BZ373" s="35"/>
      <c r="CA373" s="35"/>
      <c r="CB373" s="35"/>
      <c r="CC373" s="35"/>
      <c r="CD373" s="35"/>
      <c r="CE373" s="35"/>
      <c r="CF373" s="35"/>
      <c r="CG373" s="35"/>
      <c r="CH373" s="35"/>
      <c r="CI373" s="35"/>
      <c r="CJ373" s="35"/>
      <c r="CK373" s="35"/>
      <c r="CL373" s="35"/>
      <c r="CM373" s="35"/>
      <c r="CN373" s="35"/>
      <c r="CO373" s="35"/>
      <c r="CP373" s="35"/>
      <c r="CQ373" s="35"/>
      <c r="CR373" s="35"/>
      <c r="CS373" s="35"/>
      <c r="CT373" s="35"/>
      <c r="CU373" s="35"/>
      <c r="CV373" s="35"/>
      <c r="CW373" s="35"/>
      <c r="CX373" s="35"/>
      <c r="CY373" s="35"/>
      <c r="CZ373" s="35"/>
      <c r="DA373" s="35"/>
      <c r="DB373" s="35"/>
      <c r="DC373" s="35"/>
      <c r="DD373" s="35"/>
      <c r="DE373" s="35"/>
      <c r="DF373" s="35"/>
      <c r="DG373" s="35"/>
      <c r="DH373" s="35"/>
      <c r="DI373" s="35"/>
      <c r="DJ373" s="35"/>
      <c r="DK373" s="35"/>
      <c r="DL373" s="35"/>
      <c r="DM373" s="35"/>
      <c r="DN373" s="35"/>
      <c r="DO373" s="35"/>
      <c r="DP373" s="35"/>
      <c r="DQ373" s="35"/>
      <c r="DR373" s="35"/>
      <c r="DS373" s="35"/>
      <c r="DT373" s="35"/>
      <c r="DU373" s="35"/>
      <c r="DV373" s="35"/>
      <c r="DW373" s="61">
        <f t="shared" si="17"/>
        <v>0</v>
      </c>
    </row>
    <row r="374" spans="1:127" s="5" customFormat="1" ht="12" customHeight="1" x14ac:dyDescent="0.2">
      <c r="A374" s="95" t="s">
        <v>509</v>
      </c>
      <c r="B374" s="60">
        <f t="shared" si="21"/>
        <v>0</v>
      </c>
      <c r="C374" s="52">
        <v>30</v>
      </c>
      <c r="D374" s="54">
        <v>44963</v>
      </c>
      <c r="E374" s="62">
        <v>7.04</v>
      </c>
      <c r="F374" s="62">
        <f t="shared" si="20"/>
        <v>0</v>
      </c>
      <c r="G374" s="60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1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  <c r="AY374" s="35"/>
      <c r="AZ374" s="35"/>
      <c r="BA374" s="35"/>
      <c r="BB374" s="35"/>
      <c r="BC374" s="35"/>
      <c r="BD374" s="35"/>
      <c r="BE374" s="35"/>
      <c r="BF374" s="35"/>
      <c r="BG374" s="35"/>
      <c r="BH374" s="35"/>
      <c r="BI374" s="35"/>
      <c r="BJ374" s="35"/>
      <c r="BK374" s="35"/>
      <c r="BL374" s="35"/>
      <c r="BM374" s="35"/>
      <c r="BN374" s="35"/>
      <c r="BO374" s="35"/>
      <c r="BP374" s="35"/>
      <c r="BQ374" s="35"/>
      <c r="BR374" s="35"/>
      <c r="BS374" s="35"/>
      <c r="BT374" s="35"/>
      <c r="BU374" s="35"/>
      <c r="BV374" s="35"/>
      <c r="BW374" s="35"/>
      <c r="BX374" s="35"/>
      <c r="BY374" s="35"/>
      <c r="BZ374" s="35"/>
      <c r="CA374" s="35">
        <v>30</v>
      </c>
      <c r="CB374" s="35"/>
      <c r="CC374" s="35"/>
      <c r="CD374" s="35"/>
      <c r="CE374" s="35"/>
      <c r="CF374" s="35"/>
      <c r="CG374" s="35"/>
      <c r="CH374" s="35"/>
      <c r="CI374" s="35"/>
      <c r="CJ374" s="35"/>
      <c r="CK374" s="35"/>
      <c r="CL374" s="35"/>
      <c r="CM374" s="35"/>
      <c r="CN374" s="35"/>
      <c r="CO374" s="35"/>
      <c r="CP374" s="35"/>
      <c r="CQ374" s="35"/>
      <c r="CR374" s="35"/>
      <c r="CS374" s="35"/>
      <c r="CT374" s="35"/>
      <c r="CU374" s="35"/>
      <c r="CV374" s="35"/>
      <c r="CW374" s="35"/>
      <c r="CX374" s="35"/>
      <c r="CY374" s="35"/>
      <c r="CZ374" s="35"/>
      <c r="DA374" s="35"/>
      <c r="DB374" s="35"/>
      <c r="DC374" s="35"/>
      <c r="DD374" s="35"/>
      <c r="DE374" s="35"/>
      <c r="DF374" s="35"/>
      <c r="DG374" s="35"/>
      <c r="DH374" s="35"/>
      <c r="DI374" s="35"/>
      <c r="DJ374" s="35">
        <v>30</v>
      </c>
      <c r="DK374" s="35"/>
      <c r="DL374" s="35"/>
      <c r="DM374" s="35"/>
      <c r="DN374" s="35"/>
      <c r="DO374" s="35"/>
      <c r="DP374" s="35"/>
      <c r="DQ374" s="35"/>
      <c r="DR374" s="35"/>
      <c r="DS374" s="35"/>
      <c r="DT374" s="35"/>
      <c r="DU374" s="35"/>
      <c r="DV374" s="35"/>
      <c r="DW374" s="61">
        <f t="shared" si="17"/>
        <v>0</v>
      </c>
    </row>
    <row r="375" spans="1:127" s="5" customFormat="1" ht="12" customHeight="1" x14ac:dyDescent="0.2">
      <c r="A375" s="39" t="s">
        <v>219</v>
      </c>
      <c r="B375" s="60">
        <f t="shared" si="21"/>
        <v>0</v>
      </c>
      <c r="C375" s="52">
        <v>1</v>
      </c>
      <c r="D375" s="54">
        <v>44886</v>
      </c>
      <c r="E375" s="62">
        <v>68.540000000000006</v>
      </c>
      <c r="F375" s="62">
        <f t="shared" si="20"/>
        <v>0</v>
      </c>
      <c r="G375" s="60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1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BH375" s="35"/>
      <c r="BI375" s="35"/>
      <c r="BJ375" s="35"/>
      <c r="BK375" s="35"/>
      <c r="BL375" s="35"/>
      <c r="BM375" s="35"/>
      <c r="BN375" s="35"/>
      <c r="BO375" s="35"/>
      <c r="BP375" s="35"/>
      <c r="BQ375" s="35"/>
      <c r="BR375" s="35"/>
      <c r="BS375" s="35"/>
      <c r="BT375" s="35"/>
      <c r="BU375" s="35"/>
      <c r="BV375" s="35"/>
      <c r="BW375" s="35"/>
      <c r="BX375" s="35"/>
      <c r="BY375" s="35"/>
      <c r="BZ375" s="35"/>
      <c r="CA375" s="35"/>
      <c r="CB375" s="35"/>
      <c r="CC375" s="35"/>
      <c r="CD375" s="35"/>
      <c r="CE375" s="35"/>
      <c r="CF375" s="35"/>
      <c r="CG375" s="35"/>
      <c r="CH375" s="35"/>
      <c r="CI375" s="35"/>
      <c r="CJ375" s="35"/>
      <c r="CK375" s="35"/>
      <c r="CL375" s="35"/>
      <c r="CM375" s="35"/>
      <c r="CN375" s="35"/>
      <c r="CO375" s="35"/>
      <c r="CP375" s="35"/>
      <c r="CQ375" s="35"/>
      <c r="CR375" s="35"/>
      <c r="CS375" s="35"/>
      <c r="CT375" s="35"/>
      <c r="CU375" s="35"/>
      <c r="CV375" s="35"/>
      <c r="CW375" s="35"/>
      <c r="CX375" s="35"/>
      <c r="CY375" s="35"/>
      <c r="CZ375" s="35"/>
      <c r="DA375" s="35"/>
      <c r="DB375" s="35"/>
      <c r="DC375" s="35"/>
      <c r="DD375" s="35"/>
      <c r="DE375" s="35"/>
      <c r="DF375" s="35"/>
      <c r="DG375" s="35"/>
      <c r="DH375" s="35"/>
      <c r="DI375" s="35"/>
      <c r="DJ375" s="35"/>
      <c r="DK375" s="35"/>
      <c r="DL375" s="35"/>
      <c r="DM375" s="35"/>
      <c r="DN375" s="35"/>
      <c r="DO375" s="35"/>
      <c r="DP375" s="35"/>
      <c r="DQ375" s="35"/>
      <c r="DR375" s="35"/>
      <c r="DS375" s="35"/>
      <c r="DT375" s="35"/>
      <c r="DU375" s="35"/>
      <c r="DV375" s="35"/>
      <c r="DW375" s="61">
        <f t="shared" si="17"/>
        <v>0</v>
      </c>
    </row>
    <row r="376" spans="1:127" s="5" customFormat="1" ht="12" customHeight="1" x14ac:dyDescent="0.2">
      <c r="A376" s="39" t="s">
        <v>386</v>
      </c>
      <c r="B376" s="60">
        <f t="shared" si="21"/>
        <v>0</v>
      </c>
      <c r="C376" s="52">
        <v>1</v>
      </c>
      <c r="D376" s="54">
        <v>44795</v>
      </c>
      <c r="E376" s="62">
        <v>80.16</v>
      </c>
      <c r="F376" s="62">
        <f t="shared" si="20"/>
        <v>0</v>
      </c>
      <c r="G376" s="60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1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  <c r="AY376" s="35"/>
      <c r="AZ376" s="35"/>
      <c r="BA376" s="35"/>
      <c r="BB376" s="35"/>
      <c r="BC376" s="35"/>
      <c r="BD376" s="35"/>
      <c r="BE376" s="35"/>
      <c r="BF376" s="35"/>
      <c r="BG376" s="35"/>
      <c r="BH376" s="35"/>
      <c r="BI376" s="35"/>
      <c r="BJ376" s="35"/>
      <c r="BK376" s="35"/>
      <c r="BL376" s="35"/>
      <c r="BM376" s="35"/>
      <c r="BN376" s="35"/>
      <c r="BO376" s="35"/>
      <c r="BP376" s="35"/>
      <c r="BQ376" s="35"/>
      <c r="BR376" s="35"/>
      <c r="BS376" s="35"/>
      <c r="BT376" s="35"/>
      <c r="BU376" s="35"/>
      <c r="BV376" s="35"/>
      <c r="BW376" s="35"/>
      <c r="BX376" s="35"/>
      <c r="BY376" s="35"/>
      <c r="BZ376" s="35"/>
      <c r="CA376" s="35"/>
      <c r="CB376" s="35"/>
      <c r="CC376" s="35"/>
      <c r="CD376" s="35"/>
      <c r="CE376" s="35"/>
      <c r="CF376" s="35"/>
      <c r="CG376" s="35"/>
      <c r="CH376" s="35"/>
      <c r="CI376" s="35"/>
      <c r="CJ376" s="35"/>
      <c r="CK376" s="35"/>
      <c r="CL376" s="35"/>
      <c r="CM376" s="35"/>
      <c r="CN376" s="35"/>
      <c r="CO376" s="35"/>
      <c r="CP376" s="35"/>
      <c r="CQ376" s="35"/>
      <c r="CR376" s="35"/>
      <c r="CS376" s="35"/>
      <c r="CT376" s="35"/>
      <c r="CU376" s="35"/>
      <c r="CV376" s="35"/>
      <c r="CW376" s="35"/>
      <c r="CX376" s="35"/>
      <c r="CY376" s="35"/>
      <c r="CZ376" s="35"/>
      <c r="DA376" s="35"/>
      <c r="DB376" s="35"/>
      <c r="DC376" s="35"/>
      <c r="DD376" s="35"/>
      <c r="DE376" s="35"/>
      <c r="DF376" s="35"/>
      <c r="DG376" s="35"/>
      <c r="DH376" s="35"/>
      <c r="DI376" s="35"/>
      <c r="DJ376" s="35"/>
      <c r="DK376" s="35"/>
      <c r="DL376" s="35"/>
      <c r="DM376" s="35"/>
      <c r="DN376" s="35"/>
      <c r="DO376" s="35"/>
      <c r="DP376" s="35"/>
      <c r="DQ376" s="35"/>
      <c r="DR376" s="35"/>
      <c r="DS376" s="35"/>
      <c r="DT376" s="35"/>
      <c r="DU376" s="35"/>
      <c r="DV376" s="35"/>
      <c r="DW376" s="61">
        <f t="shared" si="17"/>
        <v>0</v>
      </c>
    </row>
    <row r="377" spans="1:127" s="5" customFormat="1" ht="12" customHeight="1" x14ac:dyDescent="0.2">
      <c r="A377" s="39" t="s">
        <v>226</v>
      </c>
      <c r="B377" s="60">
        <f t="shared" si="21"/>
        <v>0</v>
      </c>
      <c r="C377" s="52">
        <v>10</v>
      </c>
      <c r="D377" s="54">
        <v>44739</v>
      </c>
      <c r="E377" s="62">
        <v>46.83</v>
      </c>
      <c r="F377" s="62">
        <f t="shared" si="20"/>
        <v>0</v>
      </c>
      <c r="G377" s="60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1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  <c r="AY377" s="35"/>
      <c r="AZ377" s="35"/>
      <c r="BA377" s="35"/>
      <c r="BB377" s="35"/>
      <c r="BC377" s="35"/>
      <c r="BD377" s="35"/>
      <c r="BE377" s="35"/>
      <c r="BF377" s="35"/>
      <c r="BG377" s="35"/>
      <c r="BH377" s="35"/>
      <c r="BI377" s="35"/>
      <c r="BJ377" s="35"/>
      <c r="BK377" s="35"/>
      <c r="BL377" s="35"/>
      <c r="BM377" s="35"/>
      <c r="BN377" s="35"/>
      <c r="BO377" s="35"/>
      <c r="BP377" s="35"/>
      <c r="BQ377" s="35"/>
      <c r="BR377" s="35"/>
      <c r="BS377" s="35"/>
      <c r="BT377" s="35"/>
      <c r="BU377" s="35"/>
      <c r="BV377" s="35"/>
      <c r="BW377" s="35"/>
      <c r="BX377" s="35"/>
      <c r="BY377" s="35"/>
      <c r="BZ377" s="35"/>
      <c r="CA377" s="35"/>
      <c r="CB377" s="35"/>
      <c r="CC377" s="35"/>
      <c r="CD377" s="35"/>
      <c r="CE377" s="35"/>
      <c r="CF377" s="35"/>
      <c r="CG377" s="35"/>
      <c r="CH377" s="35"/>
      <c r="CI377" s="35"/>
      <c r="CJ377" s="35"/>
      <c r="CK377" s="35"/>
      <c r="CL377" s="35"/>
      <c r="CM377" s="35"/>
      <c r="CN377" s="35"/>
      <c r="CO377" s="35"/>
      <c r="CP377" s="35"/>
      <c r="CQ377" s="35"/>
      <c r="CR377" s="35"/>
      <c r="CS377" s="35"/>
      <c r="CT377" s="35"/>
      <c r="CU377" s="35"/>
      <c r="CV377" s="35"/>
      <c r="CW377" s="35"/>
      <c r="CX377" s="35"/>
      <c r="CY377" s="35"/>
      <c r="CZ377" s="35"/>
      <c r="DA377" s="35"/>
      <c r="DB377" s="35"/>
      <c r="DC377" s="35"/>
      <c r="DD377" s="35"/>
      <c r="DE377" s="35"/>
      <c r="DF377" s="35"/>
      <c r="DG377" s="35"/>
      <c r="DH377" s="35"/>
      <c r="DI377" s="35"/>
      <c r="DJ377" s="35"/>
      <c r="DK377" s="35"/>
      <c r="DL377" s="35"/>
      <c r="DM377" s="35"/>
      <c r="DN377" s="35"/>
      <c r="DO377" s="35"/>
      <c r="DP377" s="35"/>
      <c r="DQ377" s="35"/>
      <c r="DR377" s="35"/>
      <c r="DS377" s="35"/>
      <c r="DT377" s="35"/>
      <c r="DU377" s="35"/>
      <c r="DV377" s="35"/>
      <c r="DW377" s="61">
        <f t="shared" si="17"/>
        <v>0</v>
      </c>
    </row>
    <row r="378" spans="1:127" s="5" customFormat="1" ht="12" customHeight="1" x14ac:dyDescent="0.2">
      <c r="A378" s="39" t="s">
        <v>205</v>
      </c>
      <c r="B378" s="60">
        <f t="shared" si="21"/>
        <v>0</v>
      </c>
      <c r="C378" s="52">
        <v>4.5</v>
      </c>
      <c r="D378" s="54">
        <v>44897</v>
      </c>
      <c r="E378" s="62">
        <v>143.9</v>
      </c>
      <c r="F378" s="62">
        <f t="shared" si="20"/>
        <v>0</v>
      </c>
      <c r="G378" s="60">
        <v>157.5</v>
      </c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1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  <c r="AY378" s="35"/>
      <c r="AZ378" s="35"/>
      <c r="BA378" s="35"/>
      <c r="BB378" s="35"/>
      <c r="BC378" s="35"/>
      <c r="BD378" s="35"/>
      <c r="BE378" s="35"/>
      <c r="BF378" s="35"/>
      <c r="BG378" s="35"/>
      <c r="BH378" s="35">
        <v>108</v>
      </c>
      <c r="BI378" s="35">
        <v>49.5</v>
      </c>
      <c r="BJ378" s="35"/>
      <c r="BK378" s="35"/>
      <c r="BL378" s="35"/>
      <c r="BM378" s="35"/>
      <c r="BN378" s="35"/>
      <c r="BO378" s="35"/>
      <c r="BP378" s="35"/>
      <c r="BQ378" s="35"/>
      <c r="BR378" s="35"/>
      <c r="BS378" s="35"/>
      <c r="BT378" s="35"/>
      <c r="BU378" s="35"/>
      <c r="BV378" s="35"/>
      <c r="BW378" s="35"/>
      <c r="BX378" s="35"/>
      <c r="BY378" s="35"/>
      <c r="BZ378" s="35"/>
      <c r="CA378" s="35"/>
      <c r="CB378" s="35"/>
      <c r="CC378" s="35"/>
      <c r="CD378" s="35"/>
      <c r="CE378" s="35"/>
      <c r="CF378" s="35"/>
      <c r="CG378" s="35"/>
      <c r="CH378" s="35"/>
      <c r="CI378" s="35"/>
      <c r="CJ378" s="35"/>
      <c r="CK378" s="35"/>
      <c r="CL378" s="35"/>
      <c r="CM378" s="35"/>
      <c r="CN378" s="35"/>
      <c r="CO378" s="35"/>
      <c r="CP378" s="35"/>
      <c r="CQ378" s="35"/>
      <c r="CR378" s="35"/>
      <c r="CS378" s="35"/>
      <c r="CT378" s="35"/>
      <c r="CU378" s="35"/>
      <c r="CV378" s="35"/>
      <c r="CW378" s="35"/>
      <c r="CX378" s="35"/>
      <c r="CY378" s="35"/>
      <c r="CZ378" s="35"/>
      <c r="DA378" s="35"/>
      <c r="DB378" s="35"/>
      <c r="DC378" s="35"/>
      <c r="DD378" s="35"/>
      <c r="DE378" s="35"/>
      <c r="DF378" s="35"/>
      <c r="DG378" s="35"/>
      <c r="DH378" s="35"/>
      <c r="DI378" s="35"/>
      <c r="DJ378" s="35"/>
      <c r="DK378" s="35"/>
      <c r="DL378" s="35"/>
      <c r="DM378" s="35"/>
      <c r="DN378" s="35"/>
      <c r="DO378" s="35"/>
      <c r="DP378" s="35"/>
      <c r="DQ378" s="35"/>
      <c r="DR378" s="35"/>
      <c r="DS378" s="35"/>
      <c r="DT378" s="35"/>
      <c r="DU378" s="35"/>
      <c r="DV378" s="35"/>
      <c r="DW378" s="61">
        <f t="shared" si="17"/>
        <v>0</v>
      </c>
    </row>
    <row r="379" spans="1:127" s="5" customFormat="1" ht="12" customHeight="1" x14ac:dyDescent="0.2">
      <c r="A379" s="39" t="s">
        <v>205</v>
      </c>
      <c r="B379" s="60">
        <f t="shared" si="21"/>
        <v>175.5</v>
      </c>
      <c r="C379" s="52">
        <v>4.5</v>
      </c>
      <c r="D379" s="54">
        <v>44914</v>
      </c>
      <c r="E379" s="62">
        <v>151.27000000000001</v>
      </c>
      <c r="F379" s="62">
        <f t="shared" si="20"/>
        <v>26547.885000000002</v>
      </c>
      <c r="G379" s="60">
        <v>198</v>
      </c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1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BH379" s="35"/>
      <c r="BI379" s="35">
        <v>22.5</v>
      </c>
      <c r="BJ379" s="35">
        <v>175.5</v>
      </c>
      <c r="BK379" s="35"/>
      <c r="BL379" s="35"/>
      <c r="BM379" s="35"/>
      <c r="BN379" s="35"/>
      <c r="BO379" s="35"/>
      <c r="BP379" s="35"/>
      <c r="BQ379" s="35"/>
      <c r="BR379" s="35"/>
      <c r="BS379" s="35"/>
      <c r="BT379" s="35"/>
      <c r="BU379" s="35"/>
      <c r="BV379" s="35"/>
      <c r="BW379" s="35"/>
      <c r="BX379" s="35"/>
      <c r="BY379" s="35"/>
      <c r="BZ379" s="35"/>
      <c r="CA379" s="35"/>
      <c r="CB379" s="35"/>
      <c r="CC379" s="35"/>
      <c r="CD379" s="35"/>
      <c r="CE379" s="35"/>
      <c r="CF379" s="35"/>
      <c r="CG379" s="35"/>
      <c r="CH379" s="35"/>
      <c r="CI379" s="35"/>
      <c r="CJ379" s="35"/>
      <c r="CK379" s="35"/>
      <c r="CL379" s="35"/>
      <c r="CM379" s="35"/>
      <c r="CN379" s="35"/>
      <c r="CO379" s="35"/>
      <c r="CP379" s="35"/>
      <c r="CQ379" s="35"/>
      <c r="CR379" s="35"/>
      <c r="CS379" s="35"/>
      <c r="CT379" s="35"/>
      <c r="CU379" s="35"/>
      <c r="CV379" s="35"/>
      <c r="CW379" s="35"/>
      <c r="CX379" s="35"/>
      <c r="CY379" s="35"/>
      <c r="CZ379" s="35"/>
      <c r="DA379" s="35"/>
      <c r="DB379" s="35"/>
      <c r="DC379" s="35"/>
      <c r="DD379" s="35"/>
      <c r="DE379" s="35"/>
      <c r="DF379" s="35"/>
      <c r="DG379" s="35"/>
      <c r="DH379" s="35"/>
      <c r="DI379" s="35"/>
      <c r="DJ379" s="35"/>
      <c r="DK379" s="35"/>
      <c r="DL379" s="35"/>
      <c r="DM379" s="35"/>
      <c r="DN379" s="35"/>
      <c r="DO379" s="35"/>
      <c r="DP379" s="35"/>
      <c r="DQ379" s="35"/>
      <c r="DR379" s="35"/>
      <c r="DS379" s="35"/>
      <c r="DT379" s="35"/>
      <c r="DU379" s="35"/>
      <c r="DV379" s="35"/>
      <c r="DW379" s="61">
        <f t="shared" si="17"/>
        <v>0</v>
      </c>
    </row>
    <row r="380" spans="1:127" s="5" customFormat="1" ht="12" customHeight="1" x14ac:dyDescent="0.2">
      <c r="A380" s="39" t="s">
        <v>516</v>
      </c>
      <c r="B380" s="60">
        <f t="shared" si="21"/>
        <v>0</v>
      </c>
      <c r="C380" s="52">
        <v>0.8</v>
      </c>
      <c r="D380" s="54">
        <v>44893</v>
      </c>
      <c r="E380" s="62">
        <v>72.290000000000006</v>
      </c>
      <c r="F380" s="62">
        <f t="shared" si="20"/>
        <v>0</v>
      </c>
      <c r="G380" s="60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1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  <c r="AY380" s="35"/>
      <c r="AZ380" s="35"/>
      <c r="BA380" s="35"/>
      <c r="BB380" s="35"/>
      <c r="BC380" s="35"/>
      <c r="BD380" s="35"/>
      <c r="BE380" s="35"/>
      <c r="BF380" s="35"/>
      <c r="BG380" s="35"/>
      <c r="BH380" s="35"/>
      <c r="BI380" s="35"/>
      <c r="BJ380" s="35"/>
      <c r="BK380" s="35"/>
      <c r="BL380" s="35"/>
      <c r="BM380" s="35"/>
      <c r="BN380" s="35"/>
      <c r="BO380" s="35"/>
      <c r="BP380" s="35"/>
      <c r="BQ380" s="35"/>
      <c r="BR380" s="35"/>
      <c r="BS380" s="35"/>
      <c r="BT380" s="35"/>
      <c r="BU380" s="35"/>
      <c r="BV380" s="35"/>
      <c r="BW380" s="35"/>
      <c r="BX380" s="35"/>
      <c r="BY380" s="35"/>
      <c r="BZ380" s="35"/>
      <c r="CA380" s="35"/>
      <c r="CB380" s="35"/>
      <c r="CC380" s="35"/>
      <c r="CD380" s="35"/>
      <c r="CE380" s="35"/>
      <c r="CF380" s="35"/>
      <c r="CG380" s="35"/>
      <c r="CH380" s="35"/>
      <c r="CI380" s="35"/>
      <c r="CJ380" s="35"/>
      <c r="CK380" s="35"/>
      <c r="CL380" s="35"/>
      <c r="CM380" s="35"/>
      <c r="CN380" s="35"/>
      <c r="CO380" s="35"/>
      <c r="CP380" s="35"/>
      <c r="CQ380" s="35"/>
      <c r="CR380" s="35"/>
      <c r="CS380" s="35"/>
      <c r="CT380" s="35"/>
      <c r="CU380" s="35"/>
      <c r="CV380" s="35"/>
      <c r="CW380" s="35"/>
      <c r="CX380" s="35"/>
      <c r="CY380" s="35"/>
      <c r="CZ380" s="35"/>
      <c r="DA380" s="35"/>
      <c r="DB380" s="35"/>
      <c r="DC380" s="35"/>
      <c r="DD380" s="35"/>
      <c r="DE380" s="35"/>
      <c r="DF380" s="35"/>
      <c r="DG380" s="35"/>
      <c r="DH380" s="35"/>
      <c r="DI380" s="35"/>
      <c r="DJ380" s="35"/>
      <c r="DK380" s="35"/>
      <c r="DL380" s="35"/>
      <c r="DM380" s="35"/>
      <c r="DN380" s="35"/>
      <c r="DO380" s="35"/>
      <c r="DP380" s="35"/>
      <c r="DQ380" s="35"/>
      <c r="DR380" s="35"/>
      <c r="DS380" s="35"/>
      <c r="DT380" s="35"/>
      <c r="DU380" s="35"/>
      <c r="DV380" s="35"/>
      <c r="DW380" s="61">
        <f t="shared" si="17"/>
        <v>0</v>
      </c>
    </row>
    <row r="381" spans="1:127" s="5" customFormat="1" ht="12" customHeight="1" x14ac:dyDescent="0.2">
      <c r="A381" s="39" t="s">
        <v>485</v>
      </c>
      <c r="B381" s="60">
        <f t="shared" si="21"/>
        <v>5</v>
      </c>
      <c r="C381" s="52">
        <v>5</v>
      </c>
      <c r="D381" s="54">
        <v>44897</v>
      </c>
      <c r="E381" s="62">
        <v>102.58</v>
      </c>
      <c r="F381" s="62">
        <f t="shared" si="20"/>
        <v>512.9</v>
      </c>
      <c r="G381" s="60">
        <v>10</v>
      </c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1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BH381" s="35"/>
      <c r="BI381" s="35"/>
      <c r="BJ381" s="35"/>
      <c r="BK381" s="35"/>
      <c r="BL381" s="35"/>
      <c r="BM381" s="35"/>
      <c r="BN381" s="35"/>
      <c r="BO381" s="35"/>
      <c r="BP381" s="35"/>
      <c r="BQ381" s="35"/>
      <c r="BR381" s="35"/>
      <c r="BS381" s="35"/>
      <c r="BT381" s="35"/>
      <c r="BU381" s="35"/>
      <c r="BV381" s="35"/>
      <c r="BW381" s="35"/>
      <c r="BX381" s="35"/>
      <c r="BY381" s="35"/>
      <c r="BZ381" s="35"/>
      <c r="CA381" s="35"/>
      <c r="CB381" s="35"/>
      <c r="CC381" s="35"/>
      <c r="CD381" s="35"/>
      <c r="CE381" s="35"/>
      <c r="CF381" s="35"/>
      <c r="CG381" s="35">
        <v>5</v>
      </c>
      <c r="CH381" s="35">
        <v>5</v>
      </c>
      <c r="CI381" s="35"/>
      <c r="CJ381" s="35"/>
      <c r="CK381" s="35"/>
      <c r="CL381" s="35"/>
      <c r="CM381" s="35"/>
      <c r="CN381" s="35"/>
      <c r="CO381" s="35"/>
      <c r="CP381" s="35"/>
      <c r="CQ381" s="35"/>
      <c r="CR381" s="35"/>
      <c r="CS381" s="35"/>
      <c r="CT381" s="35"/>
      <c r="CU381" s="35"/>
      <c r="CV381" s="35"/>
      <c r="CW381" s="35"/>
      <c r="CX381" s="35"/>
      <c r="CY381" s="35"/>
      <c r="CZ381" s="35"/>
      <c r="DA381" s="35"/>
      <c r="DB381" s="35"/>
      <c r="DC381" s="35"/>
      <c r="DD381" s="35"/>
      <c r="DE381" s="35"/>
      <c r="DF381" s="35"/>
      <c r="DG381" s="35"/>
      <c r="DH381" s="35"/>
      <c r="DI381" s="35"/>
      <c r="DJ381" s="35"/>
      <c r="DK381" s="35"/>
      <c r="DL381" s="35"/>
      <c r="DM381" s="35"/>
      <c r="DN381" s="35"/>
      <c r="DO381" s="35"/>
      <c r="DP381" s="35"/>
      <c r="DQ381" s="35"/>
      <c r="DR381" s="35"/>
      <c r="DS381" s="35"/>
      <c r="DT381" s="35"/>
      <c r="DU381" s="35"/>
      <c r="DV381" s="35"/>
      <c r="DW381" s="61">
        <f t="shared" si="17"/>
        <v>0</v>
      </c>
    </row>
    <row r="382" spans="1:127" s="5" customFormat="1" ht="12" customHeight="1" x14ac:dyDescent="0.2">
      <c r="A382" s="39" t="s">
        <v>485</v>
      </c>
      <c r="B382" s="60">
        <f t="shared" si="21"/>
        <v>10</v>
      </c>
      <c r="C382" s="52">
        <v>5</v>
      </c>
      <c r="D382" s="54">
        <v>44914</v>
      </c>
      <c r="E382" s="62">
        <v>107.83</v>
      </c>
      <c r="F382" s="62">
        <f t="shared" si="20"/>
        <v>1078.3</v>
      </c>
      <c r="G382" s="60">
        <v>10</v>
      </c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1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  <c r="AY382" s="35"/>
      <c r="AZ382" s="35"/>
      <c r="BA382" s="35"/>
      <c r="BB382" s="35"/>
      <c r="BC382" s="35"/>
      <c r="BD382" s="35"/>
      <c r="BE382" s="35"/>
      <c r="BF382" s="35"/>
      <c r="BG382" s="35"/>
      <c r="BH382" s="35"/>
      <c r="BI382" s="35"/>
      <c r="BJ382" s="35"/>
      <c r="BK382" s="35"/>
      <c r="BL382" s="35"/>
      <c r="BM382" s="35"/>
      <c r="BN382" s="35"/>
      <c r="BO382" s="35"/>
      <c r="BP382" s="35"/>
      <c r="BQ382" s="35"/>
      <c r="BR382" s="35"/>
      <c r="BS382" s="35"/>
      <c r="BT382" s="35"/>
      <c r="BU382" s="35"/>
      <c r="BV382" s="35"/>
      <c r="BW382" s="35"/>
      <c r="BX382" s="35"/>
      <c r="BY382" s="35"/>
      <c r="BZ382" s="35"/>
      <c r="CA382" s="35"/>
      <c r="CB382" s="35"/>
      <c r="CC382" s="35"/>
      <c r="CD382" s="35"/>
      <c r="CE382" s="35"/>
      <c r="CF382" s="35"/>
      <c r="CG382" s="35"/>
      <c r="CH382" s="35">
        <v>10</v>
      </c>
      <c r="CI382" s="35"/>
      <c r="CJ382" s="35"/>
      <c r="CK382" s="35"/>
      <c r="CL382" s="35"/>
      <c r="CM382" s="35"/>
      <c r="CN382" s="35"/>
      <c r="CO382" s="35"/>
      <c r="CP382" s="35"/>
      <c r="CQ382" s="35"/>
      <c r="CR382" s="35"/>
      <c r="CS382" s="35"/>
      <c r="CT382" s="35"/>
      <c r="CU382" s="35"/>
      <c r="CV382" s="35"/>
      <c r="CW382" s="35"/>
      <c r="CX382" s="35"/>
      <c r="CY382" s="35"/>
      <c r="CZ382" s="35"/>
      <c r="DA382" s="35"/>
      <c r="DB382" s="35"/>
      <c r="DC382" s="35"/>
      <c r="DD382" s="35"/>
      <c r="DE382" s="35"/>
      <c r="DF382" s="35"/>
      <c r="DG382" s="35"/>
      <c r="DH382" s="35"/>
      <c r="DI382" s="35"/>
      <c r="DJ382" s="35"/>
      <c r="DK382" s="35"/>
      <c r="DL382" s="35"/>
      <c r="DM382" s="35"/>
      <c r="DN382" s="35"/>
      <c r="DO382" s="35"/>
      <c r="DP382" s="35"/>
      <c r="DQ382" s="35"/>
      <c r="DR382" s="35"/>
      <c r="DS382" s="35"/>
      <c r="DT382" s="35"/>
      <c r="DU382" s="35"/>
      <c r="DV382" s="35"/>
      <c r="DW382" s="61">
        <f t="shared" si="17"/>
        <v>0</v>
      </c>
    </row>
    <row r="383" spans="1:127" s="5" customFormat="1" ht="12" customHeight="1" x14ac:dyDescent="0.2">
      <c r="A383" s="39" t="s">
        <v>197</v>
      </c>
      <c r="B383" s="60">
        <f t="shared" si="21"/>
        <v>0</v>
      </c>
      <c r="C383" s="52">
        <v>1</v>
      </c>
      <c r="D383" s="54">
        <v>44886</v>
      </c>
      <c r="E383" s="62">
        <v>40.54</v>
      </c>
      <c r="F383" s="62">
        <f t="shared" si="20"/>
        <v>0</v>
      </c>
      <c r="G383" s="60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1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BH383" s="35"/>
      <c r="BI383" s="35"/>
      <c r="BJ383" s="35"/>
      <c r="BK383" s="35"/>
      <c r="BL383" s="35"/>
      <c r="BM383" s="35"/>
      <c r="BN383" s="35"/>
      <c r="BO383" s="35"/>
      <c r="BP383" s="35"/>
      <c r="BQ383" s="35"/>
      <c r="BR383" s="35"/>
      <c r="BS383" s="35"/>
      <c r="BT383" s="35"/>
      <c r="BU383" s="35"/>
      <c r="BV383" s="35"/>
      <c r="BW383" s="35"/>
      <c r="BX383" s="35"/>
      <c r="BY383" s="35"/>
      <c r="BZ383" s="35"/>
      <c r="CA383" s="35"/>
      <c r="CB383" s="35"/>
      <c r="CC383" s="35"/>
      <c r="CD383" s="35"/>
      <c r="CE383" s="35"/>
      <c r="CF383" s="35"/>
      <c r="CG383" s="35"/>
      <c r="CH383" s="35"/>
      <c r="CI383" s="35"/>
      <c r="CJ383" s="35"/>
      <c r="CK383" s="35"/>
      <c r="CL383" s="35"/>
      <c r="CM383" s="35"/>
      <c r="CN383" s="35"/>
      <c r="CO383" s="35"/>
      <c r="CP383" s="35"/>
      <c r="CQ383" s="35"/>
      <c r="CR383" s="35"/>
      <c r="CS383" s="35"/>
      <c r="CT383" s="35"/>
      <c r="CU383" s="35"/>
      <c r="CV383" s="35"/>
      <c r="CW383" s="35"/>
      <c r="CX383" s="35"/>
      <c r="CY383" s="35"/>
      <c r="CZ383" s="35"/>
      <c r="DA383" s="35"/>
      <c r="DB383" s="35"/>
      <c r="DC383" s="35"/>
      <c r="DD383" s="35"/>
      <c r="DE383" s="35"/>
      <c r="DF383" s="35"/>
      <c r="DG383" s="35"/>
      <c r="DH383" s="35"/>
      <c r="DI383" s="35"/>
      <c r="DJ383" s="35"/>
      <c r="DK383" s="35"/>
      <c r="DL383" s="35"/>
      <c r="DM383" s="35"/>
      <c r="DN383" s="35"/>
      <c r="DO383" s="35"/>
      <c r="DP383" s="35"/>
      <c r="DQ383" s="35"/>
      <c r="DR383" s="35"/>
      <c r="DS383" s="35"/>
      <c r="DT383" s="35"/>
      <c r="DU383" s="35"/>
      <c r="DV383" s="35"/>
      <c r="DW383" s="61">
        <f t="shared" si="17"/>
        <v>0</v>
      </c>
    </row>
    <row r="384" spans="1:127" s="5" customFormat="1" ht="15.75" x14ac:dyDescent="0.25">
      <c r="A384" s="18" t="s">
        <v>21</v>
      </c>
      <c r="B384" s="80">
        <f>SUM(B306:B383)</f>
        <v>648.5</v>
      </c>
      <c r="C384" s="51"/>
      <c r="D384" s="58"/>
      <c r="E384" s="57"/>
      <c r="F384" s="62">
        <f t="shared" si="20"/>
        <v>0</v>
      </c>
      <c r="G384" s="19">
        <f>SUM(G306:G383)</f>
        <v>844.5</v>
      </c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109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  <c r="AY384" s="35"/>
      <c r="AZ384" s="35"/>
      <c r="BA384" s="35"/>
      <c r="BB384" s="35"/>
      <c r="BC384" s="35"/>
      <c r="BD384" s="35"/>
      <c r="BE384" s="35"/>
      <c r="BF384" s="35"/>
      <c r="BG384" s="35"/>
      <c r="BH384" s="35"/>
      <c r="BI384" s="35"/>
      <c r="BJ384" s="35"/>
      <c r="BK384" s="35"/>
      <c r="BL384" s="35"/>
      <c r="BM384" s="35"/>
      <c r="BN384" s="35"/>
      <c r="BO384" s="35"/>
      <c r="BP384" s="35"/>
      <c r="BQ384" s="35"/>
      <c r="BR384" s="35"/>
      <c r="BS384" s="35"/>
      <c r="BT384" s="35"/>
      <c r="BU384" s="35"/>
      <c r="BV384" s="35"/>
      <c r="BW384" s="35"/>
      <c r="BX384" s="35"/>
      <c r="BY384" s="35"/>
      <c r="BZ384" s="35"/>
      <c r="CA384" s="35"/>
      <c r="CB384" s="35"/>
      <c r="CC384" s="35"/>
      <c r="CD384" s="35"/>
      <c r="CE384" s="35"/>
      <c r="CF384" s="35"/>
      <c r="CG384" s="35"/>
      <c r="CH384" s="35"/>
      <c r="CI384" s="35"/>
      <c r="CJ384" s="35"/>
      <c r="CK384" s="35"/>
      <c r="CL384" s="35"/>
      <c r="CM384" s="35"/>
      <c r="CN384" s="35"/>
      <c r="CO384" s="35"/>
      <c r="CP384" s="35"/>
      <c r="CQ384" s="35"/>
      <c r="CR384" s="35"/>
      <c r="CS384" s="35"/>
      <c r="CT384" s="35"/>
      <c r="CU384" s="35"/>
      <c r="CV384" s="35"/>
      <c r="CW384" s="35"/>
      <c r="CX384" s="35"/>
      <c r="CY384" s="35"/>
      <c r="CZ384" s="35"/>
      <c r="DA384" s="35"/>
      <c r="DB384" s="35"/>
      <c r="DC384" s="35"/>
      <c r="DD384" s="35"/>
      <c r="DE384" s="35"/>
      <c r="DF384" s="35"/>
      <c r="DG384" s="35"/>
      <c r="DH384" s="35"/>
      <c r="DI384" s="35"/>
      <c r="DJ384" s="35"/>
      <c r="DK384" s="35"/>
      <c r="DL384" s="35"/>
      <c r="DM384" s="35"/>
      <c r="DN384" s="35"/>
      <c r="DO384" s="35"/>
      <c r="DP384" s="35"/>
      <c r="DQ384" s="35"/>
      <c r="DR384" s="35"/>
      <c r="DS384" s="35"/>
      <c r="DT384" s="35"/>
      <c r="DU384" s="35"/>
      <c r="DV384" s="35"/>
      <c r="DW384" s="19">
        <f t="shared" si="17"/>
        <v>648.5</v>
      </c>
    </row>
    <row r="385" spans="1:151" s="5" customFormat="1" ht="14.25" customHeight="1" x14ac:dyDescent="0.25">
      <c r="A385" s="47" t="s">
        <v>365</v>
      </c>
      <c r="B385" s="61">
        <f t="shared" ref="B385:B392" si="22">SUMIF(G$3:DV$3,"прих",G385:DV385)-SUMIF(G$3:DV$3,"отгр",G385:DV385)</f>
        <v>0</v>
      </c>
      <c r="C385" s="89">
        <v>25</v>
      </c>
      <c r="D385" s="69">
        <v>44669</v>
      </c>
      <c r="E385" s="65">
        <v>100.86</v>
      </c>
      <c r="F385" s="62">
        <f t="shared" si="20"/>
        <v>0</v>
      </c>
      <c r="G385" s="19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109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  <c r="AY385" s="35"/>
      <c r="AZ385" s="35"/>
      <c r="BA385" s="35"/>
      <c r="BB385" s="35"/>
      <c r="BC385" s="35"/>
      <c r="BD385" s="35"/>
      <c r="BE385" s="35"/>
      <c r="BF385" s="35"/>
      <c r="BG385" s="35"/>
      <c r="BH385" s="35"/>
      <c r="BI385" s="35"/>
      <c r="BJ385" s="35"/>
      <c r="BK385" s="35"/>
      <c r="BL385" s="35"/>
      <c r="BM385" s="35"/>
      <c r="BN385" s="35"/>
      <c r="BO385" s="35"/>
      <c r="BP385" s="35"/>
      <c r="BQ385" s="35"/>
      <c r="BR385" s="35"/>
      <c r="BS385" s="35"/>
      <c r="BT385" s="35"/>
      <c r="BU385" s="35"/>
      <c r="BV385" s="35"/>
      <c r="BW385" s="35"/>
      <c r="BX385" s="35"/>
      <c r="BY385" s="35"/>
      <c r="BZ385" s="35"/>
      <c r="CA385" s="35"/>
      <c r="CB385" s="35"/>
      <c r="CC385" s="35"/>
      <c r="CD385" s="35"/>
      <c r="CE385" s="35"/>
      <c r="CF385" s="35"/>
      <c r="CG385" s="35"/>
      <c r="CH385" s="35"/>
      <c r="CI385" s="35"/>
      <c r="CJ385" s="35"/>
      <c r="CK385" s="35"/>
      <c r="CL385" s="35"/>
      <c r="CM385" s="35"/>
      <c r="CN385" s="35"/>
      <c r="CO385" s="35"/>
      <c r="CP385" s="35"/>
      <c r="CQ385" s="35"/>
      <c r="CR385" s="35"/>
      <c r="CS385" s="35"/>
      <c r="CT385" s="35"/>
      <c r="CU385" s="35"/>
      <c r="CV385" s="35"/>
      <c r="CW385" s="35"/>
      <c r="CX385" s="35"/>
      <c r="CY385" s="35"/>
      <c r="CZ385" s="35"/>
      <c r="DA385" s="35"/>
      <c r="DB385" s="35"/>
      <c r="DC385" s="35"/>
      <c r="DD385" s="35"/>
      <c r="DE385" s="35"/>
      <c r="DF385" s="35"/>
      <c r="DG385" s="35"/>
      <c r="DH385" s="35"/>
      <c r="DI385" s="35"/>
      <c r="DJ385" s="35"/>
      <c r="DK385" s="35"/>
      <c r="DL385" s="35"/>
      <c r="DM385" s="35"/>
      <c r="DN385" s="35"/>
      <c r="DO385" s="35"/>
      <c r="DP385" s="35"/>
      <c r="DQ385" s="35"/>
      <c r="DR385" s="35"/>
      <c r="DS385" s="35"/>
      <c r="DT385" s="35"/>
      <c r="DU385" s="35"/>
      <c r="DV385" s="35"/>
      <c r="DW385" s="61">
        <f t="shared" si="17"/>
        <v>0</v>
      </c>
    </row>
    <row r="386" spans="1:151" s="5" customFormat="1" x14ac:dyDescent="0.2">
      <c r="A386" s="47" t="s">
        <v>241</v>
      </c>
      <c r="B386" s="61">
        <f t="shared" si="22"/>
        <v>75</v>
      </c>
      <c r="C386" s="52">
        <v>25</v>
      </c>
      <c r="D386" s="59">
        <v>44879</v>
      </c>
      <c r="E386" s="65">
        <v>22.35</v>
      </c>
      <c r="F386" s="62">
        <f t="shared" si="20"/>
        <v>1676.25</v>
      </c>
      <c r="G386" s="60">
        <v>75</v>
      </c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1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  <c r="AY386" s="35"/>
      <c r="AZ386" s="35"/>
      <c r="BA386" s="35"/>
      <c r="BB386" s="35"/>
      <c r="BC386" s="35"/>
      <c r="BD386" s="35"/>
      <c r="BE386" s="35"/>
      <c r="BF386" s="35"/>
      <c r="BG386" s="35"/>
      <c r="BH386" s="35"/>
      <c r="BI386" s="35"/>
      <c r="BJ386" s="35"/>
      <c r="BK386" s="35"/>
      <c r="BL386" s="35"/>
      <c r="BM386" s="35"/>
      <c r="BN386" s="35"/>
      <c r="BO386" s="35"/>
      <c r="BP386" s="35"/>
      <c r="BQ386" s="35"/>
      <c r="BR386" s="35"/>
      <c r="BS386" s="35"/>
      <c r="BT386" s="35"/>
      <c r="BU386" s="35"/>
      <c r="BV386" s="35"/>
      <c r="BW386" s="35"/>
      <c r="BX386" s="35"/>
      <c r="BY386" s="35"/>
      <c r="BZ386" s="35"/>
      <c r="CA386" s="35"/>
      <c r="CB386" s="35"/>
      <c r="CC386" s="35"/>
      <c r="CD386" s="35"/>
      <c r="CE386" s="35"/>
      <c r="CF386" s="35"/>
      <c r="CG386" s="35"/>
      <c r="CH386" s="35"/>
      <c r="CI386" s="35"/>
      <c r="CJ386" s="35"/>
      <c r="CK386" s="35"/>
      <c r="CL386" s="35"/>
      <c r="CM386" s="35"/>
      <c r="CN386" s="35"/>
      <c r="CO386" s="35"/>
      <c r="CP386" s="35"/>
      <c r="CQ386" s="35"/>
      <c r="CR386" s="35"/>
      <c r="CS386" s="35"/>
      <c r="CT386" s="35"/>
      <c r="CU386" s="35"/>
      <c r="CV386" s="35"/>
      <c r="CW386" s="35"/>
      <c r="CX386" s="35"/>
      <c r="CY386" s="35"/>
      <c r="CZ386" s="35"/>
      <c r="DA386" s="35"/>
      <c r="DB386" s="35"/>
      <c r="DC386" s="35"/>
      <c r="DD386" s="35"/>
      <c r="DE386" s="35"/>
      <c r="DF386" s="35"/>
      <c r="DG386" s="35"/>
      <c r="DH386" s="35"/>
      <c r="DI386" s="35"/>
      <c r="DJ386" s="35"/>
      <c r="DK386" s="35"/>
      <c r="DL386" s="35"/>
      <c r="DM386" s="35"/>
      <c r="DN386" s="35"/>
      <c r="DO386" s="35"/>
      <c r="DP386" s="35"/>
      <c r="DQ386" s="35"/>
      <c r="DR386" s="35"/>
      <c r="DS386" s="35"/>
      <c r="DT386" s="35"/>
      <c r="DU386" s="35"/>
      <c r="DV386" s="35">
        <v>75</v>
      </c>
      <c r="DW386" s="61">
        <f t="shared" si="17"/>
        <v>0</v>
      </c>
    </row>
    <row r="387" spans="1:151" s="5" customFormat="1" x14ac:dyDescent="0.2">
      <c r="A387" s="39" t="s">
        <v>130</v>
      </c>
      <c r="B387" s="61">
        <f t="shared" si="22"/>
        <v>60</v>
      </c>
      <c r="C387" s="52">
        <v>5</v>
      </c>
      <c r="D387" s="69">
        <v>44879</v>
      </c>
      <c r="E387" s="65">
        <v>39.78</v>
      </c>
      <c r="F387" s="62">
        <f t="shared" si="20"/>
        <v>2386.8000000000002</v>
      </c>
      <c r="G387" s="60">
        <v>60</v>
      </c>
      <c r="H387" s="35">
        <v>60</v>
      </c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1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  <c r="AY387" s="35"/>
      <c r="AZ387" s="35"/>
      <c r="BA387" s="35"/>
      <c r="BB387" s="35"/>
      <c r="BC387" s="35"/>
      <c r="BD387" s="35"/>
      <c r="BE387" s="35"/>
      <c r="BF387" s="35"/>
      <c r="BG387" s="35"/>
      <c r="BH387" s="35"/>
      <c r="BI387" s="35"/>
      <c r="BJ387" s="35"/>
      <c r="BK387" s="35"/>
      <c r="BL387" s="35"/>
      <c r="BM387" s="35"/>
      <c r="BN387" s="35"/>
      <c r="BO387" s="35"/>
      <c r="BP387" s="35"/>
      <c r="BQ387" s="35"/>
      <c r="BR387" s="35"/>
      <c r="BS387" s="35"/>
      <c r="BT387" s="35"/>
      <c r="BU387" s="35"/>
      <c r="BV387" s="35"/>
      <c r="BW387" s="35"/>
      <c r="BX387" s="35"/>
      <c r="BY387" s="35"/>
      <c r="BZ387" s="35"/>
      <c r="CA387" s="35"/>
      <c r="CB387" s="35"/>
      <c r="CC387" s="35"/>
      <c r="CD387" s="35"/>
      <c r="CE387" s="35"/>
      <c r="CF387" s="35"/>
      <c r="CG387" s="35"/>
      <c r="CH387" s="35"/>
      <c r="CI387" s="35"/>
      <c r="CJ387" s="35"/>
      <c r="CK387" s="35"/>
      <c r="CL387" s="35"/>
      <c r="CM387" s="35"/>
      <c r="CN387" s="35"/>
      <c r="CO387" s="35"/>
      <c r="CP387" s="35"/>
      <c r="CQ387" s="35"/>
      <c r="CR387" s="35"/>
      <c r="CS387" s="35"/>
      <c r="CT387" s="35"/>
      <c r="CU387" s="35"/>
      <c r="CV387" s="35"/>
      <c r="CW387" s="35"/>
      <c r="CX387" s="35"/>
      <c r="CY387" s="35"/>
      <c r="CZ387" s="35"/>
      <c r="DA387" s="35"/>
      <c r="DB387" s="35"/>
      <c r="DC387" s="35"/>
      <c r="DD387" s="35"/>
      <c r="DE387" s="35"/>
      <c r="DF387" s="35"/>
      <c r="DG387" s="35"/>
      <c r="DH387" s="35"/>
      <c r="DI387" s="35"/>
      <c r="DJ387" s="35"/>
      <c r="DK387" s="35"/>
      <c r="DL387" s="35"/>
      <c r="DM387" s="35"/>
      <c r="DN387" s="35"/>
      <c r="DO387" s="35"/>
      <c r="DP387" s="35"/>
      <c r="DQ387" s="35"/>
      <c r="DR387" s="35"/>
      <c r="DS387" s="35"/>
      <c r="DT387" s="35"/>
      <c r="DU387" s="35"/>
      <c r="DV387" s="35"/>
      <c r="DW387" s="61">
        <f t="shared" si="17"/>
        <v>0</v>
      </c>
    </row>
    <row r="388" spans="1:151" s="5" customFormat="1" x14ac:dyDescent="0.2">
      <c r="A388" s="39" t="s">
        <v>52</v>
      </c>
      <c r="B388" s="61">
        <f t="shared" si="22"/>
        <v>25</v>
      </c>
      <c r="C388" s="52">
        <v>25</v>
      </c>
      <c r="D388" s="69">
        <v>44662</v>
      </c>
      <c r="E388" s="65">
        <v>35.29</v>
      </c>
      <c r="F388" s="62">
        <f t="shared" si="20"/>
        <v>882.25</v>
      </c>
      <c r="G388" s="60">
        <v>25</v>
      </c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1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  <c r="AY388" s="35"/>
      <c r="AZ388" s="35"/>
      <c r="BA388" s="35"/>
      <c r="BB388" s="35"/>
      <c r="BC388" s="35"/>
      <c r="BD388" s="35"/>
      <c r="BE388" s="35"/>
      <c r="BF388" s="35"/>
      <c r="BG388" s="35"/>
      <c r="BH388" s="35"/>
      <c r="BI388" s="35"/>
      <c r="BJ388" s="35"/>
      <c r="BK388" s="35"/>
      <c r="BL388" s="35"/>
      <c r="BM388" s="35"/>
      <c r="BN388" s="35"/>
      <c r="BO388" s="35"/>
      <c r="BP388" s="35"/>
      <c r="BQ388" s="35">
        <v>25</v>
      </c>
      <c r="BR388" s="35"/>
      <c r="BS388" s="35"/>
      <c r="BT388" s="35"/>
      <c r="BU388" s="35"/>
      <c r="BV388" s="35"/>
      <c r="BW388" s="35"/>
      <c r="BX388" s="35"/>
      <c r="BY388" s="35"/>
      <c r="BZ388" s="35"/>
      <c r="CA388" s="35"/>
      <c r="CB388" s="35"/>
      <c r="CC388" s="35"/>
      <c r="CD388" s="35"/>
      <c r="CE388" s="35"/>
      <c r="CF388" s="35"/>
      <c r="CG388" s="35"/>
      <c r="CH388" s="35"/>
      <c r="CI388" s="35"/>
      <c r="CJ388" s="35"/>
      <c r="CK388" s="35"/>
      <c r="CL388" s="35"/>
      <c r="CM388" s="35"/>
      <c r="CN388" s="35"/>
      <c r="CO388" s="35"/>
      <c r="CP388" s="35"/>
      <c r="CQ388" s="35"/>
      <c r="CR388" s="35"/>
      <c r="CS388" s="35"/>
      <c r="CT388" s="35"/>
      <c r="CU388" s="35"/>
      <c r="CV388" s="35"/>
      <c r="CW388" s="35"/>
      <c r="CX388" s="35"/>
      <c r="CY388" s="35"/>
      <c r="CZ388" s="35"/>
      <c r="DA388" s="35"/>
      <c r="DB388" s="35"/>
      <c r="DC388" s="35"/>
      <c r="DD388" s="35"/>
      <c r="DE388" s="35"/>
      <c r="DF388" s="35"/>
      <c r="DG388" s="35"/>
      <c r="DH388" s="35"/>
      <c r="DI388" s="35"/>
      <c r="DJ388" s="35"/>
      <c r="DK388" s="35"/>
      <c r="DL388" s="35"/>
      <c r="DM388" s="35"/>
      <c r="DN388" s="35"/>
      <c r="DO388" s="35"/>
      <c r="DP388" s="35"/>
      <c r="DQ388" s="35"/>
      <c r="DR388" s="35"/>
      <c r="DS388" s="35"/>
      <c r="DT388" s="35"/>
      <c r="DU388" s="35"/>
      <c r="DV388" s="35"/>
      <c r="DW388" s="61">
        <f t="shared" ref="DW388:DW394" si="23">$B388-SUMIF($G$3:$IK$3,"",$G388:$IK388)</f>
        <v>0</v>
      </c>
    </row>
    <row r="389" spans="1:151" s="5" customFormat="1" x14ac:dyDescent="0.2">
      <c r="A389" s="47" t="s">
        <v>52</v>
      </c>
      <c r="B389" s="61">
        <f t="shared" si="22"/>
        <v>25</v>
      </c>
      <c r="C389" s="52">
        <v>25</v>
      </c>
      <c r="D389" s="69">
        <v>44879</v>
      </c>
      <c r="E389" s="65">
        <v>27.99</v>
      </c>
      <c r="F389" s="62">
        <f t="shared" si="20"/>
        <v>699.75</v>
      </c>
      <c r="G389" s="60">
        <v>25</v>
      </c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1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  <c r="AY389" s="35"/>
      <c r="AZ389" s="35"/>
      <c r="BA389" s="35"/>
      <c r="BB389" s="35"/>
      <c r="BC389" s="35"/>
      <c r="BD389" s="35"/>
      <c r="BE389" s="35"/>
      <c r="BF389" s="35"/>
      <c r="BG389" s="35"/>
      <c r="BH389" s="35"/>
      <c r="BI389" s="35"/>
      <c r="BJ389" s="35"/>
      <c r="BK389" s="35"/>
      <c r="BL389" s="35"/>
      <c r="BM389" s="35"/>
      <c r="BN389" s="35"/>
      <c r="BO389" s="35"/>
      <c r="BP389" s="35"/>
      <c r="BQ389" s="35">
        <v>25</v>
      </c>
      <c r="BR389" s="35"/>
      <c r="BS389" s="35"/>
      <c r="BT389" s="35"/>
      <c r="BU389" s="35"/>
      <c r="BV389" s="35"/>
      <c r="BW389" s="35"/>
      <c r="BX389" s="35"/>
      <c r="BY389" s="35"/>
      <c r="BZ389" s="35"/>
      <c r="CA389" s="35"/>
      <c r="CB389" s="35"/>
      <c r="CC389" s="35"/>
      <c r="CD389" s="35"/>
      <c r="CE389" s="35"/>
      <c r="CF389" s="35"/>
      <c r="CG389" s="35"/>
      <c r="CH389" s="35"/>
      <c r="CI389" s="35"/>
      <c r="CJ389" s="35"/>
      <c r="CK389" s="35"/>
      <c r="CL389" s="35"/>
      <c r="CM389" s="35"/>
      <c r="CN389" s="35"/>
      <c r="CO389" s="35"/>
      <c r="CP389" s="35"/>
      <c r="CQ389" s="35"/>
      <c r="CR389" s="35"/>
      <c r="CS389" s="35"/>
      <c r="CT389" s="35"/>
      <c r="CU389" s="35"/>
      <c r="CV389" s="35"/>
      <c r="CW389" s="35"/>
      <c r="CX389" s="35"/>
      <c r="CY389" s="35"/>
      <c r="CZ389" s="35"/>
      <c r="DA389" s="35"/>
      <c r="DB389" s="35"/>
      <c r="DC389" s="35"/>
      <c r="DD389" s="35"/>
      <c r="DE389" s="35"/>
      <c r="DF389" s="35"/>
      <c r="DG389" s="35"/>
      <c r="DH389" s="35"/>
      <c r="DI389" s="35"/>
      <c r="DJ389" s="35"/>
      <c r="DK389" s="35"/>
      <c r="DL389" s="35"/>
      <c r="DM389" s="35"/>
      <c r="DN389" s="35"/>
      <c r="DO389" s="35"/>
      <c r="DP389" s="35"/>
      <c r="DQ389" s="35"/>
      <c r="DR389" s="35"/>
      <c r="DS389" s="35"/>
      <c r="DT389" s="35"/>
      <c r="DU389" s="35"/>
      <c r="DV389" s="35"/>
      <c r="DW389" s="61">
        <f t="shared" si="23"/>
        <v>0</v>
      </c>
    </row>
    <row r="390" spans="1:151" s="5" customFormat="1" x14ac:dyDescent="0.2">
      <c r="A390" s="39" t="s">
        <v>145</v>
      </c>
      <c r="B390" s="61">
        <f t="shared" si="22"/>
        <v>175</v>
      </c>
      <c r="C390" s="52">
        <v>25</v>
      </c>
      <c r="D390" s="69">
        <v>44879</v>
      </c>
      <c r="E390" s="65">
        <v>36.19</v>
      </c>
      <c r="F390" s="62">
        <f t="shared" si="20"/>
        <v>6333.25</v>
      </c>
      <c r="G390" s="60">
        <v>425</v>
      </c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15"/>
      <c r="V390" s="35"/>
      <c r="W390" s="35"/>
      <c r="X390" s="35"/>
      <c r="Y390" s="35"/>
      <c r="Z390" s="35"/>
      <c r="AA390" s="35"/>
      <c r="AB390" s="35"/>
      <c r="AC390" s="35"/>
      <c r="AD390" s="35">
        <v>75</v>
      </c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>
        <v>25</v>
      </c>
      <c r="AX390" s="35">
        <v>150</v>
      </c>
      <c r="AY390" s="35"/>
      <c r="AZ390" s="35"/>
      <c r="BA390" s="35"/>
      <c r="BB390" s="35"/>
      <c r="BC390" s="35"/>
      <c r="BD390" s="35"/>
      <c r="BE390" s="35"/>
      <c r="BF390" s="35"/>
      <c r="BG390" s="35"/>
      <c r="BH390" s="35"/>
      <c r="BI390" s="35"/>
      <c r="BJ390" s="35"/>
      <c r="BK390" s="35"/>
      <c r="BL390" s="35"/>
      <c r="BM390" s="35"/>
      <c r="BN390" s="35"/>
      <c r="BO390" s="35"/>
      <c r="BP390" s="35"/>
      <c r="BQ390" s="35"/>
      <c r="BR390" s="35"/>
      <c r="BS390" s="35"/>
      <c r="BT390" s="35"/>
      <c r="BU390" s="35"/>
      <c r="BV390" s="35"/>
      <c r="BW390" s="35"/>
      <c r="BX390" s="35"/>
      <c r="BY390" s="35"/>
      <c r="BZ390" s="35"/>
      <c r="CA390" s="35"/>
      <c r="CB390" s="35"/>
      <c r="CC390" s="35"/>
      <c r="CD390" s="35"/>
      <c r="CE390" s="35"/>
      <c r="CF390" s="35"/>
      <c r="CG390" s="35"/>
      <c r="CH390" s="35"/>
      <c r="CI390" s="35"/>
      <c r="CJ390" s="35"/>
      <c r="CK390" s="35"/>
      <c r="CL390" s="35"/>
      <c r="CM390" s="35"/>
      <c r="CN390" s="35"/>
      <c r="CO390" s="35"/>
      <c r="CP390" s="35"/>
      <c r="CQ390" s="35"/>
      <c r="CR390" s="35"/>
      <c r="CS390" s="35"/>
      <c r="CT390" s="35"/>
      <c r="CU390" s="35"/>
      <c r="CV390" s="35"/>
      <c r="CW390" s="35"/>
      <c r="CX390" s="35"/>
      <c r="CY390" s="35"/>
      <c r="CZ390" s="35"/>
      <c r="DA390" s="35"/>
      <c r="DB390" s="35"/>
      <c r="DC390" s="35"/>
      <c r="DD390" s="35"/>
      <c r="DE390" s="35"/>
      <c r="DF390" s="35"/>
      <c r="DG390" s="35"/>
      <c r="DH390" s="35"/>
      <c r="DI390" s="35"/>
      <c r="DJ390" s="35"/>
      <c r="DK390" s="35"/>
      <c r="DL390" s="35"/>
      <c r="DM390" s="35"/>
      <c r="DN390" s="35"/>
      <c r="DO390" s="35"/>
      <c r="DP390" s="35"/>
      <c r="DQ390" s="35"/>
      <c r="DR390" s="35"/>
      <c r="DS390" s="35"/>
      <c r="DT390" s="35"/>
      <c r="DU390" s="35"/>
      <c r="DV390" s="35">
        <v>175</v>
      </c>
      <c r="DW390" s="61">
        <f t="shared" si="23"/>
        <v>0</v>
      </c>
    </row>
    <row r="391" spans="1:151" s="5" customFormat="1" x14ac:dyDescent="0.2">
      <c r="A391" s="39" t="s">
        <v>145</v>
      </c>
      <c r="B391" s="61">
        <f t="shared" si="22"/>
        <v>700</v>
      </c>
      <c r="C391" s="52">
        <v>25</v>
      </c>
      <c r="D391" s="69">
        <v>44949</v>
      </c>
      <c r="E391" s="65">
        <v>34.6</v>
      </c>
      <c r="F391" s="62">
        <f t="shared" si="20"/>
        <v>24220</v>
      </c>
      <c r="G391" s="60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1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BH391" s="35"/>
      <c r="BI391" s="35"/>
      <c r="BJ391" s="35"/>
      <c r="BK391" s="35"/>
      <c r="BL391" s="35"/>
      <c r="BM391" s="35"/>
      <c r="BN391" s="35"/>
      <c r="BO391" s="35"/>
      <c r="BP391" s="35"/>
      <c r="BQ391" s="35"/>
      <c r="BR391" s="35"/>
      <c r="BS391" s="35"/>
      <c r="BT391" s="35"/>
      <c r="BU391" s="35"/>
      <c r="BV391" s="35"/>
      <c r="BW391" s="35"/>
      <c r="BX391" s="35"/>
      <c r="BY391" s="35"/>
      <c r="BZ391" s="35"/>
      <c r="CA391" s="35"/>
      <c r="CB391" s="35"/>
      <c r="CC391" s="35"/>
      <c r="CD391" s="35"/>
      <c r="CE391" s="35"/>
      <c r="CF391" s="35"/>
      <c r="CG391" s="35"/>
      <c r="CH391" s="35"/>
      <c r="CI391" s="35"/>
      <c r="CJ391" s="35"/>
      <c r="CK391" s="35"/>
      <c r="CL391" s="35"/>
      <c r="CM391" s="35"/>
      <c r="CN391" s="35"/>
      <c r="CO391" s="35"/>
      <c r="CP391" s="35"/>
      <c r="CQ391" s="35"/>
      <c r="CR391" s="35"/>
      <c r="CS391" s="35"/>
      <c r="CT391" s="35">
        <v>700</v>
      </c>
      <c r="CU391" s="35"/>
      <c r="CV391" s="35"/>
      <c r="CW391" s="35"/>
      <c r="CX391" s="35"/>
      <c r="CY391" s="35"/>
      <c r="CZ391" s="35"/>
      <c r="DA391" s="35"/>
      <c r="DB391" s="35"/>
      <c r="DC391" s="35"/>
      <c r="DD391" s="35"/>
      <c r="DE391" s="35"/>
      <c r="DF391" s="35"/>
      <c r="DG391" s="35"/>
      <c r="DH391" s="35"/>
      <c r="DI391" s="35"/>
      <c r="DJ391" s="35"/>
      <c r="DK391" s="35"/>
      <c r="DL391" s="35"/>
      <c r="DM391" s="35"/>
      <c r="DN391" s="35"/>
      <c r="DO391" s="35"/>
      <c r="DP391" s="35"/>
      <c r="DQ391" s="35"/>
      <c r="DR391" s="35"/>
      <c r="DS391" s="35"/>
      <c r="DT391" s="35"/>
      <c r="DU391" s="35"/>
      <c r="DV391" s="35">
        <v>700</v>
      </c>
      <c r="DW391" s="61">
        <f t="shared" si="23"/>
        <v>0</v>
      </c>
    </row>
    <row r="392" spans="1:151" s="5" customFormat="1" x14ac:dyDescent="0.2">
      <c r="A392" s="23" t="s">
        <v>64</v>
      </c>
      <c r="B392" s="61">
        <f t="shared" si="22"/>
        <v>50</v>
      </c>
      <c r="C392" s="52">
        <v>25</v>
      </c>
      <c r="D392" s="59">
        <v>44755</v>
      </c>
      <c r="E392" s="62">
        <v>47.28</v>
      </c>
      <c r="F392" s="62">
        <f t="shared" si="20"/>
        <v>2364</v>
      </c>
      <c r="G392" s="60">
        <v>50</v>
      </c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1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  <c r="AY392" s="35"/>
      <c r="AZ392" s="35"/>
      <c r="BA392" s="35"/>
      <c r="BB392" s="35"/>
      <c r="BC392" s="35"/>
      <c r="BD392" s="35"/>
      <c r="BE392" s="35"/>
      <c r="BF392" s="35"/>
      <c r="BG392" s="35"/>
      <c r="BH392" s="35"/>
      <c r="BI392" s="35"/>
      <c r="BJ392" s="35"/>
      <c r="BK392" s="35"/>
      <c r="BL392" s="35"/>
      <c r="BM392" s="35"/>
      <c r="BN392" s="35"/>
      <c r="BO392" s="35"/>
      <c r="BP392" s="35"/>
      <c r="BQ392" s="35"/>
      <c r="BR392" s="35"/>
      <c r="BS392" s="35"/>
      <c r="BT392" s="35"/>
      <c r="BU392" s="35"/>
      <c r="BV392" s="35"/>
      <c r="BW392" s="35"/>
      <c r="BX392" s="35"/>
      <c r="BY392" s="35"/>
      <c r="BZ392" s="35"/>
      <c r="CA392" s="35"/>
      <c r="CB392" s="35"/>
      <c r="CC392" s="35"/>
      <c r="CD392" s="35"/>
      <c r="CE392" s="35"/>
      <c r="CF392" s="35"/>
      <c r="CG392" s="35"/>
      <c r="CH392" s="35"/>
      <c r="CI392" s="35"/>
      <c r="CJ392" s="35"/>
      <c r="CK392" s="35"/>
      <c r="CL392" s="35"/>
      <c r="CM392" s="35"/>
      <c r="CN392" s="35"/>
      <c r="CO392" s="35"/>
      <c r="CP392" s="35"/>
      <c r="CQ392" s="35"/>
      <c r="CR392" s="35"/>
      <c r="CS392" s="35"/>
      <c r="CT392" s="35"/>
      <c r="CU392" s="35"/>
      <c r="CV392" s="35"/>
      <c r="CW392" s="35"/>
      <c r="CX392" s="35"/>
      <c r="CY392" s="35"/>
      <c r="CZ392" s="35"/>
      <c r="DA392" s="35"/>
      <c r="DB392" s="35"/>
      <c r="DC392" s="35"/>
      <c r="DD392" s="35"/>
      <c r="DE392" s="35"/>
      <c r="DF392" s="35"/>
      <c r="DG392" s="35"/>
      <c r="DH392" s="35"/>
      <c r="DI392" s="35"/>
      <c r="DJ392" s="35"/>
      <c r="DK392" s="35"/>
      <c r="DL392" s="35"/>
      <c r="DM392" s="35"/>
      <c r="DN392" s="35"/>
      <c r="DO392" s="35"/>
      <c r="DP392" s="35"/>
      <c r="DQ392" s="35"/>
      <c r="DR392" s="35"/>
      <c r="DS392" s="35"/>
      <c r="DT392" s="35"/>
      <c r="DU392" s="35"/>
      <c r="DV392" s="35">
        <v>50</v>
      </c>
      <c r="DW392" s="61">
        <f t="shared" si="23"/>
        <v>0</v>
      </c>
    </row>
    <row r="393" spans="1:151" s="5" customFormat="1" ht="15" x14ac:dyDescent="0.25">
      <c r="A393" s="73" t="s">
        <v>21</v>
      </c>
      <c r="B393" s="74">
        <f>SUM(B385:B392)</f>
        <v>1110</v>
      </c>
      <c r="C393" s="75"/>
      <c r="D393" s="76"/>
      <c r="E393" s="77"/>
      <c r="F393" s="62">
        <f>E393*B393</f>
        <v>0</v>
      </c>
      <c r="G393" s="74">
        <f>SUM(G385:G392)</f>
        <v>660</v>
      </c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110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  <c r="AY393" s="35"/>
      <c r="AZ393" s="35"/>
      <c r="BA393" s="35"/>
      <c r="BB393" s="35"/>
      <c r="BC393" s="35"/>
      <c r="BD393" s="35"/>
      <c r="BE393" s="35"/>
      <c r="BF393" s="35"/>
      <c r="BG393" s="35"/>
      <c r="BH393" s="35"/>
      <c r="BI393" s="35"/>
      <c r="BJ393" s="35"/>
      <c r="BK393" s="35"/>
      <c r="BL393" s="35"/>
      <c r="BM393" s="35"/>
      <c r="BN393" s="35"/>
      <c r="BO393" s="35"/>
      <c r="BP393" s="35"/>
      <c r="BQ393" s="35"/>
      <c r="BR393" s="35"/>
      <c r="BS393" s="35"/>
      <c r="BT393" s="35"/>
      <c r="BU393" s="35"/>
      <c r="BV393" s="35"/>
      <c r="BW393" s="35"/>
      <c r="BX393" s="35"/>
      <c r="BY393" s="35"/>
      <c r="BZ393" s="35"/>
      <c r="CA393" s="35"/>
      <c r="CB393" s="35"/>
      <c r="CC393" s="35"/>
      <c r="CD393" s="35"/>
      <c r="CE393" s="35"/>
      <c r="CF393" s="35"/>
      <c r="CG393" s="35"/>
      <c r="CH393" s="35"/>
      <c r="CI393" s="35"/>
      <c r="CJ393" s="35"/>
      <c r="CK393" s="35"/>
      <c r="CL393" s="35"/>
      <c r="CM393" s="35"/>
      <c r="CN393" s="35"/>
      <c r="CO393" s="35"/>
      <c r="CP393" s="35"/>
      <c r="CQ393" s="35"/>
      <c r="CR393" s="35"/>
      <c r="CS393" s="35"/>
      <c r="CT393" s="35"/>
      <c r="CU393" s="35"/>
      <c r="CV393" s="35"/>
      <c r="CW393" s="35"/>
      <c r="CX393" s="35"/>
      <c r="CY393" s="35"/>
      <c r="CZ393" s="35"/>
      <c r="DA393" s="35"/>
      <c r="DB393" s="35"/>
      <c r="DC393" s="35"/>
      <c r="DD393" s="35"/>
      <c r="DE393" s="35"/>
      <c r="DF393" s="35"/>
      <c r="DG393" s="35"/>
      <c r="DH393" s="35"/>
      <c r="DI393" s="35"/>
      <c r="DJ393" s="35"/>
      <c r="DK393" s="35"/>
      <c r="DL393" s="35"/>
      <c r="DM393" s="35"/>
      <c r="DN393" s="35"/>
      <c r="DO393" s="35"/>
      <c r="DP393" s="35"/>
      <c r="DQ393" s="35"/>
      <c r="DR393" s="35"/>
      <c r="DS393" s="35"/>
      <c r="DT393" s="35"/>
      <c r="DU393" s="35"/>
      <c r="DV393" s="35"/>
      <c r="DW393" s="74">
        <f t="shared" si="23"/>
        <v>1110</v>
      </c>
    </row>
    <row r="394" spans="1:151" ht="15" x14ac:dyDescent="0.25">
      <c r="A394" s="73" t="s">
        <v>22</v>
      </c>
      <c r="B394" s="74">
        <f>B305+B384+B393</f>
        <v>7108.8</v>
      </c>
      <c r="C394" s="78"/>
      <c r="D394" s="78"/>
      <c r="E394" s="78"/>
      <c r="F394" s="62">
        <f>E394*B394</f>
        <v>0</v>
      </c>
      <c r="G394" s="74">
        <f>G305+G384+G393</f>
        <v>7664.4000000000005</v>
      </c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110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  <c r="AY394" s="35"/>
      <c r="AZ394" s="35"/>
      <c r="BA394" s="35"/>
      <c r="BB394" s="35"/>
      <c r="BC394" s="35"/>
      <c r="BD394" s="35"/>
      <c r="BE394" s="35"/>
      <c r="BF394" s="35"/>
      <c r="BG394" s="35"/>
      <c r="BH394" s="35"/>
      <c r="BI394" s="35"/>
      <c r="BJ394" s="35"/>
      <c r="BK394" s="35"/>
      <c r="BL394" s="35"/>
      <c r="BM394" s="35"/>
      <c r="BN394" s="35"/>
      <c r="BO394" s="35"/>
      <c r="BP394" s="35"/>
      <c r="BQ394" s="35"/>
      <c r="BR394" s="35"/>
      <c r="BS394" s="35"/>
      <c r="BT394" s="35"/>
      <c r="BU394" s="35"/>
      <c r="BV394" s="35"/>
      <c r="BW394" s="35"/>
      <c r="BX394" s="35"/>
      <c r="BY394" s="35"/>
      <c r="BZ394" s="35"/>
      <c r="CA394" s="35"/>
      <c r="CB394" s="35"/>
      <c r="CC394" s="35"/>
      <c r="CD394" s="35"/>
      <c r="CE394" s="35"/>
      <c r="CF394" s="35"/>
      <c r="CG394" s="35"/>
      <c r="CH394" s="35"/>
      <c r="CI394" s="35"/>
      <c r="CJ394" s="35"/>
      <c r="CK394" s="35"/>
      <c r="CL394" s="35"/>
      <c r="CM394" s="35"/>
      <c r="CN394" s="35"/>
      <c r="CO394" s="35"/>
      <c r="CP394" s="35"/>
      <c r="CQ394" s="35"/>
      <c r="CR394" s="35"/>
      <c r="CS394" s="35"/>
      <c r="CT394" s="35"/>
      <c r="CU394" s="35"/>
      <c r="CV394" s="35"/>
      <c r="CW394" s="35"/>
      <c r="CX394" s="35"/>
      <c r="CY394" s="35"/>
      <c r="CZ394" s="35"/>
      <c r="DA394" s="35"/>
      <c r="DB394" s="35"/>
      <c r="DC394" s="35"/>
      <c r="DD394" s="35"/>
      <c r="DE394" s="35"/>
      <c r="DF394" s="35"/>
      <c r="DG394" s="35"/>
      <c r="DH394" s="35"/>
      <c r="DI394" s="35"/>
      <c r="DJ394" s="35"/>
      <c r="DK394" s="35"/>
      <c r="DL394" s="35"/>
      <c r="DM394" s="35"/>
      <c r="DN394" s="35"/>
      <c r="DO394" s="35"/>
      <c r="DP394" s="35"/>
      <c r="DQ394" s="35"/>
      <c r="DR394" s="35"/>
      <c r="DS394" s="35"/>
      <c r="DT394" s="35"/>
      <c r="DU394" s="35"/>
      <c r="DV394" s="35"/>
      <c r="DW394" s="74">
        <f t="shared" si="23"/>
        <v>7108.8</v>
      </c>
      <c r="DX394" s="5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DW4:DW394">
    <cfRule type="cellIs" dxfId="0" priority="3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2020-01-08T08:36:04Z</cp:lastPrinted>
  <dcterms:modified xsi:type="dcterms:W3CDTF">2023-03-06T13:30:12Z</dcterms:modified>
</cp:coreProperties>
</file>