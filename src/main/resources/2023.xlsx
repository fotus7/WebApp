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Java\ExcelParser\src\main\resources\"/>
    </mc:Choice>
  </mc:AlternateContent>
  <xr:revisionPtr revIDLastSave="0" documentId="13_ncr:1_{0B2AEC1D-3D2C-4257-9E81-6C894BF8BDDB}" xr6:coauthVersionLast="47" xr6:coauthVersionMax="47" xr10:uidLastSave="{00000000-0000-0000-0000-000000000000}"/>
  <bookViews>
    <workbookView xWindow="-108" yWindow="-108" windowWidth="23256" windowHeight="12576" tabRatio="755" xr2:uid="{00000000-000D-0000-FFFF-FFFF00000000}"/>
  </bookViews>
  <sheets>
    <sheet name="отгрузка" sheetId="10" r:id="rId1"/>
    <sheet name="склад" sheetId="11" r:id="rId2"/>
  </sheets>
  <definedNames>
    <definedName name="_xlnm._FilterDatabase" localSheetId="0" hidden="1">отгрузка!$A$1:$RG$52</definedName>
    <definedName name="_xlnm._FilterDatabase" localSheetId="1" hidden="1">склад!$A$1:$DW$394</definedName>
    <definedName name="_xlnm.Print_Area" localSheetId="0">отгрузка!$A$1:$RG$52</definedName>
    <definedName name="_xlnm.Print_Area" localSheetId="1">склад!$A$1:$DW$394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F50" i="10" l="1"/>
  <c r="B234" i="11"/>
  <c r="F234" i="11" s="1"/>
  <c r="B194" i="11"/>
  <c r="F194" i="11" s="1"/>
  <c r="B83" i="11"/>
  <c r="F83" i="11" s="1"/>
  <c r="B73" i="11"/>
  <c r="F73" i="11" s="1"/>
  <c r="B25" i="11"/>
  <c r="F25" i="11" s="1"/>
  <c r="DW25" i="11" l="1"/>
  <c r="DW194" i="11"/>
  <c r="DW234" i="11"/>
  <c r="DW83" i="11"/>
  <c r="DW73" i="11"/>
  <c r="RF35" i="10" l="1"/>
  <c r="RF52" i="10" s="1"/>
  <c r="RA19" i="10" l="1"/>
  <c r="RA52" i="10" s="1"/>
  <c r="RE45" i="10" l="1"/>
  <c r="QW52" i="10"/>
  <c r="B348" i="11" l="1"/>
  <c r="F348" i="11" s="1"/>
  <c r="DW348" i="11" l="1"/>
  <c r="RB45" i="10" l="1"/>
  <c r="RB5" i="10"/>
  <c r="RB6" i="10"/>
  <c r="RB9" i="10"/>
  <c r="RB7" i="10"/>
  <c r="RB10" i="10"/>
  <c r="RB15" i="10"/>
  <c r="RB14" i="10"/>
  <c r="RB16" i="10"/>
  <c r="RB22" i="10"/>
  <c r="RB21" i="10"/>
  <c r="RB19" i="10"/>
  <c r="RB24" i="10"/>
  <c r="RB29" i="10"/>
  <c r="RB25" i="10"/>
  <c r="RB34" i="10"/>
  <c r="RB35" i="10"/>
  <c r="RB37" i="10"/>
  <c r="RB42" i="10"/>
  <c r="RB47" i="10"/>
  <c r="RB48" i="10"/>
  <c r="RB41" i="10"/>
  <c r="RB39" i="10"/>
  <c r="RB44" i="10"/>
  <c r="RB43" i="10"/>
  <c r="RB40" i="10"/>
  <c r="RB51" i="10"/>
  <c r="RB50" i="10"/>
  <c r="RB46" i="10"/>
  <c r="RD45" i="10" l="1"/>
  <c r="RG45" i="10" l="1"/>
  <c r="QY45" i="10"/>
  <c r="RD40" i="10" l="1"/>
  <c r="RG40" i="10"/>
  <c r="QY40" i="10"/>
  <c r="RG51" i="10"/>
  <c r="RD50" i="10"/>
  <c r="RD51" i="10"/>
  <c r="RG50" i="10"/>
  <c r="QY50" i="10"/>
  <c r="QY51" i="10"/>
  <c r="RD46" i="10"/>
  <c r="RG46" i="10"/>
  <c r="QY46" i="10"/>
  <c r="RB49" i="10"/>
  <c r="RD49" i="10" s="1"/>
  <c r="RG49" i="10"/>
  <c r="QY49" i="10"/>
  <c r="RD47" i="10"/>
  <c r="RG47" i="10"/>
  <c r="QY47" i="10"/>
  <c r="RD48" i="10"/>
  <c r="RG48" i="10"/>
  <c r="QY48" i="10"/>
  <c r="RD41" i="10"/>
  <c r="RG41" i="10"/>
  <c r="QY41" i="10"/>
  <c r="RD39" i="10" l="1"/>
  <c r="RG39" i="10"/>
  <c r="QY39" i="10"/>
  <c r="RD44" i="10"/>
  <c r="RG44" i="10"/>
  <c r="RD43" i="10"/>
  <c r="RG43" i="10"/>
  <c r="QY43" i="10"/>
  <c r="QY44" i="10"/>
  <c r="RD42" i="10"/>
  <c r="RG42" i="10"/>
  <c r="QY42" i="10"/>
  <c r="RD37" i="10" l="1"/>
  <c r="RG37" i="10"/>
  <c r="QY37" i="10"/>
  <c r="B287" i="11"/>
  <c r="F287" i="11" s="1"/>
  <c r="B283" i="11"/>
  <c r="F283" i="11" s="1"/>
  <c r="B191" i="11"/>
  <c r="F191" i="11" s="1"/>
  <c r="B138" i="11"/>
  <c r="F138" i="11" s="1"/>
  <c r="B117" i="11"/>
  <c r="DW117" i="11" s="1"/>
  <c r="B108" i="11"/>
  <c r="F108" i="11" s="1"/>
  <c r="B62" i="11"/>
  <c r="F62" i="11" s="1"/>
  <c r="B63" i="11"/>
  <c r="F63" i="11" s="1"/>
  <c r="B53" i="11"/>
  <c r="F53" i="11" s="1"/>
  <c r="B34" i="11"/>
  <c r="F34" i="11" s="1"/>
  <c r="B28" i="11"/>
  <c r="F28" i="11" s="1"/>
  <c r="B23" i="11"/>
  <c r="F23" i="11" s="1"/>
  <c r="RE38" i="10"/>
  <c r="RB38" i="10" s="1"/>
  <c r="RD38" i="10" s="1"/>
  <c r="RG38" i="10"/>
  <c r="QY38" i="10"/>
  <c r="DW287" i="11" l="1"/>
  <c r="DW283" i="11"/>
  <c r="DW191" i="11"/>
  <c r="DW138" i="11"/>
  <c r="F117" i="11"/>
  <c r="DW108" i="11"/>
  <c r="DW63" i="11"/>
  <c r="DW62" i="11"/>
  <c r="DW53" i="11"/>
  <c r="DW34" i="11"/>
  <c r="DW28" i="11"/>
  <c r="DW23" i="11"/>
  <c r="RD35" i="10" l="1"/>
  <c r="RG35" i="10"/>
  <c r="QY35" i="10"/>
  <c r="RB36" i="10"/>
  <c r="RD36" i="10" s="1"/>
  <c r="RG36" i="10"/>
  <c r="QY36" i="10"/>
  <c r="RD34" i="10" l="1"/>
  <c r="RG34" i="10"/>
  <c r="QY34" i="10"/>
  <c r="RB33" i="10" l="1"/>
  <c r="RD33" i="10" s="1"/>
  <c r="RG33" i="10"/>
  <c r="QY33" i="10"/>
  <c r="RB31" i="10" l="1"/>
  <c r="RD31" i="10" s="1"/>
  <c r="RG31" i="10"/>
  <c r="QY31" i="10"/>
  <c r="RB32" i="10"/>
  <c r="RD32" i="10" s="1"/>
  <c r="RG32" i="10"/>
  <c r="QY32" i="10"/>
  <c r="RB27" i="10" l="1"/>
  <c r="RD27" i="10" s="1"/>
  <c r="RG27" i="10"/>
  <c r="QY27" i="10"/>
  <c r="RB30" i="10"/>
  <c r="RD30" i="10" s="1"/>
  <c r="RG30" i="10"/>
  <c r="QY30" i="10"/>
  <c r="RD29" i="10"/>
  <c r="RG29" i="10"/>
  <c r="QY29" i="10"/>
  <c r="QV52" i="10"/>
  <c r="RD25" i="10"/>
  <c r="RG25" i="10"/>
  <c r="QY25" i="10"/>
  <c r="RB28" i="10"/>
  <c r="RD28" i="10" s="1"/>
  <c r="RG28" i="10"/>
  <c r="QY28" i="10"/>
  <c r="QU52" i="10"/>
  <c r="QX52" i="10"/>
  <c r="RD24" i="10"/>
  <c r="RG24" i="10"/>
  <c r="QY24" i="10"/>
  <c r="RB23" i="10"/>
  <c r="RD23" i="10" s="1"/>
  <c r="RG23" i="10"/>
  <c r="QY23" i="10"/>
  <c r="RD22" i="10"/>
  <c r="RB26" i="10"/>
  <c r="RD26" i="10" s="1"/>
  <c r="RG26" i="10"/>
  <c r="RG22" i="10"/>
  <c r="QY22" i="10"/>
  <c r="QY26" i="10"/>
  <c r="B198" i="11" l="1"/>
  <c r="F198" i="11" s="1"/>
  <c r="B56" i="11"/>
  <c r="F56" i="11" s="1"/>
  <c r="B301" i="11"/>
  <c r="F301" i="11" s="1"/>
  <c r="B291" i="11"/>
  <c r="F291" i="11" s="1"/>
  <c r="B275" i="11"/>
  <c r="F275" i="11" s="1"/>
  <c r="B144" i="11"/>
  <c r="F144" i="11" s="1"/>
  <c r="B124" i="11"/>
  <c r="B82" i="11"/>
  <c r="F82" i="11" s="1"/>
  <c r="B8" i="11"/>
  <c r="F8" i="11" s="1"/>
  <c r="B92" i="11"/>
  <c r="F92" i="11" s="1"/>
  <c r="DW8" i="11" l="1"/>
  <c r="DW198" i="11"/>
  <c r="DW301" i="11"/>
  <c r="DW144" i="11"/>
  <c r="DW291" i="11"/>
  <c r="DW56" i="11"/>
  <c r="DW92" i="11"/>
  <c r="DW82" i="11"/>
  <c r="DW275" i="11"/>
  <c r="RG21" i="10"/>
  <c r="RD21" i="10"/>
  <c r="QY21" i="10"/>
  <c r="RC19" i="10" l="1"/>
  <c r="RG19" i="10" s="1"/>
  <c r="RD19" i="10"/>
  <c r="QY19" i="10"/>
  <c r="B391" i="11"/>
  <c r="DW391" i="11" s="1"/>
  <c r="RB20" i="10"/>
  <c r="RD20" i="10" s="1"/>
  <c r="RG20" i="10"/>
  <c r="QY20" i="10"/>
  <c r="F391" i="11" l="1"/>
  <c r="RD16" i="10" l="1"/>
  <c r="RG16" i="10"/>
  <c r="QY16" i="10"/>
  <c r="RB17" i="10" l="1"/>
  <c r="RD17" i="10" s="1"/>
  <c r="RB18" i="10"/>
  <c r="RD18" i="10" s="1"/>
  <c r="RG18" i="10"/>
  <c r="QY18" i="10"/>
  <c r="RG17" i="10"/>
  <c r="QY17" i="10"/>
  <c r="RD15" i="10" l="1"/>
  <c r="RG15" i="10"/>
  <c r="QY15" i="10"/>
  <c r="RD14" i="10"/>
  <c r="RG14" i="10"/>
  <c r="QY14" i="10"/>
  <c r="RE52" i="10" l="1"/>
  <c r="RG13" i="10" l="1"/>
  <c r="RB13" i="10"/>
  <c r="RD13" i="10" s="1"/>
  <c r="QY13" i="10"/>
  <c r="RB12" i="10" l="1"/>
  <c r="RD12" i="10" s="1"/>
  <c r="RG12" i="10"/>
  <c r="QY12" i="10"/>
  <c r="RB11" i="10" l="1"/>
  <c r="RD11" i="10" s="1"/>
  <c r="RG11" i="10"/>
  <c r="QY11" i="10"/>
  <c r="B386" i="11" l="1"/>
  <c r="B387" i="11"/>
  <c r="B388" i="11"/>
  <c r="B389" i="11"/>
  <c r="B392" i="11"/>
  <c r="B385" i="11"/>
  <c r="B382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06" i="11"/>
  <c r="B5" i="11"/>
  <c r="B6" i="11"/>
  <c r="B7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4" i="11"/>
  <c r="B26" i="11"/>
  <c r="B27" i="11"/>
  <c r="B29" i="11"/>
  <c r="B30" i="11"/>
  <c r="B31" i="11"/>
  <c r="B32" i="11"/>
  <c r="B33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4" i="11"/>
  <c r="B55" i="11"/>
  <c r="DW55" i="11" s="1"/>
  <c r="B57" i="11"/>
  <c r="B58" i="11"/>
  <c r="B59" i="11"/>
  <c r="B60" i="11"/>
  <c r="B61" i="11"/>
  <c r="B64" i="11"/>
  <c r="B65" i="11"/>
  <c r="B66" i="11"/>
  <c r="B67" i="11"/>
  <c r="B68" i="11"/>
  <c r="B69" i="11"/>
  <c r="B70" i="11"/>
  <c r="B71" i="11"/>
  <c r="B72" i="11"/>
  <c r="B74" i="11"/>
  <c r="B75" i="11"/>
  <c r="B76" i="11"/>
  <c r="B77" i="11"/>
  <c r="B78" i="11"/>
  <c r="B79" i="11"/>
  <c r="B80" i="11"/>
  <c r="B81" i="11"/>
  <c r="B84" i="11"/>
  <c r="B85" i="11"/>
  <c r="B86" i="11"/>
  <c r="B87" i="11"/>
  <c r="B88" i="11"/>
  <c r="B89" i="11"/>
  <c r="B90" i="11"/>
  <c r="B91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9" i="11"/>
  <c r="B110" i="11"/>
  <c r="B111" i="11"/>
  <c r="B112" i="11"/>
  <c r="B113" i="11"/>
  <c r="B114" i="11"/>
  <c r="B115" i="11"/>
  <c r="B116" i="11"/>
  <c r="B118" i="11"/>
  <c r="B119" i="11"/>
  <c r="B120" i="11"/>
  <c r="B121" i="11"/>
  <c r="B122" i="11"/>
  <c r="B123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9" i="11"/>
  <c r="B140" i="11"/>
  <c r="B141" i="11"/>
  <c r="B142" i="11"/>
  <c r="B143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2" i="11"/>
  <c r="B193" i="11"/>
  <c r="B195" i="11"/>
  <c r="B196" i="11"/>
  <c r="B197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5" i="11"/>
  <c r="DW235" i="11" s="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6" i="11"/>
  <c r="B277" i="11"/>
  <c r="B278" i="11"/>
  <c r="B279" i="11"/>
  <c r="B280" i="11"/>
  <c r="B281" i="11"/>
  <c r="B282" i="11"/>
  <c r="B284" i="11"/>
  <c r="B285" i="11"/>
  <c r="B286" i="11"/>
  <c r="B288" i="11"/>
  <c r="B289" i="11"/>
  <c r="B290" i="11"/>
  <c r="B292" i="11"/>
  <c r="B293" i="11"/>
  <c r="B294" i="11"/>
  <c r="B295" i="11"/>
  <c r="B296" i="11"/>
  <c r="B297" i="11"/>
  <c r="B298" i="11"/>
  <c r="B299" i="11"/>
  <c r="B300" i="11"/>
  <c r="B302" i="11"/>
  <c r="B303" i="11"/>
  <c r="F303" i="11" s="1"/>
  <c r="B304" i="11"/>
  <c r="B4" i="11"/>
  <c r="RD9" i="10"/>
  <c r="RG9" i="10"/>
  <c r="QY9" i="10"/>
  <c r="RD7" i="10"/>
  <c r="RG7" i="10"/>
  <c r="QY7" i="10"/>
  <c r="RD10" i="10" l="1"/>
  <c r="RG10" i="10"/>
  <c r="QY10" i="10"/>
  <c r="RB8" i="10"/>
  <c r="RD8" i="10" s="1"/>
  <c r="RG8" i="10"/>
  <c r="QY8" i="10"/>
  <c r="F219" i="11"/>
  <c r="F228" i="11"/>
  <c r="DW219" i="11" l="1"/>
  <c r="DW228" i="11"/>
  <c r="RD5" i="10" l="1"/>
  <c r="RG5" i="10"/>
  <c r="QY5" i="10"/>
  <c r="RD6" i="10" l="1"/>
  <c r="RG6" i="10"/>
  <c r="QY6" i="10"/>
  <c r="RB2" i="10" l="1"/>
  <c r="RD2" i="10" s="1"/>
  <c r="RG2" i="10"/>
  <c r="QY2" i="10"/>
  <c r="RB4" i="10" l="1"/>
  <c r="RD4" i="10" s="1"/>
  <c r="RG4" i="10"/>
  <c r="QY4" i="10"/>
  <c r="RB3" i="10"/>
  <c r="RD3" i="10" s="1"/>
  <c r="RG3" i="10"/>
  <c r="QY3" i="10"/>
  <c r="G384" i="11" l="1"/>
  <c r="G305" i="11"/>
  <c r="F277" i="11" l="1"/>
  <c r="F77" i="11"/>
  <c r="QS52" i="10"/>
  <c r="QT52" i="10"/>
  <c r="F44" i="11"/>
  <c r="F127" i="11"/>
  <c r="DW277" i="11" l="1"/>
  <c r="DW77" i="11"/>
  <c r="DW44" i="11"/>
  <c r="DW127" i="11"/>
  <c r="QP52" i="10" l="1"/>
  <c r="QQ52" i="10"/>
  <c r="QR52" i="10"/>
  <c r="F276" i="11" l="1"/>
  <c r="F251" i="11"/>
  <c r="F152" i="11"/>
  <c r="DW26" i="11"/>
  <c r="F313" i="11"/>
  <c r="F382" i="11"/>
  <c r="F328" i="11"/>
  <c r="F354" i="11"/>
  <c r="F309" i="11"/>
  <c r="DW276" i="11" l="1"/>
  <c r="DW251" i="11"/>
  <c r="DW152" i="11"/>
  <c r="F26" i="11"/>
  <c r="DW313" i="11"/>
  <c r="DW382" i="11"/>
  <c r="DW328" i="11"/>
  <c r="DW354" i="11"/>
  <c r="DW309" i="11"/>
  <c r="F290" i="11" l="1"/>
  <c r="F38" i="11"/>
  <c r="QN52" i="10"/>
  <c r="QO52" i="10"/>
  <c r="F312" i="11"/>
  <c r="F380" i="11"/>
  <c r="DW290" i="11" l="1"/>
  <c r="DW38" i="11"/>
  <c r="DW312" i="11"/>
  <c r="DW380" i="11"/>
  <c r="F379" i="11" l="1"/>
  <c r="F375" i="11"/>
  <c r="DW379" i="11" l="1"/>
  <c r="DW375" i="11"/>
  <c r="QM52" i="10" l="1"/>
  <c r="F230" i="11"/>
  <c r="F272" i="11"/>
  <c r="F177" i="11"/>
  <c r="DW120" i="11"/>
  <c r="F76" i="11"/>
  <c r="DW230" i="11" l="1"/>
  <c r="DW272" i="11"/>
  <c r="DW177" i="11"/>
  <c r="F120" i="11"/>
  <c r="DW76" i="11"/>
  <c r="DW364" i="11"/>
  <c r="F364" i="11" l="1"/>
  <c r="D52" i="10" l="1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N52" i="10"/>
  <c r="BO52" i="10"/>
  <c r="BP52" i="10"/>
  <c r="BQ52" i="10"/>
  <c r="BR52" i="10"/>
  <c r="BS52" i="10"/>
  <c r="BT52" i="10"/>
  <c r="BU52" i="10"/>
  <c r="BV52" i="10"/>
  <c r="BW52" i="10"/>
  <c r="BX52" i="10"/>
  <c r="BY52" i="10"/>
  <c r="BZ52" i="10"/>
  <c r="CA52" i="10"/>
  <c r="CB52" i="10"/>
  <c r="CC52" i="10"/>
  <c r="CD52" i="10"/>
  <c r="CE52" i="10"/>
  <c r="CF52" i="10"/>
  <c r="CG52" i="10"/>
  <c r="CH52" i="10"/>
  <c r="CI52" i="10"/>
  <c r="CJ52" i="10"/>
  <c r="CK52" i="10"/>
  <c r="CL52" i="10"/>
  <c r="CM52" i="10"/>
  <c r="CN52" i="10"/>
  <c r="CO52" i="10"/>
  <c r="CP52" i="10"/>
  <c r="CQ52" i="10"/>
  <c r="CR52" i="10"/>
  <c r="CS52" i="10"/>
  <c r="CT52" i="10"/>
  <c r="CU52" i="10"/>
  <c r="CV52" i="10"/>
  <c r="CW52" i="10"/>
  <c r="CX52" i="10"/>
  <c r="CY52" i="10"/>
  <c r="CZ52" i="10"/>
  <c r="DA52" i="10"/>
  <c r="DB52" i="10"/>
  <c r="DC52" i="10"/>
  <c r="DD52" i="10"/>
  <c r="DE52" i="10"/>
  <c r="DF52" i="10"/>
  <c r="DG52" i="10"/>
  <c r="DH52" i="10"/>
  <c r="DI52" i="10"/>
  <c r="DJ52" i="10"/>
  <c r="DK52" i="10"/>
  <c r="DL52" i="10"/>
  <c r="DM52" i="10"/>
  <c r="DN52" i="10"/>
  <c r="DO52" i="10"/>
  <c r="DP52" i="10"/>
  <c r="DQ52" i="10"/>
  <c r="DR52" i="10"/>
  <c r="DS52" i="10"/>
  <c r="DT52" i="10"/>
  <c r="DU52" i="10"/>
  <c r="DV52" i="10"/>
  <c r="DW52" i="10"/>
  <c r="DX52" i="10"/>
  <c r="DY52" i="10"/>
  <c r="DZ52" i="10"/>
  <c r="EA52" i="10"/>
  <c r="EB52" i="10"/>
  <c r="EC52" i="10"/>
  <c r="ED52" i="10"/>
  <c r="EE52" i="10"/>
  <c r="EF52" i="10"/>
  <c r="EG52" i="10"/>
  <c r="EH52" i="10"/>
  <c r="EI52" i="10"/>
  <c r="EJ52" i="10"/>
  <c r="EK52" i="10"/>
  <c r="EL52" i="10"/>
  <c r="EM52" i="10"/>
  <c r="EN52" i="10"/>
  <c r="EO52" i="10"/>
  <c r="EP52" i="10"/>
  <c r="EQ52" i="10"/>
  <c r="ER52" i="10"/>
  <c r="ES52" i="10"/>
  <c r="ET52" i="10"/>
  <c r="EU52" i="10"/>
  <c r="EV52" i="10"/>
  <c r="EW52" i="10"/>
  <c r="EX52" i="10"/>
  <c r="EY52" i="10"/>
  <c r="EZ52" i="10"/>
  <c r="FA52" i="10"/>
  <c r="FB52" i="10"/>
  <c r="FC52" i="10"/>
  <c r="FD52" i="10"/>
  <c r="FE52" i="10"/>
  <c r="FF52" i="10"/>
  <c r="FG52" i="10"/>
  <c r="FH52" i="10"/>
  <c r="FI52" i="10"/>
  <c r="FJ52" i="10"/>
  <c r="FK52" i="10"/>
  <c r="FL52" i="10"/>
  <c r="FM52" i="10"/>
  <c r="FN52" i="10"/>
  <c r="FO52" i="10"/>
  <c r="FP52" i="10"/>
  <c r="FQ52" i="10"/>
  <c r="FR52" i="10"/>
  <c r="FS52" i="10"/>
  <c r="FT52" i="10"/>
  <c r="FU52" i="10"/>
  <c r="FV52" i="10"/>
  <c r="FW52" i="10"/>
  <c r="FX52" i="10"/>
  <c r="FY52" i="10"/>
  <c r="FZ52" i="10"/>
  <c r="GA52" i="10"/>
  <c r="GB52" i="10"/>
  <c r="GC52" i="10"/>
  <c r="GD52" i="10"/>
  <c r="GE52" i="10"/>
  <c r="GF52" i="10"/>
  <c r="GG52" i="10"/>
  <c r="GH52" i="10"/>
  <c r="GI52" i="10"/>
  <c r="GJ52" i="10"/>
  <c r="GK52" i="10"/>
  <c r="GL52" i="10"/>
  <c r="GM52" i="10"/>
  <c r="GN52" i="10"/>
  <c r="GO52" i="10"/>
  <c r="GP52" i="10"/>
  <c r="GQ52" i="10"/>
  <c r="GR52" i="10"/>
  <c r="GS52" i="10"/>
  <c r="GT52" i="10"/>
  <c r="GU52" i="10"/>
  <c r="GV52" i="10"/>
  <c r="GW52" i="10"/>
  <c r="GX52" i="10"/>
  <c r="GY52" i="10"/>
  <c r="GZ52" i="10"/>
  <c r="HA52" i="10"/>
  <c r="HB52" i="10"/>
  <c r="HC52" i="10"/>
  <c r="HD52" i="10"/>
  <c r="HE52" i="10"/>
  <c r="HF52" i="10"/>
  <c r="HG52" i="10"/>
  <c r="HH52" i="10"/>
  <c r="HI52" i="10"/>
  <c r="HJ52" i="10"/>
  <c r="HK52" i="10"/>
  <c r="HL52" i="10"/>
  <c r="HM52" i="10"/>
  <c r="HN52" i="10"/>
  <c r="HO52" i="10"/>
  <c r="HP52" i="10"/>
  <c r="HQ52" i="10"/>
  <c r="HR52" i="10"/>
  <c r="HS52" i="10"/>
  <c r="HT52" i="10"/>
  <c r="HU52" i="10"/>
  <c r="HV52" i="10"/>
  <c r="HW52" i="10"/>
  <c r="HX52" i="10"/>
  <c r="HY52" i="10"/>
  <c r="HZ52" i="10"/>
  <c r="IA52" i="10"/>
  <c r="IB52" i="10"/>
  <c r="IC52" i="10"/>
  <c r="ID52" i="10"/>
  <c r="IE52" i="10"/>
  <c r="IF52" i="10"/>
  <c r="IG52" i="10"/>
  <c r="IH52" i="10"/>
  <c r="II52" i="10"/>
  <c r="IJ52" i="10"/>
  <c r="IK52" i="10"/>
  <c r="IL52" i="10"/>
  <c r="IM52" i="10"/>
  <c r="IN52" i="10"/>
  <c r="IO52" i="10"/>
  <c r="IP52" i="10"/>
  <c r="IQ52" i="10"/>
  <c r="IR52" i="10"/>
  <c r="IS52" i="10"/>
  <c r="IT52" i="10"/>
  <c r="IU52" i="10"/>
  <c r="IV52" i="10"/>
  <c r="IW52" i="10"/>
  <c r="IX52" i="10"/>
  <c r="IY52" i="10"/>
  <c r="IZ52" i="10"/>
  <c r="JA52" i="10"/>
  <c r="JB52" i="10"/>
  <c r="JC52" i="10"/>
  <c r="JD52" i="10"/>
  <c r="JE52" i="10"/>
  <c r="JF52" i="10"/>
  <c r="JG52" i="10"/>
  <c r="JH52" i="10"/>
  <c r="JI52" i="10"/>
  <c r="JJ52" i="10"/>
  <c r="JK52" i="10"/>
  <c r="JL52" i="10"/>
  <c r="JM52" i="10"/>
  <c r="JN52" i="10"/>
  <c r="JO52" i="10"/>
  <c r="JP52" i="10"/>
  <c r="JQ52" i="10"/>
  <c r="JR52" i="10"/>
  <c r="JS52" i="10"/>
  <c r="JT52" i="10"/>
  <c r="JU52" i="10"/>
  <c r="JV52" i="10"/>
  <c r="JW52" i="10"/>
  <c r="JX52" i="10"/>
  <c r="JY52" i="10"/>
  <c r="JZ52" i="10"/>
  <c r="KA52" i="10"/>
  <c r="KB52" i="10"/>
  <c r="KC52" i="10"/>
  <c r="KD52" i="10"/>
  <c r="KE52" i="10"/>
  <c r="KF52" i="10"/>
  <c r="KG52" i="10"/>
  <c r="KH52" i="10"/>
  <c r="KI52" i="10"/>
  <c r="KJ52" i="10"/>
  <c r="KK52" i="10"/>
  <c r="KL52" i="10"/>
  <c r="KM52" i="10"/>
  <c r="KN52" i="10"/>
  <c r="KO52" i="10"/>
  <c r="KP52" i="10"/>
  <c r="KQ52" i="10"/>
  <c r="KR52" i="10"/>
  <c r="KS52" i="10"/>
  <c r="KT52" i="10"/>
  <c r="KU52" i="10"/>
  <c r="KV52" i="10"/>
  <c r="KW52" i="10"/>
  <c r="KX52" i="10"/>
  <c r="KY52" i="10"/>
  <c r="KZ52" i="10"/>
  <c r="LA52" i="10"/>
  <c r="LB52" i="10"/>
  <c r="LC52" i="10"/>
  <c r="LD52" i="10"/>
  <c r="LE52" i="10"/>
  <c r="LF52" i="10"/>
  <c r="LG52" i="10"/>
  <c r="LH52" i="10"/>
  <c r="LI52" i="10"/>
  <c r="LJ52" i="10"/>
  <c r="LK52" i="10"/>
  <c r="LL52" i="10"/>
  <c r="LM52" i="10"/>
  <c r="LN52" i="10"/>
  <c r="LO52" i="10"/>
  <c r="LP52" i="10"/>
  <c r="LQ52" i="10"/>
  <c r="LR52" i="10"/>
  <c r="LS52" i="10"/>
  <c r="LT52" i="10"/>
  <c r="LU52" i="10"/>
  <c r="LV52" i="10"/>
  <c r="LW52" i="10"/>
  <c r="LX52" i="10"/>
  <c r="LY52" i="10"/>
  <c r="LZ52" i="10"/>
  <c r="MA52" i="10"/>
  <c r="MB52" i="10"/>
  <c r="MC52" i="10"/>
  <c r="MD52" i="10"/>
  <c r="ME52" i="10"/>
  <c r="MF52" i="10"/>
  <c r="MG52" i="10"/>
  <c r="MH52" i="10"/>
  <c r="MI52" i="10"/>
  <c r="MJ52" i="10"/>
  <c r="MK52" i="10"/>
  <c r="ML52" i="10"/>
  <c r="MM52" i="10"/>
  <c r="MN52" i="10"/>
  <c r="MO52" i="10"/>
  <c r="MP52" i="10"/>
  <c r="MQ52" i="10"/>
  <c r="MR52" i="10"/>
  <c r="MS52" i="10"/>
  <c r="MT52" i="10"/>
  <c r="MU52" i="10"/>
  <c r="MV52" i="10"/>
  <c r="MW52" i="10"/>
  <c r="MX52" i="10"/>
  <c r="MY52" i="10"/>
  <c r="MZ52" i="10"/>
  <c r="NA52" i="10"/>
  <c r="NB52" i="10"/>
  <c r="NC52" i="10"/>
  <c r="ND52" i="10"/>
  <c r="NE52" i="10"/>
  <c r="NF52" i="10"/>
  <c r="NG52" i="10"/>
  <c r="NH52" i="10"/>
  <c r="NI52" i="10"/>
  <c r="NJ52" i="10"/>
  <c r="NK52" i="10"/>
  <c r="NL52" i="10"/>
  <c r="NM52" i="10"/>
  <c r="NN52" i="10"/>
  <c r="NO52" i="10"/>
  <c r="NP52" i="10"/>
  <c r="NQ52" i="10"/>
  <c r="NR52" i="10"/>
  <c r="NS52" i="10"/>
  <c r="NT52" i="10"/>
  <c r="NU52" i="10"/>
  <c r="NV52" i="10"/>
  <c r="NW52" i="10"/>
  <c r="NX52" i="10"/>
  <c r="NY52" i="10"/>
  <c r="NZ52" i="10"/>
  <c r="OA52" i="10"/>
  <c r="OB52" i="10"/>
  <c r="OC52" i="10"/>
  <c r="OD52" i="10"/>
  <c r="OE52" i="10"/>
  <c r="OF52" i="10"/>
  <c r="OG52" i="10"/>
  <c r="OH52" i="10"/>
  <c r="OI52" i="10"/>
  <c r="OJ52" i="10"/>
  <c r="OK52" i="10"/>
  <c r="OL52" i="10"/>
  <c r="OM52" i="10"/>
  <c r="ON52" i="10"/>
  <c r="OO52" i="10"/>
  <c r="OP52" i="10"/>
  <c r="OQ52" i="10"/>
  <c r="OR52" i="10"/>
  <c r="OS52" i="10"/>
  <c r="OT52" i="10"/>
  <c r="OU52" i="10"/>
  <c r="OV52" i="10"/>
  <c r="OW52" i="10"/>
  <c r="OX52" i="10"/>
  <c r="OY52" i="10"/>
  <c r="OZ52" i="10"/>
  <c r="PA52" i="10"/>
  <c r="PB52" i="10"/>
  <c r="PC52" i="10"/>
  <c r="PD52" i="10"/>
  <c r="PE52" i="10"/>
  <c r="PF52" i="10"/>
  <c r="PG52" i="10"/>
  <c r="PH52" i="10"/>
  <c r="PI52" i="10"/>
  <c r="PJ52" i="10"/>
  <c r="PK52" i="10"/>
  <c r="PL52" i="10"/>
  <c r="PM52" i="10"/>
  <c r="PN52" i="10"/>
  <c r="PO52" i="10"/>
  <c r="PP52" i="10"/>
  <c r="PQ52" i="10"/>
  <c r="PR52" i="10"/>
  <c r="PS52" i="10"/>
  <c r="PT52" i="10"/>
  <c r="PU52" i="10"/>
  <c r="PV52" i="10"/>
  <c r="PW52" i="10"/>
  <c r="PX52" i="10"/>
  <c r="PY52" i="10"/>
  <c r="PZ52" i="10"/>
  <c r="QA52" i="10"/>
  <c r="QB52" i="10"/>
  <c r="QC52" i="10"/>
  <c r="QD52" i="10"/>
  <c r="QE52" i="10"/>
  <c r="QF52" i="10"/>
  <c r="QG52" i="10"/>
  <c r="QH52" i="10"/>
  <c r="QI52" i="10"/>
  <c r="QJ52" i="10"/>
  <c r="QK52" i="10"/>
  <c r="QL52" i="10"/>
  <c r="C52" i="10"/>
  <c r="F183" i="11" l="1"/>
  <c r="F10" i="11"/>
  <c r="DW183" i="11" l="1"/>
  <c r="DW10" i="11"/>
  <c r="F282" i="11" l="1"/>
  <c r="F190" i="11"/>
  <c r="F178" i="11"/>
  <c r="F115" i="11"/>
  <c r="DW282" i="11" l="1"/>
  <c r="DW190" i="11"/>
  <c r="DW178" i="11"/>
  <c r="DW115" i="11"/>
  <c r="F220" i="11" l="1"/>
  <c r="F130" i="11"/>
  <c r="DW220" i="11" l="1"/>
  <c r="DW130" i="11"/>
  <c r="F175" i="11" l="1"/>
  <c r="F374" i="11"/>
  <c r="DW175" i="11" l="1"/>
  <c r="DW374" i="11"/>
  <c r="F295" i="11" l="1"/>
  <c r="F297" i="11"/>
  <c r="F89" i="11"/>
  <c r="F35" i="11"/>
  <c r="F90" i="11"/>
  <c r="DW295" i="11" l="1"/>
  <c r="DW297" i="11"/>
  <c r="DW89" i="11"/>
  <c r="DW35" i="11"/>
  <c r="DW90" i="11"/>
  <c r="F273" i="11" l="1"/>
  <c r="F43" i="11"/>
  <c r="DW273" i="11" l="1"/>
  <c r="DW43" i="11"/>
  <c r="F200" i="11" l="1"/>
  <c r="F339" i="11"/>
  <c r="F378" i="11"/>
  <c r="DW200" i="11" l="1"/>
  <c r="DW339" i="11"/>
  <c r="DW378" i="11"/>
  <c r="DW370" i="11" l="1"/>
  <c r="F370" i="11"/>
  <c r="F39" i="11" l="1"/>
  <c r="F15" i="11"/>
  <c r="F289" i="11"/>
  <c r="F286" i="11"/>
  <c r="F269" i="11"/>
  <c r="F209" i="11"/>
  <c r="F132" i="11"/>
  <c r="DW39" i="11" l="1"/>
  <c r="DW15" i="11"/>
  <c r="DW289" i="11"/>
  <c r="DW286" i="11"/>
  <c r="DW269" i="11"/>
  <c r="DW209" i="11"/>
  <c r="DW132" i="11"/>
  <c r="F233" i="11" l="1"/>
  <c r="F91" i="11"/>
  <c r="F68" i="11"/>
  <c r="F86" i="11"/>
  <c r="DW233" i="11" l="1"/>
  <c r="DW91" i="11"/>
  <c r="DW68" i="11"/>
  <c r="DW86" i="11"/>
  <c r="F252" i="11" l="1"/>
  <c r="F205" i="11"/>
  <c r="F61" i="11"/>
  <c r="DW252" i="11" l="1"/>
  <c r="DW205" i="11"/>
  <c r="DW61" i="11"/>
  <c r="F284" i="11" l="1"/>
  <c r="DW284" i="11" l="1"/>
  <c r="F94" i="11" l="1"/>
  <c r="F30" i="11"/>
  <c r="F195" i="11"/>
  <c r="F184" i="11"/>
  <c r="F158" i="11"/>
  <c r="F155" i="11"/>
  <c r="DW103" i="11"/>
  <c r="F79" i="11"/>
  <c r="F101" i="11"/>
  <c r="F311" i="11"/>
  <c r="F325" i="11"/>
  <c r="F332" i="11"/>
  <c r="DW94" i="11" l="1"/>
  <c r="DW30" i="11"/>
  <c r="DW195" i="11"/>
  <c r="DW184" i="11"/>
  <c r="DW155" i="11"/>
  <c r="DW158" i="11"/>
  <c r="F103" i="11"/>
  <c r="DW79" i="11"/>
  <c r="DW101" i="11"/>
  <c r="DW311" i="11"/>
  <c r="DW325" i="11"/>
  <c r="DW332" i="11"/>
  <c r="F237" i="11" l="1"/>
  <c r="F80" i="11"/>
  <c r="B383" i="11"/>
  <c r="F383" i="11" s="1"/>
  <c r="DW237" i="11" l="1"/>
  <c r="DW80" i="11"/>
  <c r="DW383" i="11"/>
  <c r="F270" i="11" l="1"/>
  <c r="F135" i="11"/>
  <c r="F42" i="11"/>
  <c r="F14" i="11"/>
  <c r="F75" i="11"/>
  <c r="DW270" i="11" l="1"/>
  <c r="DW135" i="11"/>
  <c r="DW42" i="11"/>
  <c r="DW14" i="11"/>
  <c r="DW75" i="11"/>
  <c r="F150" i="11" l="1"/>
  <c r="F96" i="11"/>
  <c r="F64" i="11"/>
  <c r="F359" i="11"/>
  <c r="F310" i="11"/>
  <c r="DW150" i="11" l="1"/>
  <c r="DW96" i="11"/>
  <c r="DW64" i="11"/>
  <c r="DW359" i="11"/>
  <c r="DW310" i="11"/>
  <c r="F308" i="11" l="1"/>
  <c r="DW308" i="11" l="1"/>
  <c r="F299" i="11" l="1"/>
  <c r="F164" i="11"/>
  <c r="F129" i="11"/>
  <c r="F254" i="11"/>
  <c r="F180" i="11"/>
  <c r="F142" i="11"/>
  <c r="F48" i="11"/>
  <c r="F174" i="11"/>
  <c r="DW4" i="11" l="1"/>
  <c r="F4" i="11"/>
  <c r="DW299" i="11"/>
  <c r="DW164" i="11"/>
  <c r="DW129" i="11"/>
  <c r="DW254" i="11"/>
  <c r="DW180" i="11"/>
  <c r="DW142" i="11"/>
  <c r="DW48" i="11"/>
  <c r="DW174" i="11"/>
  <c r="F256" i="11" l="1"/>
  <c r="F55" i="11"/>
  <c r="F229" i="11"/>
  <c r="F278" i="11"/>
  <c r="DW72" i="11"/>
  <c r="DW256" i="11" l="1"/>
  <c r="DW229" i="11"/>
  <c r="DW278" i="11"/>
  <c r="F72" i="11"/>
  <c r="F149" i="11" l="1"/>
  <c r="F222" i="11"/>
  <c r="F160" i="11"/>
  <c r="F231" i="11"/>
  <c r="F185" i="11"/>
  <c r="F145" i="11"/>
  <c r="F137" i="11"/>
  <c r="F335" i="11"/>
  <c r="F358" i="11"/>
  <c r="F341" i="11"/>
  <c r="F338" i="11"/>
  <c r="F337" i="11"/>
  <c r="F371" i="11"/>
  <c r="F352" i="11"/>
  <c r="DW149" i="11" l="1"/>
  <c r="DW222" i="11"/>
  <c r="DW160" i="11"/>
  <c r="DW231" i="11"/>
  <c r="DW185" i="11"/>
  <c r="DW145" i="11"/>
  <c r="DW137" i="11"/>
  <c r="DW335" i="11"/>
  <c r="DW358" i="11"/>
  <c r="DW341" i="11"/>
  <c r="DW338" i="11"/>
  <c r="DW337" i="11"/>
  <c r="DW371" i="11"/>
  <c r="DW352" i="11"/>
  <c r="DW98" i="11" l="1"/>
  <c r="F168" i="11"/>
  <c r="F266" i="11"/>
  <c r="DW87" i="11"/>
  <c r="DW192" i="11"/>
  <c r="DW118" i="11"/>
  <c r="F5" i="11"/>
  <c r="F87" i="11" l="1"/>
  <c r="F98" i="11"/>
  <c r="DW168" i="11"/>
  <c r="DW266" i="11"/>
  <c r="F192" i="11"/>
  <c r="F118" i="11"/>
  <c r="DW5" i="11"/>
  <c r="F74" i="11" l="1"/>
  <c r="F216" i="11"/>
  <c r="DW265" i="11"/>
  <c r="DW232" i="11"/>
  <c r="DW267" i="11"/>
  <c r="DW74" i="11" l="1"/>
  <c r="DW216" i="11"/>
  <c r="F265" i="11"/>
  <c r="F232" i="11"/>
  <c r="F267" i="11"/>
  <c r="F66" i="11" l="1"/>
  <c r="DW66" i="11"/>
  <c r="F197" i="11"/>
  <c r="DW197" i="11"/>
  <c r="F340" i="11" l="1"/>
  <c r="DW340" i="11"/>
  <c r="F336" i="11" l="1"/>
  <c r="DW336" i="11"/>
  <c r="F388" i="11" l="1"/>
  <c r="DW388" i="11"/>
  <c r="F239" i="11" l="1"/>
  <c r="DW131" i="11"/>
  <c r="F46" i="11"/>
  <c r="DW221" i="11"/>
  <c r="F206" i="11"/>
  <c r="F163" i="11"/>
  <c r="F126" i="11"/>
  <c r="F285" i="11" l="1"/>
  <c r="DW285" i="11"/>
  <c r="DW46" i="11"/>
  <c r="DW239" i="11"/>
  <c r="F131" i="11"/>
  <c r="DW163" i="11"/>
  <c r="DW126" i="11"/>
  <c r="DW206" i="11"/>
  <c r="F221" i="11"/>
  <c r="DW114" i="11" l="1"/>
  <c r="F36" i="11"/>
  <c r="F125" i="11"/>
  <c r="F114" i="11" l="1"/>
  <c r="DW36" i="11"/>
  <c r="DW125" i="11"/>
  <c r="F69" i="11" l="1"/>
  <c r="F293" i="11"/>
  <c r="F271" i="11"/>
  <c r="F187" i="11"/>
  <c r="F320" i="11"/>
  <c r="DW293" i="11" l="1"/>
  <c r="DW69" i="11"/>
  <c r="DW271" i="11"/>
  <c r="DW187" i="11"/>
  <c r="DW320" i="11"/>
  <c r="F385" i="11" l="1"/>
  <c r="DW385" i="11"/>
  <c r="F268" i="11" l="1"/>
  <c r="F215" i="11"/>
  <c r="F100" i="11"/>
  <c r="F342" i="11"/>
  <c r="F333" i="11"/>
  <c r="F373" i="11"/>
  <c r="DW268" i="11" l="1"/>
  <c r="DW215" i="11"/>
  <c r="DW100" i="11"/>
  <c r="DW342" i="11"/>
  <c r="DW333" i="11"/>
  <c r="DW373" i="11"/>
  <c r="F143" i="11" l="1"/>
  <c r="F32" i="11"/>
  <c r="DW143" i="11" l="1"/>
  <c r="DW32" i="11"/>
  <c r="F247" i="11" l="1"/>
  <c r="F356" i="11"/>
  <c r="F377" i="11"/>
  <c r="F85" i="11" l="1"/>
  <c r="DW85" i="11"/>
  <c r="DW247" i="11"/>
  <c r="DW377" i="11"/>
  <c r="DW356" i="11"/>
  <c r="F387" i="11" l="1"/>
  <c r="F389" i="11"/>
  <c r="F392" i="11"/>
  <c r="F367" i="11"/>
  <c r="F368" i="11"/>
  <c r="F369" i="11"/>
  <c r="F372" i="11"/>
  <c r="F349" i="11"/>
  <c r="F350" i="11"/>
  <c r="F353" i="11"/>
  <c r="F357" i="11"/>
  <c r="F362" i="11"/>
  <c r="F363" i="11"/>
  <c r="F324" i="11"/>
  <c r="F327" i="11"/>
  <c r="F329" i="11"/>
  <c r="F331" i="11"/>
  <c r="F334" i="11"/>
  <c r="F343" i="11"/>
  <c r="F344" i="11"/>
  <c r="F345" i="11"/>
  <c r="F314" i="11"/>
  <c r="F319" i="11"/>
  <c r="F307" i="11"/>
  <c r="F321" i="11"/>
  <c r="F323" i="11"/>
  <c r="F279" i="11"/>
  <c r="F280" i="11"/>
  <c r="F281" i="11"/>
  <c r="F292" i="11"/>
  <c r="F294" i="11"/>
  <c r="F296" i="11"/>
  <c r="F298" i="11"/>
  <c r="F300" i="11"/>
  <c r="F302" i="11"/>
  <c r="F304" i="11"/>
  <c r="DW257" i="11"/>
  <c r="F258" i="11"/>
  <c r="DW259" i="11"/>
  <c r="F260" i="11"/>
  <c r="DW261" i="11"/>
  <c r="F262" i="11"/>
  <c r="F263" i="11"/>
  <c r="F264" i="11"/>
  <c r="F242" i="11"/>
  <c r="F243" i="11"/>
  <c r="F244" i="11"/>
  <c r="F245" i="11"/>
  <c r="F246" i="11"/>
  <c r="F248" i="11"/>
  <c r="F249" i="11"/>
  <c r="F250" i="11"/>
  <c r="F253" i="11"/>
  <c r="F255" i="11"/>
  <c r="DW227" i="11"/>
  <c r="F235" i="11"/>
  <c r="DW236" i="11"/>
  <c r="F238" i="11"/>
  <c r="DW240" i="11"/>
  <c r="F241" i="11"/>
  <c r="DW207" i="11"/>
  <c r="DW208" i="11"/>
  <c r="F210" i="11"/>
  <c r="DW211" i="11"/>
  <c r="DW212" i="11"/>
  <c r="F213" i="11"/>
  <c r="DW214" i="11"/>
  <c r="F217" i="11"/>
  <c r="DW218" i="11"/>
  <c r="DW223" i="11"/>
  <c r="DW224" i="11"/>
  <c r="F225" i="11"/>
  <c r="DW226" i="11"/>
  <c r="DW182" i="11"/>
  <c r="F186" i="11"/>
  <c r="F188" i="11"/>
  <c r="F189" i="11"/>
  <c r="F193" i="11"/>
  <c r="F196" i="11"/>
  <c r="DW199" i="11"/>
  <c r="F201" i="11"/>
  <c r="DW202" i="11"/>
  <c r="F203" i="11"/>
  <c r="F204" i="11"/>
  <c r="F166" i="11"/>
  <c r="DW167" i="11"/>
  <c r="DW169" i="11"/>
  <c r="DW170" i="11"/>
  <c r="DW171" i="11"/>
  <c r="F172" i="11"/>
  <c r="F173" i="11"/>
  <c r="F176" i="11"/>
  <c r="F179" i="11"/>
  <c r="F181" i="11"/>
  <c r="DW153" i="11"/>
  <c r="DW154" i="11"/>
  <c r="F156" i="11"/>
  <c r="F157" i="11"/>
  <c r="F159" i="11"/>
  <c r="F161" i="11"/>
  <c r="F162" i="11"/>
  <c r="F165" i="11"/>
  <c r="F133" i="11"/>
  <c r="F134" i="11"/>
  <c r="F136" i="11"/>
  <c r="DW139" i="11"/>
  <c r="F140" i="11"/>
  <c r="DW146" i="11"/>
  <c r="F147" i="11"/>
  <c r="DW148" i="11"/>
  <c r="F151" i="11"/>
  <c r="DW107" i="11"/>
  <c r="F109" i="11"/>
  <c r="F110" i="11"/>
  <c r="DW111" i="11"/>
  <c r="DW112" i="11"/>
  <c r="DW113" i="11"/>
  <c r="F116" i="11"/>
  <c r="F119" i="11"/>
  <c r="F121" i="11"/>
  <c r="DW122" i="11"/>
  <c r="F123" i="11"/>
  <c r="DW124" i="11"/>
  <c r="F128" i="11"/>
  <c r="DW88" i="11"/>
  <c r="F93" i="11"/>
  <c r="F102" i="11"/>
  <c r="F104" i="11"/>
  <c r="F105" i="11"/>
  <c r="F106" i="11"/>
  <c r="DW57" i="11"/>
  <c r="F58" i="11"/>
  <c r="F59" i="11"/>
  <c r="DW60" i="11"/>
  <c r="F70" i="11"/>
  <c r="F71" i="11"/>
  <c r="F78" i="11"/>
  <c r="DW81" i="11"/>
  <c r="F41" i="11"/>
  <c r="DW45" i="11"/>
  <c r="F47" i="11"/>
  <c r="DW49" i="11"/>
  <c r="F50" i="11"/>
  <c r="F51" i="11"/>
  <c r="F52" i="11"/>
  <c r="DW54" i="11"/>
  <c r="DW21" i="11"/>
  <c r="F22" i="11"/>
  <c r="DW24" i="11"/>
  <c r="F29" i="11"/>
  <c r="F31" i="11"/>
  <c r="F33" i="11"/>
  <c r="F40" i="11"/>
  <c r="F6" i="11"/>
  <c r="DW7" i="11"/>
  <c r="DW9" i="11"/>
  <c r="F11" i="11"/>
  <c r="DW12" i="11"/>
  <c r="F13" i="11"/>
  <c r="F16" i="11"/>
  <c r="F17" i="11"/>
  <c r="F18" i="11"/>
  <c r="F19" i="11"/>
  <c r="F20" i="11"/>
  <c r="RD52" i="10" l="1"/>
  <c r="F84" i="11"/>
  <c r="DW84" i="11"/>
  <c r="DW95" i="11"/>
  <c r="F95" i="11"/>
  <c r="F88" i="11"/>
  <c r="F306" i="11"/>
  <c r="F99" i="11"/>
  <c r="DW99" i="11"/>
  <c r="F224" i="11"/>
  <c r="F208" i="11"/>
  <c r="DW302" i="11"/>
  <c r="F259" i="11"/>
  <c r="DW372" i="11"/>
  <c r="DW186" i="11"/>
  <c r="DW392" i="11"/>
  <c r="F141" i="11"/>
  <c r="DW141" i="11"/>
  <c r="DW213" i="11"/>
  <c r="F207" i="11"/>
  <c r="F154" i="11"/>
  <c r="DW255" i="11"/>
  <c r="DW203" i="11"/>
  <c r="DW151" i="11"/>
  <c r="F199" i="11"/>
  <c r="DW217" i="11"/>
  <c r="DW123" i="11"/>
  <c r="DW376" i="11"/>
  <c r="F376" i="11"/>
  <c r="DW288" i="11"/>
  <c r="F288" i="11"/>
  <c r="DW366" i="11"/>
  <c r="F366" i="11"/>
  <c r="DW361" i="11"/>
  <c r="F361" i="11"/>
  <c r="DW351" i="11"/>
  <c r="F351" i="11"/>
  <c r="DW317" i="11"/>
  <c r="F317" i="11"/>
  <c r="DW346" i="11"/>
  <c r="F346" i="11"/>
  <c r="DW330" i="11"/>
  <c r="F330" i="11"/>
  <c r="DW316" i="11"/>
  <c r="F316" i="11"/>
  <c r="DW365" i="11"/>
  <c r="F365" i="11"/>
  <c r="DW360" i="11"/>
  <c r="F360" i="11"/>
  <c r="DW355" i="11"/>
  <c r="F355" i="11"/>
  <c r="DW381" i="11"/>
  <c r="F381" i="11"/>
  <c r="DW326" i="11"/>
  <c r="F326" i="11"/>
  <c r="DW322" i="11"/>
  <c r="F322" i="11"/>
  <c r="DW318" i="11"/>
  <c r="F318" i="11"/>
  <c r="DW315" i="11"/>
  <c r="F315" i="11"/>
  <c r="DW347" i="11"/>
  <c r="F347" i="11"/>
  <c r="DW59" i="11"/>
  <c r="F240" i="11"/>
  <c r="F214" i="11"/>
  <c r="DW204" i="11"/>
  <c r="DW165" i="11"/>
  <c r="DW110" i="11"/>
  <c r="DW262" i="11"/>
  <c r="DW357" i="11"/>
  <c r="DW387" i="11"/>
  <c r="F257" i="11"/>
  <c r="F211" i="11"/>
  <c r="F170" i="11"/>
  <c r="DW334" i="11"/>
  <c r="DW121" i="11"/>
  <c r="DW329" i="11"/>
  <c r="DW296" i="11"/>
  <c r="DW369" i="11"/>
  <c r="DW362" i="11"/>
  <c r="DW345" i="11"/>
  <c r="DW314" i="11"/>
  <c r="DW238" i="11"/>
  <c r="F60" i="11"/>
  <c r="DW105" i="11"/>
  <c r="DW248" i="11"/>
  <c r="DW181" i="11"/>
  <c r="DW116" i="11"/>
  <c r="DW22" i="11"/>
  <c r="F111" i="11"/>
  <c r="DW47" i="11"/>
  <c r="DW159" i="11"/>
  <c r="DW353" i="11"/>
  <c r="DW323" i="11"/>
  <c r="F122" i="11"/>
  <c r="DW52" i="11"/>
  <c r="DW19" i="11"/>
  <c r="DW33" i="11"/>
  <c r="DW321" i="11"/>
  <c r="DW225" i="11"/>
  <c r="F261" i="11"/>
  <c r="DW304" i="11"/>
  <c r="DW172" i="11"/>
  <c r="DW109" i="11"/>
  <c r="F202" i="11"/>
  <c r="F153" i="11"/>
  <c r="DW264" i="11"/>
  <c r="DW246" i="11"/>
  <c r="DW179" i="11"/>
  <c r="DW307" i="11"/>
  <c r="DW363" i="11"/>
  <c r="DW250" i="11"/>
  <c r="DW162" i="11"/>
  <c r="DW319" i="11"/>
  <c r="F227" i="11"/>
  <c r="F169" i="11"/>
  <c r="F113" i="11"/>
  <c r="DW300" i="11"/>
  <c r="DW253" i="11"/>
  <c r="DW244" i="11"/>
  <c r="DW210" i="11"/>
  <c r="DW306" i="11"/>
  <c r="F223" i="11"/>
  <c r="F212" i="11"/>
  <c r="DW119" i="11"/>
  <c r="DW350" i="11"/>
  <c r="DW161" i="11"/>
  <c r="DW78" i="11"/>
  <c r="DW70" i="11"/>
  <c r="F171" i="11"/>
  <c r="DW128" i="11"/>
  <c r="DW102" i="11"/>
  <c r="F21" i="11"/>
  <c r="F45" i="11"/>
  <c r="DW280" i="11"/>
  <c r="DW189" i="11"/>
  <c r="DW279" i="11"/>
  <c r="DW294" i="11"/>
  <c r="DW176" i="11"/>
  <c r="F9" i="11"/>
  <c r="F7" i="11"/>
  <c r="DW241" i="11"/>
  <c r="F182" i="11"/>
  <c r="DW349" i="11"/>
  <c r="DW367" i="11"/>
  <c r="DW324" i="11"/>
  <c r="DW303" i="11"/>
  <c r="DW173" i="11"/>
  <c r="DW156" i="11"/>
  <c r="DW166" i="11"/>
  <c r="F12" i="11"/>
  <c r="F54" i="11"/>
  <c r="DW50" i="11"/>
  <c r="F81" i="11"/>
  <c r="DW17" i="11"/>
  <c r="DW242" i="11"/>
  <c r="DW136" i="11"/>
  <c r="DW104" i="11"/>
  <c r="DW71" i="11"/>
  <c r="DW51" i="11"/>
  <c r="DW157" i="11"/>
  <c r="DW93" i="11"/>
  <c r="DW31" i="11"/>
  <c r="DW13" i="11"/>
  <c r="DW40" i="11"/>
  <c r="DW18" i="11"/>
  <c r="DW106" i="11"/>
  <c r="DW29" i="11"/>
  <c r="DW343" i="11"/>
  <c r="DW331" i="11"/>
  <c r="DW327" i="11"/>
  <c r="F49" i="11"/>
  <c r="F226" i="11"/>
  <c r="F112" i="11"/>
  <c r="F107" i="11"/>
  <c r="DW58" i="11"/>
  <c r="DW41" i="11"/>
  <c r="DW188" i="11"/>
  <c r="DW20" i="11"/>
  <c r="DW16" i="11"/>
  <c r="DW6" i="11"/>
  <c r="F218" i="11"/>
  <c r="F167" i="11"/>
  <c r="F57" i="11"/>
  <c r="F24" i="11"/>
  <c r="DW263" i="11"/>
  <c r="DW260" i="11"/>
  <c r="DW258" i="11"/>
  <c r="DW201" i="11"/>
  <c r="DW196" i="11"/>
  <c r="DW368" i="11"/>
  <c r="F236" i="11"/>
  <c r="DW249" i="11"/>
  <c r="DW245" i="11"/>
  <c r="DW243" i="11"/>
  <c r="F148" i="11"/>
  <c r="F139" i="11"/>
  <c r="F124" i="11"/>
  <c r="DW298" i="11"/>
  <c r="DW292" i="11"/>
  <c r="DW281" i="11"/>
  <c r="DW389" i="11"/>
  <c r="DW193" i="11"/>
  <c r="DW133" i="11"/>
  <c r="DW344" i="11"/>
  <c r="DW147" i="11"/>
  <c r="DW140" i="11"/>
  <c r="DW134" i="11"/>
  <c r="F146" i="11"/>
  <c r="DW386" i="11" l="1"/>
  <c r="F386" i="11"/>
  <c r="B384" i="11" l="1"/>
  <c r="F384" i="11" l="1"/>
  <c r="DW384" i="11" l="1"/>
  <c r="F27" i="11" l="1"/>
  <c r="DW27" i="11" l="1"/>
  <c r="DW67" i="11" l="1"/>
  <c r="F67" i="11" l="1"/>
  <c r="DW274" i="11" l="1"/>
  <c r="F274" i="11" l="1"/>
  <c r="DW65" i="11" l="1"/>
  <c r="F65" i="11"/>
  <c r="F97" i="11" l="1"/>
  <c r="DW97" i="11"/>
  <c r="B305" i="11" l="1"/>
  <c r="DW37" i="11"/>
  <c r="F37" i="11"/>
  <c r="F305" i="11" l="1"/>
  <c r="DW305" i="11"/>
  <c r="DW11" i="11" l="1"/>
  <c r="G393" i="11" l="1"/>
  <c r="G394" i="11" s="1"/>
  <c r="B390" i="11"/>
  <c r="F390" i="11" s="1"/>
  <c r="B393" i="11" l="1"/>
  <c r="DW390" i="11"/>
  <c r="F393" i="11" l="1"/>
  <c r="DW393" i="11"/>
  <c r="B394" i="11"/>
  <c r="DW394" i="11" l="1"/>
  <c r="F39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Lesli2005</author>
    <author>Office-pc</author>
  </authors>
  <commentList>
    <comment ref="RE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09/01</t>
        </r>
      </text>
    </comment>
    <comment ref="RE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30/01</t>
        </r>
      </text>
    </comment>
    <comment ref="RE4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13/01</t>
        </r>
      </text>
    </comment>
    <comment ref="RF6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07/02</t>
        </r>
      </text>
    </comment>
    <comment ref="RE8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11/01</t>
        </r>
      </text>
    </comment>
    <comment ref="RE11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13/01</t>
        </r>
      </text>
    </comment>
    <comment ref="RE12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13/01</t>
        </r>
      </text>
    </comment>
    <comment ref="RE1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30/01</t>
        </r>
      </text>
    </comment>
    <comment ref="RF14" authorId="1" shapeId="0" xr:uid="{00000000-0006-0000-0000-000009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10/02</t>
        </r>
      </text>
    </comment>
    <comment ref="RD1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1980$ </t>
        </r>
      </text>
    </comment>
    <comment ref="RE17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27/01</t>
        </r>
      </text>
    </comment>
    <comment ref="RD18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19/01 1980 $ курс 2,6386</t>
        </r>
      </text>
    </comment>
    <comment ref="RE18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18/01</t>
        </r>
      </text>
    </comment>
    <comment ref="RF19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09/02</t>
        </r>
      </text>
    </comment>
    <comment ref="RE20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31/01</t>
        </r>
      </text>
    </comment>
    <comment ref="RD21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507,72$  курс 2,6308</t>
        </r>
      </text>
    </comment>
    <comment ref="RE2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19/01
20/01</t>
        </r>
      </text>
    </comment>
    <comment ref="RE26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20/01</t>
        </r>
      </text>
    </comment>
    <comment ref="RE27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05/01</t>
        </r>
      </text>
    </comment>
    <comment ref="RE28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12/01</t>
        </r>
      </text>
    </comment>
    <comment ref="RF29" authorId="1" shapeId="0" xr:uid="{00000000-0006-0000-0000-000015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10/02</t>
        </r>
      </text>
    </comment>
    <comment ref="RE30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24/01</t>
        </r>
      </text>
    </comment>
    <comment ref="RE31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30/01</t>
        </r>
      </text>
    </comment>
    <comment ref="RE32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31/01</t>
        </r>
      </text>
    </comment>
    <comment ref="RE33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20/01</t>
        </r>
      </text>
    </comment>
    <comment ref="RF34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06/02</t>
        </r>
      </text>
    </comment>
    <comment ref="RF35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07/0209/02</t>
        </r>
      </text>
    </comment>
    <comment ref="RE36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26/01</t>
        </r>
      </text>
    </comment>
    <comment ref="RE38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19/12 0,32 коп
24/01</t>
        </r>
      </text>
    </comment>
    <comment ref="RF39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08/02</t>
        </r>
      </text>
    </comment>
    <comment ref="RF41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06/02</t>
        </r>
      </text>
    </comment>
    <comment ref="RE45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30/01
31/01</t>
        </r>
      </text>
    </comment>
    <comment ref="RE47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переплата с 2022 г.</t>
        </r>
      </text>
    </comment>
    <comment ref="RE49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19/01</t>
        </r>
      </text>
    </comment>
    <comment ref="RF50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06/02
13/02</t>
        </r>
      </text>
    </comment>
    <comment ref="RF51" authorId="1" shapeId="0" xr:uid="{00000000-0006-0000-0000-000024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13/02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</author>
  </authors>
  <commentList>
    <comment ref="DV20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</t>
        </r>
      </text>
    </comment>
    <comment ref="DV300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</t>
        </r>
      </text>
    </comment>
  </commentList>
</comments>
</file>

<file path=xl/sharedStrings.xml><?xml version="1.0" encoding="utf-8"?>
<sst xmlns="http://schemas.openxmlformats.org/spreadsheetml/2006/main" count="1236" uniqueCount="578">
  <si>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</si>
  <si>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</si>
  <si>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</si>
  <si>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</si>
  <si>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</si>
  <si>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</si>
  <si>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</si>
  <si>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</si>
  <si>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</si>
  <si>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</si>
  <si>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</si>
  <si>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</si>
  <si>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</si>
  <si>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</si>
  <si>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</si>
  <si>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</si>
  <si>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</si>
  <si>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</si>
  <si>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</si>
  <si>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</si>
  <si>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</si>
  <si>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</si>
  <si>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</si>
  <si>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</si>
  <si>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</si>
  <si>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</si>
  <si>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</si>
  <si>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</si>
  <si>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</si>
  <si>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</si>
  <si>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</si>
  <si>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</si>
  <si>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</si>
  <si>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</si>
  <si>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</si>
  <si>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</si>
  <si>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</si>
  <si>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</si>
  <si>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</si>
  <si>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</si>
  <si>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</si>
  <si>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</si>
  <si>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</si>
  <si>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</si>
  <si>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</si>
  <si>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</si>
  <si>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</si>
  <si>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</si>
  <si>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</si>
  <si>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</si>
  <si>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</si>
  <si>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</si>
  <si>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</si>
  <si>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</si>
  <si>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</si>
  <si>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</si>
  <si>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</si>
  <si>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кг с ндс</t>
  </si>
  <si>
    <t>Фундук 662</t>
  </si>
  <si>
    <t>Лимон 602</t>
  </si>
  <si>
    <t>Имбирь 685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</si>
  <si>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</si>
  <si>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</si>
  <si>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</si>
  <si>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</si>
  <si>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</si>
  <si>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</si>
  <si>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</si>
  <si>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</si>
  <si>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</si>
  <si>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</si>
  <si>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</si>
  <si>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</si>
  <si>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</si>
  <si>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</si>
  <si>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</si>
  <si>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</si>
  <si>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</si>
  <si>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</si>
  <si>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</si>
  <si>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</si>
  <si>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</si>
  <si>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</si>
  <si>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</si>
  <si>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</si>
  <si>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</si>
  <si>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</si>
  <si>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</si>
  <si>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</si>
  <si>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</si>
  <si>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</si>
  <si>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</si>
  <si>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</si>
  <si>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</si>
  <si>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</si>
  <si>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</si>
  <si>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</si>
  <si>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</si>
  <si>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</si>
  <si>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</si>
  <si>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</si>
  <si>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</si>
  <si>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</si>
  <si>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</si>
  <si>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</si>
  <si>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</si>
  <si>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</si>
  <si>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</si>
  <si>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</si>
  <si>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</si>
  <si>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</si>
  <si>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</si>
  <si>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</si>
  <si>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</si>
  <si>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</si>
  <si>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</si>
  <si>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</si>
  <si>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</si>
  <si>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</si>
  <si>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</si>
  <si>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</si>
  <si>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</si>
  <si>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</si>
  <si>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</si>
  <si>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</si>
  <si>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</si>
  <si>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</si>
  <si>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</si>
  <si>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</si>
  <si>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</si>
  <si>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</si>
  <si>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</si>
  <si>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</si>
  <si>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</si>
  <si>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</si>
  <si>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</si>
  <si>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</si>
  <si>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</si>
  <si>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</si>
  <si>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</si>
  <si>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</si>
  <si>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</si>
  <si>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</si>
  <si>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</si>
  <si>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</si>
  <si>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</si>
  <si>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</si>
  <si>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</si>
  <si>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</si>
  <si>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</si>
  <si>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</si>
  <si>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</si>
  <si>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</si>
  <si>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</si>
  <si>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</si>
  <si>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</si>
  <si>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</si>
  <si>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</si>
  <si>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</si>
  <si>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</si>
  <si>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</si>
  <si>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</si>
  <si>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</si>
  <si>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</si>
  <si>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</si>
  <si>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</si>
  <si>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</si>
  <si>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</si>
  <si>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</si>
  <si>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</si>
  <si>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</si>
  <si>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</si>
  <si>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молоко-ваниль 633</t>
  </si>
  <si>
    <t>Клубника 1204</t>
  </si>
  <si>
    <t>ММЗ1</t>
  </si>
  <si>
    <t>Какао 604</t>
  </si>
  <si>
    <t>Лайм бразильский 1144</t>
  </si>
  <si>
    <t>тип Мятный</t>
  </si>
  <si>
    <t>Акванат хлорофилл 0227</t>
  </si>
  <si>
    <t>Абрикос 696</t>
  </si>
  <si>
    <t>Новотон S голубой лед 109</t>
  </si>
  <si>
    <t>Ягодный 1356 тип Клюква садовая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</si>
  <si>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</si>
  <si>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</si>
  <si>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</si>
  <si>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</si>
  <si>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</si>
  <si>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</si>
  <si>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</si>
  <si>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СКЛАД</t>
  </si>
  <si>
    <t>Апельсин 797</t>
  </si>
  <si>
    <t>Фисташка 1127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</si>
  <si>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</si>
  <si>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</si>
  <si>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</si>
  <si>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</si>
  <si>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</si>
  <si>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</si>
  <si>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</si>
  <si>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</si>
  <si>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</si>
  <si>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</si>
  <si>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</si>
  <si>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</si>
  <si>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</si>
  <si>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</si>
  <si>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</si>
  <si>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</si>
  <si>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</si>
  <si>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</si>
  <si>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</si>
  <si>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</si>
  <si>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</si>
  <si>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</si>
  <si>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</si>
  <si>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</si>
  <si>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</si>
  <si>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</si>
  <si>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</si>
  <si>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</si>
  <si>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</si>
  <si>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</si>
  <si>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</si>
  <si>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</si>
  <si>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</si>
  <si>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</si>
  <si>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</si>
  <si>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</si>
  <si>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</si>
  <si>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</si>
  <si>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</si>
  <si>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</si>
  <si>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</si>
  <si>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</si>
  <si>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</si>
  <si>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</si>
  <si>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Вареная сгущенка 1202</t>
  </si>
  <si>
    <t>Вишневый 1369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</si>
  <si>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</si>
  <si>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</si>
  <si>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</si>
  <si>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</si>
  <si>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</si>
  <si>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</si>
  <si>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</si>
  <si>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</si>
  <si>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</si>
  <si>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</si>
  <si>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</si>
  <si>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</si>
  <si>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</si>
  <si>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</si>
  <si>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</si>
  <si>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</si>
  <si>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</si>
  <si>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</si>
  <si>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</si>
  <si>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</si>
  <si>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</si>
  <si>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</si>
  <si>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</si>
  <si>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</si>
  <si>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</si>
  <si>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</si>
  <si>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</si>
  <si>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</si>
  <si>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</si>
  <si>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</si>
  <si>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</si>
  <si>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</si>
  <si>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</si>
  <si>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</si>
  <si>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</si>
  <si>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</si>
  <si>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</si>
  <si>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</si>
  <si>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</si>
  <si>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</si>
  <si>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</si>
  <si>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</si>
  <si>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Банан 736</t>
  </si>
  <si>
    <t>Акванат Кармин 0328</t>
  </si>
  <si>
    <t>Бабушкина кр.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</si>
  <si>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</si>
  <si>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</si>
  <si>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</si>
  <si>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</si>
  <si>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</si>
  <si>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</si>
  <si>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</si>
  <si>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</si>
  <si>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</si>
  <si>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</si>
  <si>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</si>
  <si>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</si>
  <si>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</si>
  <si>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</si>
  <si>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</si>
  <si>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</si>
  <si>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</si>
  <si>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</si>
  <si>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</si>
  <si>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</si>
  <si>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</si>
  <si>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</si>
  <si>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</si>
  <si>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</si>
  <si>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</si>
  <si>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</si>
  <si>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</si>
  <si>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</si>
  <si>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</si>
  <si>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</si>
  <si>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</si>
  <si>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</si>
  <si>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</si>
  <si>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</si>
  <si>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</si>
  <si>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</si>
  <si>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</si>
  <si>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</si>
  <si>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</si>
  <si>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</si>
  <si>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</si>
  <si>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</si>
  <si>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</si>
  <si>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</si>
  <si>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</si>
  <si>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Йогурт 775</t>
  </si>
  <si>
    <t>Коктейль голубая лагуна 1487</t>
  </si>
  <si>
    <t>Черемуха 1382</t>
  </si>
  <si>
    <t>Столбцы</t>
  </si>
  <si>
    <t>Вишня 1104</t>
  </si>
  <si>
    <t>Лимон 702</t>
  </si>
  <si>
    <t>Амаретто 769</t>
  </si>
  <si>
    <t>Белга</t>
  </si>
  <si>
    <t>Вишня 827 с красителем</t>
  </si>
  <si>
    <t>Вишня 1348</t>
  </si>
  <si>
    <t>Творожный крем 1109</t>
  </si>
  <si>
    <t>Масло сливочное 1116</t>
  </si>
  <si>
    <t>Фисташка 565</t>
  </si>
  <si>
    <t>Крем-брюле 612</t>
  </si>
  <si>
    <t>ЭССА</t>
  </si>
  <si>
    <t>Брусника 730</t>
  </si>
  <si>
    <t>Пружаны</t>
  </si>
  <si>
    <t>Мед 1155</t>
  </si>
  <si>
    <t>Сливки 1196</t>
  </si>
  <si>
    <t>Сливки сгущеные 760</t>
  </si>
  <si>
    <t>Ванильный 1201</t>
  </si>
  <si>
    <t>Миндаль горький 1305</t>
  </si>
  <si>
    <t>Миндаль 505</t>
  </si>
  <si>
    <t>Облепиха 743</t>
  </si>
  <si>
    <t>Абибоки</t>
  </si>
  <si>
    <t>Кармин WS 50%</t>
  </si>
  <si>
    <t>Конц. Сок черной моркови</t>
  </si>
  <si>
    <t>тип Укроп 541</t>
  </si>
  <si>
    <t>Карамель 782</t>
  </si>
  <si>
    <t>Клубника 1185</t>
  </si>
  <si>
    <t>Молоко топленое 595</t>
  </si>
  <si>
    <t>Булочная ман</t>
  </si>
  <si>
    <t>Чиз кейк 1134</t>
  </si>
  <si>
    <t>Диоксид титана Китай</t>
  </si>
  <si>
    <t>Экоплант Зкстракт синий 0304 WS</t>
  </si>
  <si>
    <t>Киви 1323</t>
  </si>
  <si>
    <t>Кола 1374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</si>
  <si>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</si>
  <si>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</si>
  <si>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</si>
  <si>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</si>
  <si>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</si>
  <si>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Экоплант Зкстракт Желтый 1071PS WS</t>
  </si>
  <si>
    <t>Экоплант Зкстракт синий 1073PS WS</t>
  </si>
  <si>
    <t>Зеленое яблоко 312 ES ЛАК</t>
  </si>
  <si>
    <t>Корица 514</t>
  </si>
  <si>
    <t>Гвоздика 709</t>
  </si>
  <si>
    <t>Коричневый шоколад 318 лак</t>
  </si>
  <si>
    <t>Анис 1339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</si>
  <si>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</si>
  <si>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</si>
  <si>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</si>
  <si>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</si>
  <si>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</si>
  <si>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</si>
  <si>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</si>
  <si>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Фруктовый 1326 ти п Персик</t>
  </si>
  <si>
    <t>Темный шоколад 325 ЛАК</t>
  </si>
  <si>
    <t>Экотан антоцианин Р 0466</t>
  </si>
  <si>
    <t>Пряный 1498 тип мята</t>
  </si>
  <si>
    <t>Белянтех</t>
  </si>
  <si>
    <t>Желтый 6 E110</t>
  </si>
  <si>
    <t>Желтый 5 E102</t>
  </si>
  <si>
    <t>Синий 1 E133</t>
  </si>
  <si>
    <t>Красный 40 E 129</t>
  </si>
  <si>
    <t>АРОМАКОЛОР P100</t>
  </si>
  <si>
    <t>Хиниловый желтый ES Лак</t>
  </si>
  <si>
    <t>Ванильно-сливочный 1502</t>
  </si>
  <si>
    <t>тип Абрикос 1107</t>
  </si>
  <si>
    <t>Дан дистрибьюшен</t>
  </si>
  <si>
    <t>Ванильно-сливочный 723</t>
  </si>
  <si>
    <t>Фруктовый 1325 ти Красный виноград</t>
  </si>
  <si>
    <t>Глиттер Малина 009</t>
  </si>
  <si>
    <t>Михромовый Фиолетовый 0603В</t>
  </si>
  <si>
    <t>Акванат паприка 0544</t>
  </si>
  <si>
    <t>Цитрусовый 551</t>
  </si>
  <si>
    <t>Прованские травы 1336</t>
  </si>
  <si>
    <t>Ванильный 741</t>
  </si>
  <si>
    <t>Экотон Аннато 0011</t>
  </si>
  <si>
    <t>Тоффи 1170</t>
  </si>
  <si>
    <t>Синий блестящий FCF S лак</t>
  </si>
  <si>
    <t>Глиттер Зеленое яблоко 010</t>
  </si>
  <si>
    <t>Коричневый шоколад R240</t>
  </si>
  <si>
    <t>Глиттер Жемчужный лимонный 020</t>
  </si>
  <si>
    <t>Глиттер Жемчужный синий 018</t>
  </si>
  <si>
    <t>тип Пломбир 1122</t>
  </si>
  <si>
    <t>Лимон 1139</t>
  </si>
  <si>
    <t>Тоффи 714</t>
  </si>
  <si>
    <t>Мохито 1153</t>
  </si>
  <si>
    <t>Толочинские сыры</t>
  </si>
  <si>
    <t>Мед 818 с красителем Е150а</t>
  </si>
  <si>
    <t>Виноградно яблочный 209</t>
  </si>
  <si>
    <t>Лимонад 503</t>
  </si>
  <si>
    <t>Апельсин 403</t>
  </si>
  <si>
    <t>Кола 575</t>
  </si>
  <si>
    <t>Фруктовый 1343 тип Гранат</t>
  </si>
  <si>
    <t>Ваниль 934/М</t>
  </si>
  <si>
    <t>Зеленое яблоко 312 ЛАК</t>
  </si>
  <si>
    <t>Ванильно-сливочный 906/С</t>
  </si>
  <si>
    <t>Бейлиз 778</t>
  </si>
  <si>
    <t>Михромовый зеленый 0064В</t>
  </si>
  <si>
    <t>Абрикос Y R510</t>
  </si>
  <si>
    <t>Аквабетин бетакаротин 0101М</t>
  </si>
  <si>
    <t>Рибофлавин, Китай</t>
  </si>
  <si>
    <t>Бета каротин 10% CWS</t>
  </si>
  <si>
    <t>Грибы FL042 тип Грибы</t>
  </si>
  <si>
    <t>Ирисо-сливочный 733</t>
  </si>
  <si>
    <t>МИХРОМОВЫЙ Фиолетовый 0200U</t>
  </si>
  <si>
    <t>Грейпфрут 726</t>
  </si>
  <si>
    <t>Дятлово ЛВЗ</t>
  </si>
  <si>
    <t>Барбарис 1468</t>
  </si>
  <si>
    <t>Каратом М-40</t>
  </si>
  <si>
    <t>Красный железоокисный Е 172</t>
  </si>
  <si>
    <t>Новотон R Мастер сочная клубника 102</t>
  </si>
  <si>
    <t>Акванат кармин 0207/1</t>
  </si>
  <si>
    <t>Цитрусовый 724 тип Апельсин</t>
  </si>
  <si>
    <t>Монтбрук</t>
  </si>
  <si>
    <t>Эвкалипт 658</t>
  </si>
  <si>
    <t>Вишня 919/М</t>
  </si>
  <si>
    <t>Банан 917/М</t>
  </si>
  <si>
    <t>Карамель 928/М</t>
  </si>
  <si>
    <t>Белобст</t>
  </si>
  <si>
    <t>Лесная ягода 1334 тип Черника</t>
  </si>
  <si>
    <t>тип Ваниль сливочная 1181</t>
  </si>
  <si>
    <t>тип Клубника 1103</t>
  </si>
  <si>
    <t>тип Сливки 1126</t>
  </si>
  <si>
    <t>Шоколад 922/М</t>
  </si>
  <si>
    <t>Милкавита</t>
  </si>
  <si>
    <t>Биями</t>
  </si>
  <si>
    <t>Новотон G Зеленый виноград 206</t>
  </si>
  <si>
    <t>Новотон Y Солнечный лимон 203</t>
  </si>
  <si>
    <t>Вишня 061</t>
  </si>
  <si>
    <t>Цитрусовый 570 тип Лимон-лайм</t>
  </si>
  <si>
    <t>Персик</t>
  </si>
  <si>
    <t>Вишня 667</t>
  </si>
  <si>
    <t>Мед 1192</t>
  </si>
  <si>
    <t>Грейпфрутовый 1158</t>
  </si>
  <si>
    <t>Лимон 926/М</t>
  </si>
  <si>
    <t>Михромовый зеленый 0614В</t>
  </si>
  <si>
    <t>Новотон R Солнечная клубника 202</t>
  </si>
  <si>
    <t>Новотон Y Персиковый нектар 304</t>
  </si>
  <si>
    <t>Аквабетин бетакаротин Р 0993В</t>
  </si>
  <si>
    <t>Лукаротин 10 CWD/O Плюс</t>
  </si>
  <si>
    <t>Персик 1146</t>
  </si>
  <si>
    <t>Фруктовый 1332 тип Манго</t>
  </si>
  <si>
    <t>Личи 1355</t>
  </si>
  <si>
    <t>Коктейль Пина колада 1484</t>
  </si>
  <si>
    <t>Фруктовый 786 тип Грушевый</t>
  </si>
  <si>
    <t>Клубника 930/М</t>
  </si>
  <si>
    <t>Лесные ягоды 921/М</t>
  </si>
  <si>
    <t>Яблоко 943/М</t>
  </si>
  <si>
    <t>Масло-мол FL 603 тип Топленое молоко</t>
  </si>
  <si>
    <t>Экоклауд эмульсия нейтральная</t>
  </si>
  <si>
    <t>Аквабетин бетакаротин РS 1066В</t>
  </si>
  <si>
    <t>Вишнево яблочный 204</t>
  </si>
  <si>
    <t>Клюква 1203</t>
  </si>
  <si>
    <t>Черная смородина</t>
  </si>
  <si>
    <t>Экоплант Зкстракт желтый 0278 WS</t>
  </si>
  <si>
    <t>Грибы белые 1387</t>
  </si>
  <si>
    <t>Кармуазин Р 02</t>
  </si>
  <si>
    <t>Изабелла R 010</t>
  </si>
  <si>
    <t>Земляника 1141</t>
  </si>
  <si>
    <t>Зеленое яблоко 069</t>
  </si>
  <si>
    <t>Крем 562</t>
  </si>
  <si>
    <t>Малина садовая 518</t>
  </si>
  <si>
    <t>Ментол 646</t>
  </si>
  <si>
    <t>тип Базилик 656</t>
  </si>
  <si>
    <t>тип Дыня 1112</t>
  </si>
  <si>
    <t>Стародорож. ПЗ</t>
  </si>
  <si>
    <t>Грейпфрут 744</t>
  </si>
  <si>
    <t>Груша дюшес 754</t>
  </si>
  <si>
    <t>Браслав произв.</t>
  </si>
  <si>
    <t>Мультифрут 721</t>
  </si>
  <si>
    <t>Чай зеленый 734</t>
  </si>
  <si>
    <t>Шоколад трюфель 683/02</t>
  </si>
  <si>
    <t>Шоколад фондю 1131</t>
  </si>
  <si>
    <t>Ананас 1108</t>
  </si>
  <si>
    <t>Банан 1435</t>
  </si>
  <si>
    <t>Новотон S голубой лед 209</t>
  </si>
  <si>
    <t>Черная смородина 625</t>
  </si>
  <si>
    <t>Унифид</t>
  </si>
  <si>
    <t>АРОМАКОЛОР 0983</t>
  </si>
  <si>
    <t>Манго 689</t>
  </si>
  <si>
    <t>Клубника со сливками 708</t>
  </si>
  <si>
    <t>Малина 1450</t>
  </si>
  <si>
    <t>Черная смородина 554</t>
  </si>
  <si>
    <t>31.10,14.11</t>
  </si>
  <si>
    <t>Экотон Паприка 0010</t>
  </si>
  <si>
    <t>Гурман FL 606 тип Курица</t>
  </si>
  <si>
    <t>Пряности и травы FL 049 тип Имбирь</t>
  </si>
  <si>
    <t>Коричневый НТ</t>
  </si>
  <si>
    <t>Глиттер бирюзовый 050</t>
  </si>
  <si>
    <t>срок 20.02.2023</t>
  </si>
  <si>
    <t>срок 02.01.2023</t>
  </si>
  <si>
    <t>Клубника FF90406"</t>
  </si>
  <si>
    <t>Белый шоколад FF90062"</t>
  </si>
  <si>
    <t>остаток 03.01.2023</t>
  </si>
  <si>
    <t>Ваш хлеб</t>
  </si>
  <si>
    <t>срок 09.02.2023</t>
  </si>
  <si>
    <t>срок 10.02.2023</t>
  </si>
  <si>
    <t>срок 16.02.2023</t>
  </si>
  <si>
    <t>срок 11.02.2023</t>
  </si>
  <si>
    <t>срок 31.01.2023</t>
  </si>
  <si>
    <t>Мидаспро</t>
  </si>
  <si>
    <t>Гродно х/п</t>
  </si>
  <si>
    <t>Калина</t>
  </si>
  <si>
    <t>Фудмир</t>
  </si>
  <si>
    <t>КХПА</t>
  </si>
  <si>
    <t>ТД Аэросвит</t>
  </si>
  <si>
    <t>Джин 598</t>
  </si>
  <si>
    <t>Яблочный штрудель 1301</t>
  </si>
  <si>
    <t>срок 08.02.2023</t>
  </si>
  <si>
    <t>срок 19.02.2023</t>
  </si>
  <si>
    <t>срок 17.03.2023</t>
  </si>
  <si>
    <t>срок 30.01.2023</t>
  </si>
  <si>
    <t>срок 23.02.2023</t>
  </si>
  <si>
    <t>МЗВВ</t>
  </si>
  <si>
    <t>Роял фрут</t>
  </si>
  <si>
    <t>Городея</t>
  </si>
  <si>
    <t>Олвитранс</t>
  </si>
  <si>
    <t>срок 24.03.2023</t>
  </si>
  <si>
    <t>срок 15.02.2023</t>
  </si>
  <si>
    <t>срок 22.03.2023</t>
  </si>
  <si>
    <t>Семенов С.И.</t>
  </si>
  <si>
    <t>29.12.2022, 30.01.2023</t>
  </si>
  <si>
    <t>23.01.2023,30.01.2023</t>
  </si>
  <si>
    <t>Нордар</t>
  </si>
  <si>
    <t>Дятлово мол. Мир</t>
  </si>
  <si>
    <t>Морозпродукт</t>
  </si>
  <si>
    <t>Лидапищ</t>
  </si>
  <si>
    <t>срок 07.03.2023</t>
  </si>
  <si>
    <t>срок 01.03.2023</t>
  </si>
  <si>
    <t>Солигорск х/зд</t>
  </si>
  <si>
    <t>Гуарди</t>
  </si>
  <si>
    <t>ЭКОресурс</t>
  </si>
  <si>
    <t>Тархун R120</t>
  </si>
  <si>
    <t>Молочный гостинец</t>
  </si>
  <si>
    <t>Брест ЛВЗ</t>
  </si>
  <si>
    <t>Орша СЗ</t>
  </si>
  <si>
    <t>Универсал люкс</t>
  </si>
  <si>
    <t>Кр. Мозырянин</t>
  </si>
  <si>
    <t>Березкина А.В. ИП</t>
  </si>
  <si>
    <t>Берестейский пекарь Лунинец</t>
  </si>
  <si>
    <t>30.01,13.02.2023</t>
  </si>
  <si>
    <t>Апельсин сицилийский 1352</t>
  </si>
  <si>
    <t>30.01.13.02.2023</t>
  </si>
  <si>
    <t>23.01.13.02.2023</t>
  </si>
  <si>
    <t>Молочный 1145</t>
  </si>
  <si>
    <t>02.12,13.02.2023</t>
  </si>
  <si>
    <t>Компания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</si>
</sst>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 Cyr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1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164" fontId="5" fillId="0" borderId="3" xfId="0" applyNumberFormat="1" applyFont="1" applyBorder="1"/>
    <xf numFmtId="3" fontId="5" fillId="0" borderId="3" xfId="0" applyNumberFormat="1" applyFont="1" applyFill="1" applyBorder="1"/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0" fontId="6" fillId="6" borderId="6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0" fontId="11" fillId="0" borderId="0" xfId="0" applyFont="1" applyFill="1" applyBorder="1" applyAlignment="1">
      <alignment horizontal="left" wrapText="1"/>
    </xf>
    <xf numFmtId="0" fontId="10" fillId="0" borderId="3" xfId="0" applyFont="1" applyFill="1" applyBorder="1"/>
    <xf numFmtId="167" fontId="10" fillId="0" borderId="3" xfId="0" applyNumberFormat="1" applyFont="1" applyFill="1" applyBorder="1" applyAlignment="1">
      <alignment horizontal="center"/>
    </xf>
    <xf numFmtId="167" fontId="12" fillId="0" borderId="3" xfId="0" applyNumberFormat="1" applyFont="1" applyFill="1" applyBorder="1" applyAlignment="1">
      <alignment vertical="center"/>
    </xf>
    <xf numFmtId="14" fontId="12" fillId="0" borderId="3" xfId="0" applyNumberFormat="1" applyFont="1" applyFill="1" applyBorder="1" applyAlignment="1">
      <alignment vertical="center"/>
    </xf>
    <xf numFmtId="3" fontId="12" fillId="0" borderId="3" xfId="0" applyNumberFormat="1" applyFont="1" applyFill="1" applyBorder="1" applyAlignment="1">
      <alignment vertical="center"/>
    </xf>
    <xf numFmtId="1" fontId="10" fillId="0" borderId="3" xfId="0" applyNumberFormat="1" applyFont="1" applyFill="1" applyBorder="1" applyAlignment="1">
      <alignment vertical="center"/>
    </xf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5" fillId="11" borderId="3" xfId="0" applyNumberFormat="1" applyFont="1" applyFill="1" applyBorder="1"/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3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4" fontId="1" fillId="0" borderId="3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166" fontId="15" fillId="0" borderId="3" xfId="0" applyNumberFormat="1" applyFont="1" applyBorder="1"/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0" xfId="0" applyFont="1" applyAlignment="1">
      <alignment horizontal="center"/>
    </xf>
    <xf numFmtId="0" fontId="0" fillId="9" borderId="1" xfId="0" applyFill="1" applyBorder="1" applyAlignment="1">
      <alignment horizontal="center"/>
    </xf>
    <xf numFmtId="2" fontId="0" fillId="0" borderId="3" xfId="0" applyNumberFormat="1" applyFill="1" applyBorder="1"/>
    <xf numFmtId="4" fontId="5" fillId="13" borderId="3" xfId="0" applyNumberFormat="1" applyFont="1" applyFill="1" applyBorder="1"/>
    <xf numFmtId="167" fontId="7" fillId="0" borderId="0" xfId="0" applyNumberFormat="1" applyFont="1" applyFill="1" applyBorder="1" applyAlignment="1">
      <alignment horizontal="center"/>
    </xf>
    <xf numFmtId="167" fontId="1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14" fontId="5" fillId="0" borderId="0" xfId="0" applyNumberFormat="1" applyFont="1" applyFill="1" applyBorder="1" applyAlignment="1">
      <alignment horizontal="left"/>
    </xf>
    <xf numFmtId="14" fontId="4" fillId="0" borderId="0" xfId="0" applyNumberFormat="1" applyFont="1" applyFill="1"/>
    <xf numFmtId="4" fontId="5" fillId="14" borderId="3" xfId="0" applyNumberFormat="1" applyFont="1" applyFill="1" applyBorder="1" applyAlignment="1">
      <alignment horizontal="right"/>
    </xf>
    <xf numFmtId="0" fontId="0" fillId="11" borderId="3" xfId="0" applyFill="1" applyBorder="1" applyAlignment="1">
      <alignment horizontal="center"/>
    </xf>
    <xf numFmtId="14" fontId="0" fillId="0" borderId="0" xfId="0" applyNumberFormat="1" applyFill="1" applyBorder="1"/>
    <xf numFmtId="0" fontId="18" fillId="0" borderId="3" xfId="0" applyFont="1" applyFill="1" applyBorder="1"/>
  </cellXfs>
  <cellStyles count="2">
    <cellStyle name="Обычный" xfId="0" builtinId="0"/>
    <cellStyle name="Финансовый_Декабрь" xfId="1" xr:uid="{00000000-0005-0000-0000-000001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45720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441960</xdr:rowOff>
        </xdr:from>
        <xdr:to>
          <xdr:col>0</xdr:col>
          <xdr:colOff>1706880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RH52"/>
  <sheetViews>
    <sheetView tabSelected="1" zoomScale="110" zoomScaleNormal="110" workbookViewId="0">
      <pane ySplit="1" topLeftCell="A2" activePane="bottomLeft" state="frozen"/>
      <selection pane="bottomLeft" activeCell="PC1" sqref="PC1"/>
    </sheetView>
  </sheetViews>
  <sheetFormatPr defaultColWidth="9.109375" defaultRowHeight="13.2" x14ac:dyDescent="0.25"/>
  <cols>
    <col min="1" max="1" width="8.109375" style="22" customWidth="1"/>
    <col min="2" max="2" width="20.33203125" style="37" customWidth="1"/>
    <col min="3" max="4" width="11.33203125" style="105" customWidth="1"/>
    <col min="5" max="5" width="10.5546875" style="105" customWidth="1"/>
    <col min="6" max="7" width="11.33203125" style="105" customWidth="1"/>
    <col min="8" max="8" width="12" style="105" customWidth="1"/>
    <col min="9" max="9" width="9.88671875" style="105" customWidth="1"/>
    <col min="10" max="13" width="10.6640625" style="105" customWidth="1"/>
    <col min="14" max="15" width="12.33203125" style="102" customWidth="1"/>
    <col min="16" max="17" width="13" style="102" customWidth="1"/>
    <col min="18" max="18" width="12.44140625" style="102" customWidth="1"/>
    <col min="19" max="19" width="12.33203125" style="102" customWidth="1"/>
    <col min="20" max="20" width="12.33203125" style="103" customWidth="1"/>
    <col min="21" max="21" width="9.6640625" style="103" customWidth="1"/>
    <col min="22" max="23" width="10.6640625" style="103" customWidth="1"/>
    <col min="24" max="25" width="12.6640625" style="103" customWidth="1"/>
    <col min="26" max="28" width="12.33203125" style="103" customWidth="1"/>
    <col min="29" max="31" width="9.88671875" style="103" customWidth="1"/>
    <col min="32" max="32" width="7.109375" style="103" customWidth="1"/>
    <col min="33" max="34" width="11.109375" style="103" customWidth="1"/>
    <col min="35" max="36" width="9.6640625" style="103" customWidth="1"/>
    <col min="37" max="38" width="12.109375" style="103" customWidth="1"/>
    <col min="39" max="39" width="17.5546875" style="103" customWidth="1"/>
    <col min="40" max="40" width="19.33203125" style="103" customWidth="1"/>
    <col min="41" max="43" width="19.33203125" style="104" customWidth="1"/>
    <col min="44" max="44" width="17.6640625" style="104" customWidth="1"/>
    <col min="45" max="45" width="13.33203125" style="104" customWidth="1"/>
    <col min="46" max="47" width="13.33203125" style="102" customWidth="1"/>
    <col min="48" max="48" width="14" style="102" customWidth="1"/>
    <col min="49" max="49" width="10.6640625" style="102" customWidth="1"/>
    <col min="50" max="51" width="12.6640625" style="102" customWidth="1"/>
    <col min="52" max="52" width="19" style="102" customWidth="1"/>
    <col min="53" max="54" width="18.44140625" style="102" customWidth="1"/>
    <col min="55" max="55" width="19.33203125" style="102" customWidth="1"/>
    <col min="56" max="57" width="11.44140625" style="102" customWidth="1"/>
    <col min="58" max="59" width="12.109375" style="102" customWidth="1"/>
    <col min="60" max="63" width="18.6640625" style="102" customWidth="1"/>
    <col min="64" max="65" width="9.5546875" style="104" customWidth="1"/>
    <col min="66" max="66" width="19.88671875" style="104" customWidth="1"/>
    <col min="67" max="68" width="17.109375" style="104" customWidth="1"/>
    <col min="69" max="71" width="11.109375" style="104" customWidth="1"/>
    <col min="72" max="74" width="13.6640625" style="104" customWidth="1"/>
    <col min="75" max="75" width="10.33203125" style="104" customWidth="1"/>
    <col min="76" max="76" width="9.33203125" style="102" customWidth="1"/>
    <col min="77" max="78" width="10.88671875" style="102" customWidth="1"/>
    <col min="79" max="79" width="10.109375" style="102" customWidth="1"/>
    <col min="80" max="80" width="12.6640625" style="102" customWidth="1"/>
    <col min="81" max="81" width="14.6640625" style="102" customWidth="1"/>
    <col min="82" max="85" width="12.6640625" style="102" customWidth="1"/>
    <col min="86" max="87" width="10.6640625" style="104" customWidth="1"/>
    <col min="88" max="88" width="15.6640625" style="104" customWidth="1"/>
    <col min="89" max="89" width="18.5546875" style="104" customWidth="1"/>
    <col min="90" max="91" width="9.33203125" style="104" customWidth="1"/>
    <col min="92" max="92" width="11.5546875" style="104" customWidth="1"/>
    <col min="93" max="93" width="11.44140625" style="104" customWidth="1"/>
    <col min="94" max="96" width="13" style="104" customWidth="1"/>
    <col min="97" max="98" width="18.33203125" style="104" customWidth="1"/>
    <col min="99" max="99" width="10.88671875" style="102" customWidth="1"/>
    <col min="100" max="101" width="17.6640625" style="102" customWidth="1"/>
    <col min="102" max="102" width="18.33203125" style="102" customWidth="1"/>
    <col min="103" max="104" width="10.33203125" style="102" customWidth="1"/>
    <col min="105" max="105" width="9.6640625" style="102" customWidth="1"/>
    <col min="106" max="110" width="12.33203125" style="102" customWidth="1"/>
    <col min="111" max="111" width="20" style="102" customWidth="1"/>
    <col min="112" max="112" width="9.6640625" style="102" customWidth="1"/>
    <col min="113" max="115" width="9" style="102" customWidth="1"/>
    <col min="116" max="116" width="12" style="103" customWidth="1"/>
    <col min="117" max="119" width="12" style="104" customWidth="1"/>
    <col min="120" max="120" width="11.33203125" style="104" customWidth="1"/>
    <col min="121" max="126" width="12.6640625" style="104" customWidth="1"/>
    <col min="127" max="127" width="10" style="104" customWidth="1"/>
    <col min="128" max="130" width="10.6640625" style="104" customWidth="1"/>
    <col min="131" max="131" width="14.109375" style="104" customWidth="1"/>
    <col min="132" max="133" width="9.6640625" style="104" customWidth="1"/>
    <col min="134" max="134" width="15.5546875" style="104" customWidth="1"/>
    <col min="135" max="136" width="14.6640625" style="104" customWidth="1"/>
    <col min="137" max="137" width="23.44140625" style="104" customWidth="1"/>
    <col min="138" max="139" width="9.33203125" style="104" customWidth="1"/>
    <col min="140" max="140" width="15.88671875" style="104" customWidth="1"/>
    <col min="141" max="145" width="9" style="104" customWidth="1"/>
    <col min="146" max="146" width="10.44140625" style="104" customWidth="1"/>
    <col min="147" max="147" width="13.109375" style="104" customWidth="1"/>
    <col min="148" max="148" width="19.88671875" style="104" customWidth="1"/>
    <col min="149" max="151" width="19.33203125" style="104" customWidth="1"/>
    <col min="152" max="152" width="13.33203125" style="104" customWidth="1"/>
    <col min="153" max="153" width="12.88671875" style="104" customWidth="1"/>
    <col min="154" max="154" width="12.88671875" style="102" customWidth="1"/>
    <col min="155" max="155" width="11.33203125" style="102" customWidth="1"/>
    <col min="156" max="156" width="18.5546875" style="102" customWidth="1"/>
    <col min="157" max="157" width="18.33203125" style="102" customWidth="1"/>
    <col min="158" max="158" width="19" style="102" customWidth="1"/>
    <col min="159" max="161" width="13.88671875" style="102" customWidth="1"/>
    <col min="162" max="162" width="13.44140625" style="102" customWidth="1"/>
    <col min="163" max="163" width="14.88671875" style="102" customWidth="1"/>
    <col min="164" max="165" width="15.6640625" style="102" customWidth="1"/>
    <col min="166" max="167" width="15.109375" style="102" customWidth="1"/>
    <col min="168" max="168" width="10.109375" style="103" customWidth="1"/>
    <col min="169" max="169" width="12.6640625" style="103" customWidth="1"/>
    <col min="170" max="170" width="10.109375" style="103" customWidth="1"/>
    <col min="171" max="172" width="10.109375" style="104" customWidth="1"/>
    <col min="173" max="173" width="11.6640625" style="102" customWidth="1"/>
    <col min="174" max="175" width="12.5546875" style="102" customWidth="1"/>
    <col min="176" max="176" width="13" style="102" customWidth="1"/>
    <col min="177" max="178" width="14.33203125" style="102" customWidth="1"/>
    <col min="179" max="182" width="10.88671875" style="102" customWidth="1"/>
    <col min="183" max="183" width="13.88671875" style="102" customWidth="1"/>
    <col min="184" max="185" width="9.88671875" style="102" customWidth="1"/>
    <col min="186" max="186" width="8.109375" style="103" customWidth="1"/>
    <col min="187" max="187" width="14.33203125" style="104" customWidth="1"/>
    <col min="188" max="190" width="11.6640625" style="104" customWidth="1"/>
    <col min="191" max="191" width="10.88671875" style="102" customWidth="1"/>
    <col min="192" max="192" width="13.109375" style="102" customWidth="1"/>
    <col min="193" max="193" width="15.33203125" style="102" customWidth="1"/>
    <col min="194" max="194" width="17.6640625" style="102" customWidth="1"/>
    <col min="195" max="195" width="11.33203125" style="102" customWidth="1"/>
    <col min="196" max="196" width="9.33203125" style="102" customWidth="1"/>
    <col min="197" max="197" width="15.33203125" style="102" customWidth="1"/>
    <col min="198" max="198" width="8.6640625" style="102" customWidth="1"/>
    <col min="199" max="199" width="9.44140625" style="102" customWidth="1"/>
    <col min="200" max="202" width="8.6640625" style="102" customWidth="1"/>
    <col min="203" max="204" width="7.88671875" style="102" customWidth="1"/>
    <col min="205" max="205" width="16" style="103" customWidth="1"/>
    <col min="206" max="206" width="17.6640625" style="104" customWidth="1"/>
    <col min="207" max="207" width="15.6640625" style="104" customWidth="1"/>
    <col min="208" max="208" width="11.6640625" style="104" customWidth="1"/>
    <col min="209" max="209" width="11.6640625" style="102" customWidth="1"/>
    <col min="210" max="212" width="18.33203125" style="102" customWidth="1"/>
    <col min="213" max="213" width="18.6640625" style="103" customWidth="1"/>
    <col min="214" max="214" width="18.6640625" style="104" customWidth="1"/>
    <col min="215" max="215" width="19.5546875" style="104" customWidth="1"/>
    <col min="216" max="218" width="17.33203125" style="104" customWidth="1"/>
    <col min="219" max="222" width="18.109375" style="104" customWidth="1"/>
    <col min="223" max="223" width="11.6640625" style="104" customWidth="1"/>
    <col min="224" max="224" width="6.33203125" style="103" customWidth="1"/>
    <col min="225" max="225" width="9.109375" style="104" customWidth="1"/>
    <col min="226" max="226" width="9.88671875" style="104" customWidth="1"/>
    <col min="227" max="227" width="10.6640625" style="104" customWidth="1"/>
    <col min="228" max="228" width="18.44140625" style="104" customWidth="1"/>
    <col min="229" max="229" width="12.33203125" style="104" customWidth="1"/>
    <col min="230" max="231" width="11.33203125" style="104" customWidth="1"/>
    <col min="232" max="234" width="10.5546875" style="104" customWidth="1"/>
    <col min="235" max="235" width="11.33203125" style="104" customWidth="1"/>
    <col min="236" max="236" width="17.6640625" style="102" customWidth="1"/>
    <col min="237" max="237" width="28" style="102" customWidth="1"/>
    <col min="238" max="238" width="19.33203125" style="102" customWidth="1"/>
    <col min="239" max="240" width="17.88671875" style="102" customWidth="1"/>
    <col min="241" max="241" width="9.5546875" style="102" customWidth="1"/>
    <col min="242" max="242" width="8.5546875" style="102" customWidth="1"/>
    <col min="243" max="243" width="11.88671875" style="102" customWidth="1"/>
    <col min="244" max="244" width="16.33203125" style="102" customWidth="1"/>
    <col min="245" max="245" width="10.109375" style="102" customWidth="1"/>
    <col min="246" max="246" width="11.6640625" style="102" customWidth="1"/>
    <col min="247" max="249" width="12.44140625" style="102" customWidth="1"/>
    <col min="250" max="250" width="10.5546875" style="102" customWidth="1"/>
    <col min="251" max="251" width="9.88671875" style="102" customWidth="1"/>
    <col min="252" max="253" width="10.5546875" style="102" customWidth="1"/>
    <col min="254" max="257" width="11.33203125" style="102" customWidth="1"/>
    <col min="258" max="258" width="18.109375" style="102" customWidth="1"/>
    <col min="259" max="259" width="17.88671875" style="102" customWidth="1"/>
    <col min="260" max="260" width="11.44140625" style="102" customWidth="1"/>
    <col min="261" max="261" width="8.5546875" style="102" customWidth="1"/>
    <col min="262" max="262" width="17.109375" style="102" customWidth="1"/>
    <col min="263" max="263" width="17.6640625" style="102" customWidth="1"/>
    <col min="264" max="264" width="10.44140625" style="102" customWidth="1"/>
    <col min="265" max="265" width="10.33203125" style="102" customWidth="1"/>
    <col min="266" max="266" width="17.6640625" style="102" customWidth="1"/>
    <col min="267" max="267" width="10.33203125" style="104" customWidth="1"/>
    <col min="268" max="268" width="11.6640625" style="104" customWidth="1"/>
    <col min="269" max="271" width="12.33203125" style="104" customWidth="1"/>
    <col min="272" max="273" width="14.109375" style="104" customWidth="1"/>
    <col min="274" max="274" width="12.33203125" style="104" customWidth="1"/>
    <col min="275" max="280" width="11.44140625" style="104" customWidth="1"/>
    <col min="281" max="281" width="12.6640625" style="103" customWidth="1"/>
    <col min="282" max="283" width="10.88671875" style="102" customWidth="1"/>
    <col min="284" max="284" width="11.6640625" style="102" customWidth="1"/>
    <col min="285" max="285" width="12.5546875" style="102" customWidth="1"/>
    <col min="286" max="286" width="13.33203125" style="102" customWidth="1"/>
    <col min="287" max="287" width="9.6640625" style="102" customWidth="1"/>
    <col min="288" max="290" width="11.33203125" style="102" customWidth="1"/>
    <col min="291" max="292" width="23.6640625" style="102" customWidth="1"/>
    <col min="293" max="294" width="21.44140625" style="102" customWidth="1"/>
    <col min="295" max="298" width="14.33203125" style="102" customWidth="1"/>
    <col min="299" max="300" width="18.5546875" style="102" customWidth="1"/>
    <col min="301" max="301" width="19.44140625" style="102" customWidth="1"/>
    <col min="302" max="302" width="13" style="104" customWidth="1"/>
    <col min="303" max="303" width="10.5546875" style="104" customWidth="1"/>
    <col min="304" max="304" width="13.33203125" style="104" customWidth="1"/>
    <col min="305" max="306" width="11.33203125" style="102" customWidth="1"/>
    <col min="307" max="307" width="12.109375" style="102" customWidth="1"/>
    <col min="308" max="311" width="11.6640625" style="102" customWidth="1"/>
    <col min="312" max="313" width="12.44140625" style="102" customWidth="1"/>
    <col min="314" max="314" width="17.109375" style="102" customWidth="1"/>
    <col min="315" max="316" width="14.44140625" style="102" customWidth="1"/>
    <col min="317" max="318" width="10.5546875" style="102" customWidth="1"/>
    <col min="319" max="320" width="11.33203125" style="102" customWidth="1"/>
    <col min="321" max="321" width="16.44140625" style="102" customWidth="1"/>
    <col min="322" max="322" width="9.6640625" style="102" customWidth="1"/>
    <col min="323" max="323" width="16.5546875" style="102" customWidth="1"/>
    <col min="324" max="324" width="12.33203125" style="102" customWidth="1"/>
    <col min="325" max="325" width="11.33203125" style="102" customWidth="1"/>
    <col min="326" max="327" width="13.6640625" style="102" customWidth="1"/>
    <col min="328" max="328" width="16.44140625" style="102" customWidth="1"/>
    <col min="329" max="330" width="16.33203125" style="102" customWidth="1"/>
    <col min="331" max="332" width="16.109375" style="102" customWidth="1"/>
    <col min="333" max="333" width="18.33203125" style="102" customWidth="1"/>
    <col min="334" max="335" width="19.33203125" style="102" customWidth="1"/>
    <col min="336" max="336" width="8.88671875" style="102" customWidth="1"/>
    <col min="337" max="337" width="17.88671875" style="102" customWidth="1"/>
    <col min="338" max="338" width="13.6640625" style="102" customWidth="1"/>
    <col min="339" max="339" width="12.6640625" style="102" customWidth="1"/>
    <col min="340" max="341" width="10.6640625" style="102" customWidth="1"/>
    <col min="342" max="343" width="12.88671875" style="102" customWidth="1"/>
    <col min="344" max="344" width="14.109375" style="102" customWidth="1"/>
    <col min="345" max="353" width="13.33203125" style="102" customWidth="1"/>
    <col min="354" max="354" width="11.88671875" style="102" customWidth="1"/>
    <col min="355" max="355" width="12.6640625" style="102" customWidth="1"/>
    <col min="356" max="356" width="16.6640625" style="102" customWidth="1"/>
    <col min="357" max="357" width="13" style="102" customWidth="1"/>
    <col min="358" max="358" width="11.5546875" style="102" customWidth="1"/>
    <col min="359" max="359" width="9.44140625" style="102" customWidth="1"/>
    <col min="360" max="360" width="11.5546875" style="102" customWidth="1"/>
    <col min="361" max="365" width="11.109375" style="102" customWidth="1"/>
    <col min="366" max="368" width="13.88671875" style="102" customWidth="1"/>
    <col min="369" max="369" width="15.88671875" style="102" customWidth="1"/>
    <col min="370" max="370" width="15" style="102" customWidth="1"/>
    <col min="371" max="371" width="11.88671875" style="102" customWidth="1"/>
    <col min="372" max="372" width="13.44140625" style="102" customWidth="1"/>
    <col min="373" max="373" width="14.88671875" style="102" customWidth="1"/>
    <col min="374" max="374" width="8.88671875" style="102" customWidth="1"/>
    <col min="375" max="376" width="7.44140625" style="102" customWidth="1"/>
    <col min="377" max="384" width="9" style="102" customWidth="1"/>
    <col min="385" max="385" width="16.88671875" style="102" customWidth="1"/>
    <col min="386" max="386" width="15.44140625" style="102" customWidth="1"/>
    <col min="387" max="389" width="10.44140625" style="102" customWidth="1"/>
    <col min="390" max="390" width="9.33203125" style="102" customWidth="1"/>
    <col min="391" max="391" width="15.44140625" style="102" customWidth="1"/>
    <col min="392" max="392" width="14.44140625" style="102" customWidth="1"/>
    <col min="393" max="394" width="16" style="102" customWidth="1"/>
    <col min="395" max="396" width="10.44140625" style="102" customWidth="1"/>
    <col min="397" max="397" width="12.109375" style="102" customWidth="1"/>
    <col min="398" max="398" width="14.109375" style="102" customWidth="1"/>
    <col min="399" max="402" width="12.88671875" style="102" customWidth="1"/>
    <col min="403" max="403" width="11.44140625" style="102" customWidth="1"/>
    <col min="404" max="404" width="11" style="102" customWidth="1"/>
    <col min="405" max="405" width="11.88671875" style="102" customWidth="1"/>
    <col min="406" max="407" width="11.33203125" style="102" customWidth="1"/>
    <col min="408" max="408" width="20.6640625" style="102" customWidth="1"/>
    <col min="409" max="409" width="19.33203125" style="102" customWidth="1"/>
    <col min="410" max="410" width="15.6640625" style="102" customWidth="1"/>
    <col min="411" max="412" width="20" style="102" customWidth="1"/>
    <col min="413" max="413" width="21.109375" style="102" customWidth="1"/>
    <col min="414" max="414" width="22.33203125" style="102" customWidth="1"/>
    <col min="415" max="415" width="20.109375" style="102" customWidth="1"/>
    <col min="416" max="416" width="18.6640625" style="102" customWidth="1"/>
    <col min="417" max="417" width="20.88671875" style="102" customWidth="1"/>
    <col min="418" max="418" width="15.44140625" style="102" customWidth="1"/>
    <col min="419" max="419" width="27.33203125" style="102" customWidth="1"/>
    <col min="420" max="421" width="15.44140625" style="102" customWidth="1"/>
    <col min="422" max="422" width="17.6640625" style="102" customWidth="1"/>
    <col min="423" max="423" width="17.88671875" style="102" customWidth="1"/>
    <col min="424" max="424" width="13.5546875" style="102" customWidth="1"/>
    <col min="425" max="426" width="22.5546875" style="102" customWidth="1"/>
    <col min="427" max="430" width="14.33203125" style="102" customWidth="1"/>
    <col min="431" max="432" width="13.33203125" style="102" customWidth="1"/>
    <col min="433" max="433" width="14.33203125" style="102" customWidth="1"/>
    <col min="434" max="434" width="12.88671875" style="102" customWidth="1"/>
    <col min="435" max="435" width="13.6640625" style="102" customWidth="1"/>
    <col min="436" max="437" width="9" style="102" customWidth="1"/>
    <col min="438" max="438" width="14.5546875" style="102" customWidth="1"/>
    <col min="439" max="439" width="18.5546875" style="102" customWidth="1"/>
    <col min="440" max="440" width="18.44140625" style="102" customWidth="1"/>
    <col min="441" max="441" width="18.5546875" style="102" customWidth="1"/>
    <col min="442" max="442" width="29.44140625" style="102" customWidth="1"/>
    <col min="443" max="443" width="31.33203125" style="102" customWidth="1"/>
    <col min="444" max="444" width="33.44140625" style="102" customWidth="1"/>
    <col min="445" max="445" width="23.109375" style="102" customWidth="1"/>
    <col min="446" max="446" width="23.5546875" style="102" customWidth="1"/>
    <col min="447" max="447" width="23.109375" style="102" customWidth="1"/>
    <col min="448" max="448" width="23.33203125" style="102" customWidth="1"/>
    <col min="449" max="449" width="10.6640625" style="102" customWidth="1"/>
    <col min="450" max="450" width="11.88671875" style="102" customWidth="1"/>
    <col min="451" max="451" width="13.88671875" style="102" customWidth="1"/>
    <col min="452" max="452" width="14" style="102" customWidth="1"/>
    <col min="453" max="453" width="12.6640625" style="102" customWidth="1"/>
    <col min="454" max="454" width="14.44140625" style="102" customWidth="1"/>
    <col min="455" max="457" width="20.6640625" style="102" customWidth="1"/>
    <col min="458" max="460" width="26.88671875" style="102" customWidth="1"/>
    <col min="461" max="461" width="17.33203125" style="102" customWidth="1"/>
    <col min="462" max="462" width="22.33203125" style="102" customWidth="1"/>
    <col min="463" max="465" width="10.33203125" style="102" customWidth="1"/>
    <col min="466" max="466" width="15" style="102" customWidth="1"/>
    <col min="467" max="467" width="11.109375" style="20" customWidth="1"/>
    <col min="468" max="468" width="9.88671875" style="6" customWidth="1"/>
    <col min="469" max="469" width="15" style="6" customWidth="1"/>
    <col min="470" max="470" width="15.44140625" style="6" customWidth="1"/>
    <col min="471" max="471" width="19.6640625" style="6" customWidth="1"/>
    <col min="472" max="472" width="10.109375" style="38" bestFit="1" customWidth="1"/>
    <col min="473" max="474" width="10.44140625" style="31" customWidth="1"/>
    <col min="475" max="475" width="11" style="29" customWidth="1"/>
    <col min="476" max="501" width="225.6640625" style="4" customWidth="1"/>
    <col min="502" max="16384" width="9.109375" style="4"/>
  </cols>
  <sheetData>
    <row r="1" spans="1:476" s="17" customFormat="1" ht="45" customHeight="1" x14ac:dyDescent="0.25">
      <c r="A1" s="84" t="s">
        <v>0</v>
      </c>
      <c r="B1" s="84" t="s">
        <v>577</v>
      </c>
      <c r="C1" s="17" t="s">
        <v>74</v>
      </c>
      <c r="D1" s="17" t="s">
        <v>74</v>
      </c>
      <c r="E1" s="21" t="s">
        <v>84</v>
      </c>
      <c r="F1" s="21" t="s">
        <v>179</v>
      </c>
      <c r="G1" s="21" t="s">
        <v>396</v>
      </c>
      <c r="H1" s="21" t="s">
        <v>334</v>
      </c>
      <c r="I1" s="21" t="s">
        <v>216</v>
      </c>
      <c r="J1" s="21" t="s">
        <v>168</v>
      </c>
      <c r="K1" s="21" t="s">
        <v>267</v>
      </c>
      <c r="L1" s="21" t="s">
        <v>504</v>
      </c>
      <c r="M1" s="21" t="s">
        <v>421</v>
      </c>
      <c r="N1" s="21" t="s">
        <v>82</v>
      </c>
      <c r="O1" s="21" t="s">
        <v>190</v>
      </c>
      <c r="P1" s="21" t="s">
        <v>264</v>
      </c>
      <c r="Q1" s="21" t="s">
        <v>206</v>
      </c>
      <c r="R1" s="21" t="s">
        <v>218</v>
      </c>
      <c r="S1" s="21" t="s">
        <v>111</v>
      </c>
      <c r="T1" s="11" t="s">
        <v>50</v>
      </c>
      <c r="U1" s="11" t="s">
        <v>77</v>
      </c>
      <c r="V1" s="11" t="s">
        <v>250</v>
      </c>
      <c r="W1" s="11" t="s">
        <v>376</v>
      </c>
      <c r="X1" s="11" t="s">
        <v>321</v>
      </c>
      <c r="Y1" s="11" t="s">
        <v>494</v>
      </c>
      <c r="Z1" s="11" t="s">
        <v>105</v>
      </c>
      <c r="AA1" s="11" t="s">
        <v>210</v>
      </c>
      <c r="AB1" s="11" t="s">
        <v>438</v>
      </c>
      <c r="AC1" s="11" t="s">
        <v>280</v>
      </c>
      <c r="AD1" s="11" t="s">
        <v>70</v>
      </c>
      <c r="AE1" s="11" t="s">
        <v>447</v>
      </c>
      <c r="AF1" s="11" t="s">
        <v>160</v>
      </c>
      <c r="AG1" s="11" t="s">
        <v>102</v>
      </c>
      <c r="AH1" s="11" t="s">
        <v>505</v>
      </c>
      <c r="AI1" s="11" t="s">
        <v>240</v>
      </c>
      <c r="AJ1" s="11" t="s">
        <v>427</v>
      </c>
      <c r="AK1" s="11" t="s">
        <v>343</v>
      </c>
      <c r="AL1" s="11" t="s">
        <v>305</v>
      </c>
      <c r="AM1" s="11" t="s">
        <v>76</v>
      </c>
      <c r="AN1" s="11" t="s">
        <v>12</v>
      </c>
      <c r="AO1" s="21" t="s">
        <v>398</v>
      </c>
      <c r="AP1" s="21" t="s">
        <v>426</v>
      </c>
      <c r="AQ1" s="21" t="s">
        <v>395</v>
      </c>
      <c r="AR1" s="21" t="s">
        <v>255</v>
      </c>
      <c r="AS1" s="21" t="s">
        <v>268</v>
      </c>
      <c r="AT1" s="21" t="s">
        <v>54</v>
      </c>
      <c r="AU1" s="47" t="s">
        <v>405</v>
      </c>
      <c r="AV1" s="21" t="s">
        <v>348</v>
      </c>
      <c r="AW1" s="21" t="s">
        <v>120</v>
      </c>
      <c r="AX1" s="21" t="s">
        <v>249</v>
      </c>
      <c r="AY1" s="21" t="s">
        <v>424</v>
      </c>
      <c r="AZ1" s="21" t="s">
        <v>451</v>
      </c>
      <c r="BA1" s="21" t="s">
        <v>214</v>
      </c>
      <c r="BB1" s="21" t="s">
        <v>290</v>
      </c>
      <c r="BC1" s="21" t="s">
        <v>236</v>
      </c>
      <c r="BD1" s="21" t="s">
        <v>141</v>
      </c>
      <c r="BE1" s="21" t="s">
        <v>169</v>
      </c>
      <c r="BF1" s="21" t="s">
        <v>208</v>
      </c>
      <c r="BG1" s="21" t="s">
        <v>231</v>
      </c>
      <c r="BH1" s="21" t="s">
        <v>265</v>
      </c>
      <c r="BI1" s="21" t="s">
        <v>482</v>
      </c>
      <c r="BJ1" s="21" t="s">
        <v>419</v>
      </c>
      <c r="BK1" s="21" t="s">
        <v>459</v>
      </c>
      <c r="BL1" s="21" t="s">
        <v>66</v>
      </c>
      <c r="BM1" s="21" t="s">
        <v>446</v>
      </c>
      <c r="BN1" s="21" t="s">
        <v>336</v>
      </c>
      <c r="BO1" s="21" t="s">
        <v>200</v>
      </c>
      <c r="BP1" s="21" t="s">
        <v>462</v>
      </c>
      <c r="BQ1" s="21" t="s">
        <v>332</v>
      </c>
      <c r="BR1" s="21" t="s">
        <v>366</v>
      </c>
      <c r="BS1" s="21" t="s">
        <v>337</v>
      </c>
      <c r="BT1" s="21" t="s">
        <v>237</v>
      </c>
      <c r="BU1" s="21" t="s">
        <v>374</v>
      </c>
      <c r="BV1" s="21" t="s">
        <v>486</v>
      </c>
      <c r="BW1" s="21" t="s">
        <v>212</v>
      </c>
      <c r="BX1" s="21" t="s">
        <v>13</v>
      </c>
      <c r="BY1" s="21" t="s">
        <v>257</v>
      </c>
      <c r="BZ1" s="21" t="s">
        <v>498</v>
      </c>
      <c r="CA1" s="21" t="s">
        <v>244</v>
      </c>
      <c r="CB1" s="21" t="s">
        <v>79</v>
      </c>
      <c r="CC1" s="11" t="s">
        <v>117</v>
      </c>
      <c r="CD1" s="11" t="s">
        <v>235</v>
      </c>
      <c r="CE1" s="21" t="s">
        <v>436</v>
      </c>
      <c r="CF1" s="21" t="s">
        <v>497</v>
      </c>
      <c r="CG1" s="21" t="s">
        <v>464</v>
      </c>
      <c r="CH1" s="21" t="s">
        <v>106</v>
      </c>
      <c r="CI1" s="21" t="s">
        <v>106</v>
      </c>
      <c r="CJ1" s="21" t="s">
        <v>78</v>
      </c>
      <c r="CK1" s="21" t="s">
        <v>256</v>
      </c>
      <c r="CL1" s="21" t="s">
        <v>135</v>
      </c>
      <c r="CM1" s="21" t="s">
        <v>495</v>
      </c>
      <c r="CN1" s="21" t="s">
        <v>324</v>
      </c>
      <c r="CO1" s="21" t="s">
        <v>220</v>
      </c>
      <c r="CP1" s="21" t="s">
        <v>146</v>
      </c>
      <c r="CQ1" s="21" t="s">
        <v>80</v>
      </c>
      <c r="CR1" s="21" t="s">
        <v>489</v>
      </c>
      <c r="CS1" s="21" t="s">
        <v>162</v>
      </c>
      <c r="CT1" s="21" t="s">
        <v>490</v>
      </c>
      <c r="CU1" s="21" t="s">
        <v>60</v>
      </c>
      <c r="CV1" s="21" t="s">
        <v>27</v>
      </c>
      <c r="CW1" s="21" t="s">
        <v>434</v>
      </c>
      <c r="CX1" s="21" t="s">
        <v>207</v>
      </c>
      <c r="CY1" s="21" t="s">
        <v>287</v>
      </c>
      <c r="CZ1" s="21" t="s">
        <v>328</v>
      </c>
      <c r="DA1" s="21" t="s">
        <v>175</v>
      </c>
      <c r="DB1" s="21" t="s">
        <v>71</v>
      </c>
      <c r="DC1" s="21" t="s">
        <v>118</v>
      </c>
      <c r="DD1" s="21" t="s">
        <v>356</v>
      </c>
      <c r="DE1" s="21" t="s">
        <v>233</v>
      </c>
      <c r="DF1" s="21" t="s">
        <v>448</v>
      </c>
      <c r="DG1" s="21" t="s">
        <v>164</v>
      </c>
      <c r="DH1" s="21" t="s">
        <v>147</v>
      </c>
      <c r="DI1" s="21" t="s">
        <v>215</v>
      </c>
      <c r="DJ1" s="11" t="s">
        <v>53</v>
      </c>
      <c r="DK1" s="11" t="s">
        <v>363</v>
      </c>
      <c r="DL1" s="11" t="s">
        <v>14</v>
      </c>
      <c r="DM1" s="11" t="s">
        <v>92</v>
      </c>
      <c r="DN1" s="11" t="s">
        <v>103</v>
      </c>
      <c r="DO1" s="11" t="s">
        <v>92</v>
      </c>
      <c r="DP1" s="11" t="s">
        <v>65</v>
      </c>
      <c r="DQ1" s="11" t="s">
        <v>452</v>
      </c>
      <c r="DR1" s="11" t="s">
        <v>476</v>
      </c>
      <c r="DS1" s="11" t="s">
        <v>511</v>
      </c>
      <c r="DT1" s="11" t="s">
        <v>357</v>
      </c>
      <c r="DU1" s="11" t="s">
        <v>173</v>
      </c>
      <c r="DV1" s="11" t="s">
        <v>251</v>
      </c>
      <c r="DW1" s="11" t="s">
        <v>143</v>
      </c>
      <c r="DX1" s="11" t="s">
        <v>142</v>
      </c>
      <c r="DY1" s="11" t="s">
        <v>48</v>
      </c>
      <c r="DZ1" s="11" t="s">
        <v>483</v>
      </c>
      <c r="EA1" s="11" t="s">
        <v>94</v>
      </c>
      <c r="EB1" s="11" t="s">
        <v>232</v>
      </c>
      <c r="EC1" s="11" t="s">
        <v>47</v>
      </c>
      <c r="ED1" s="11" t="s">
        <v>182</v>
      </c>
      <c r="EE1" s="11" t="s">
        <v>223</v>
      </c>
      <c r="EF1" s="11" t="s">
        <v>474</v>
      </c>
      <c r="EG1" s="11" t="s">
        <v>329</v>
      </c>
      <c r="EH1" s="11" t="s">
        <v>115</v>
      </c>
      <c r="EI1" s="11" t="s">
        <v>288</v>
      </c>
      <c r="EJ1" s="11" t="s">
        <v>193</v>
      </c>
      <c r="EK1" s="11" t="s">
        <v>186</v>
      </c>
      <c r="EL1" s="11" t="s">
        <v>422</v>
      </c>
      <c r="EM1" s="11" t="s">
        <v>150</v>
      </c>
      <c r="EN1" s="11" t="s">
        <v>157</v>
      </c>
      <c r="EO1" s="11" t="s">
        <v>364</v>
      </c>
      <c r="EP1" s="11" t="s">
        <v>326</v>
      </c>
      <c r="EQ1" s="11" t="s">
        <v>269</v>
      </c>
      <c r="ER1" s="11" t="s">
        <v>35</v>
      </c>
      <c r="ES1" s="11" t="s">
        <v>171</v>
      </c>
      <c r="ET1" s="11" t="s">
        <v>491</v>
      </c>
      <c r="EU1" s="11" t="s">
        <v>373</v>
      </c>
      <c r="EV1" s="11" t="s">
        <v>183</v>
      </c>
      <c r="EW1" s="11" t="s">
        <v>266</v>
      </c>
      <c r="EX1" s="11" t="s">
        <v>32</v>
      </c>
      <c r="EY1" s="11" t="s">
        <v>204</v>
      </c>
      <c r="EZ1" s="11" t="s">
        <v>252</v>
      </c>
      <c r="FA1" s="11" t="s">
        <v>303</v>
      </c>
      <c r="FB1" s="11" t="s">
        <v>176</v>
      </c>
      <c r="FC1" s="11" t="s">
        <v>341</v>
      </c>
      <c r="FD1" s="11" t="s">
        <v>61</v>
      </c>
      <c r="FE1" s="11" t="s">
        <v>163</v>
      </c>
      <c r="FF1" s="11" t="s">
        <v>248</v>
      </c>
      <c r="FG1" s="11" t="s">
        <v>51</v>
      </c>
      <c r="FH1" s="11" t="s">
        <v>144</v>
      </c>
      <c r="FI1" s="11" t="s">
        <v>450</v>
      </c>
      <c r="FJ1" s="11" t="s">
        <v>270</v>
      </c>
      <c r="FK1" s="11" t="s">
        <v>477</v>
      </c>
      <c r="FL1" s="11" t="s">
        <v>15</v>
      </c>
      <c r="FM1" s="11" t="s">
        <v>95</v>
      </c>
      <c r="FN1" s="11" t="s">
        <v>59</v>
      </c>
      <c r="FO1" s="21" t="s">
        <v>333</v>
      </c>
      <c r="FP1" s="21" t="s">
        <v>465</v>
      </c>
      <c r="FQ1" s="21" t="s">
        <v>16</v>
      </c>
      <c r="FR1" s="21" t="s">
        <v>148</v>
      </c>
      <c r="FS1" s="21" t="s">
        <v>420</v>
      </c>
      <c r="FT1" s="21" t="s">
        <v>239</v>
      </c>
      <c r="FU1" s="21" t="s">
        <v>320</v>
      </c>
      <c r="FV1" s="21" t="s">
        <v>473</v>
      </c>
      <c r="FW1" s="11" t="s">
        <v>211</v>
      </c>
      <c r="FX1" s="11" t="s">
        <v>414</v>
      </c>
      <c r="FY1" s="11" t="s">
        <v>187</v>
      </c>
      <c r="FZ1" s="11" t="s">
        <v>262</v>
      </c>
      <c r="GA1" s="11" t="s">
        <v>221</v>
      </c>
      <c r="GB1" s="11" t="s">
        <v>153</v>
      </c>
      <c r="GC1" s="11" t="s">
        <v>510</v>
      </c>
      <c r="GD1" s="11" t="s">
        <v>1</v>
      </c>
      <c r="GE1" s="21" t="s">
        <v>299</v>
      </c>
      <c r="GF1" s="21" t="s">
        <v>158</v>
      </c>
      <c r="GG1" s="21" t="s">
        <v>512</v>
      </c>
      <c r="GH1" s="21" t="s">
        <v>492</v>
      </c>
      <c r="GI1" s="21" t="s">
        <v>72</v>
      </c>
      <c r="GJ1" s="21" t="s">
        <v>306</v>
      </c>
      <c r="GK1" s="21" t="s">
        <v>247</v>
      </c>
      <c r="GL1" s="21" t="s">
        <v>297</v>
      </c>
      <c r="GM1" s="21" t="s">
        <v>339</v>
      </c>
      <c r="GN1" s="21" t="s">
        <v>271</v>
      </c>
      <c r="GO1" s="21" t="s">
        <v>209</v>
      </c>
      <c r="GP1" s="21" t="s">
        <v>25</v>
      </c>
      <c r="GQ1" s="11" t="s">
        <v>345</v>
      </c>
      <c r="GR1" s="21" t="s">
        <v>83</v>
      </c>
      <c r="GS1" s="21" t="s">
        <v>418</v>
      </c>
      <c r="GT1" s="21" t="s">
        <v>493</v>
      </c>
      <c r="GU1" s="11" t="s">
        <v>127</v>
      </c>
      <c r="GV1" s="11" t="s">
        <v>463</v>
      </c>
      <c r="GW1" s="11" t="s">
        <v>40</v>
      </c>
      <c r="GX1" s="11" t="s">
        <v>161</v>
      </c>
      <c r="GY1" s="11" t="s">
        <v>172</v>
      </c>
      <c r="GZ1" s="11" t="s">
        <v>350</v>
      </c>
      <c r="HA1" s="11" t="s">
        <v>26</v>
      </c>
      <c r="HB1" s="11" t="s">
        <v>349</v>
      </c>
      <c r="HC1" s="11" t="s">
        <v>184</v>
      </c>
      <c r="HD1" s="11" t="s">
        <v>367</v>
      </c>
      <c r="HE1" s="11" t="s">
        <v>29</v>
      </c>
      <c r="HF1" s="11" t="s">
        <v>89</v>
      </c>
      <c r="HG1" s="21" t="s">
        <v>243</v>
      </c>
      <c r="HH1" s="21" t="s">
        <v>194</v>
      </c>
      <c r="HI1" s="21" t="s">
        <v>67</v>
      </c>
      <c r="HJ1" s="21" t="s">
        <v>358</v>
      </c>
      <c r="HK1" s="21" t="s">
        <v>295</v>
      </c>
      <c r="HL1" s="21" t="s">
        <v>309</v>
      </c>
      <c r="HM1" s="21" t="s">
        <v>368</v>
      </c>
      <c r="HN1" s="21" t="s">
        <v>500</v>
      </c>
      <c r="HO1" s="21" t="s">
        <v>416</v>
      </c>
      <c r="HP1" s="11" t="s">
        <v>28</v>
      </c>
      <c r="HQ1" s="21" t="s">
        <v>128</v>
      </c>
      <c r="HR1" s="21" t="s">
        <v>149</v>
      </c>
      <c r="HS1" s="21" t="s">
        <v>177</v>
      </c>
      <c r="HT1" s="21" t="s">
        <v>322</v>
      </c>
      <c r="HU1" s="21" t="s">
        <v>351</v>
      </c>
      <c r="HV1" s="21" t="s">
        <v>263</v>
      </c>
      <c r="HW1" s="21" t="s">
        <v>461</v>
      </c>
      <c r="HX1" s="21" t="s">
        <v>17</v>
      </c>
      <c r="HY1" s="21" t="s">
        <v>107</v>
      </c>
      <c r="HZ1" s="21" t="s">
        <v>471</v>
      </c>
      <c r="IA1" s="21" t="s">
        <v>104</v>
      </c>
      <c r="IB1" s="21" t="s">
        <v>165</v>
      </c>
      <c r="IC1" s="21" t="s">
        <v>294</v>
      </c>
      <c r="ID1" s="21" t="s">
        <v>166</v>
      </c>
      <c r="IE1" s="21" t="s">
        <v>225</v>
      </c>
      <c r="IF1" s="21" t="s">
        <v>387</v>
      </c>
      <c r="IG1" s="21" t="s">
        <v>108</v>
      </c>
      <c r="IH1" s="21" t="s">
        <v>2</v>
      </c>
      <c r="II1" s="21" t="s">
        <v>224</v>
      </c>
      <c r="IJ1" s="21" t="s">
        <v>217</v>
      </c>
      <c r="IK1" s="21" t="s">
        <v>201</v>
      </c>
      <c r="IL1" s="21" t="s">
        <v>85</v>
      </c>
      <c r="IM1" s="21" t="s">
        <v>116</v>
      </c>
      <c r="IN1" s="21" t="s">
        <v>413</v>
      </c>
      <c r="IO1" s="21" t="s">
        <v>404</v>
      </c>
      <c r="IP1" s="21" t="s">
        <v>302</v>
      </c>
      <c r="IQ1" s="21" t="s">
        <v>185</v>
      </c>
      <c r="IR1" s="21" t="s">
        <v>42</v>
      </c>
      <c r="IS1" s="11" t="s">
        <v>49</v>
      </c>
      <c r="IT1" s="21" t="s">
        <v>119</v>
      </c>
      <c r="IU1" s="21" t="s">
        <v>453</v>
      </c>
      <c r="IV1" s="21" t="s">
        <v>346</v>
      </c>
      <c r="IW1" s="21" t="s">
        <v>242</v>
      </c>
      <c r="IX1" s="21" t="s">
        <v>272</v>
      </c>
      <c r="IY1" s="21" t="s">
        <v>347</v>
      </c>
      <c r="IZ1" s="21" t="s">
        <v>122</v>
      </c>
      <c r="JA1" s="21" t="s">
        <v>298</v>
      </c>
      <c r="JB1" s="21" t="s">
        <v>81</v>
      </c>
      <c r="JC1" s="21" t="s">
        <v>133</v>
      </c>
      <c r="JD1" s="21" t="s">
        <v>202</v>
      </c>
      <c r="JE1" s="21" t="s">
        <v>213</v>
      </c>
      <c r="JF1" s="21" t="s">
        <v>338</v>
      </c>
      <c r="JG1" s="11" t="s">
        <v>167</v>
      </c>
      <c r="JH1" s="11" t="s">
        <v>325</v>
      </c>
      <c r="JI1" s="11" t="s">
        <v>154</v>
      </c>
      <c r="JJ1" s="11" t="s">
        <v>415</v>
      </c>
      <c r="JK1" s="11" t="s">
        <v>407</v>
      </c>
      <c r="JL1" s="11" t="s">
        <v>125</v>
      </c>
      <c r="JM1" s="11" t="s">
        <v>475</v>
      </c>
      <c r="JN1" s="11" t="s">
        <v>355</v>
      </c>
      <c r="JO1" s="11" t="s">
        <v>289</v>
      </c>
      <c r="JP1" s="11" t="s">
        <v>472</v>
      </c>
      <c r="JQ1" s="11" t="s">
        <v>423</v>
      </c>
      <c r="JR1" s="11" t="s">
        <v>399</v>
      </c>
      <c r="JS1" s="11" t="s">
        <v>384</v>
      </c>
      <c r="JT1" s="11" t="s">
        <v>383</v>
      </c>
      <c r="JU1" s="11" t="s">
        <v>24</v>
      </c>
      <c r="JV1" s="11" t="s">
        <v>18</v>
      </c>
      <c r="JW1" s="11" t="s">
        <v>58</v>
      </c>
      <c r="JX1" s="11" t="s">
        <v>188</v>
      </c>
      <c r="JY1" s="11" t="s">
        <v>340</v>
      </c>
      <c r="JZ1" s="11" t="s">
        <v>191</v>
      </c>
      <c r="KA1" s="11" t="s">
        <v>101</v>
      </c>
      <c r="KB1" s="11" t="s">
        <v>195</v>
      </c>
      <c r="KC1" s="11" t="s">
        <v>403</v>
      </c>
      <c r="KD1" s="11" t="s">
        <v>460</v>
      </c>
      <c r="KE1" s="11" t="s">
        <v>222</v>
      </c>
      <c r="KF1" s="11" t="s">
        <v>159</v>
      </c>
      <c r="KG1" s="11" t="s">
        <v>109</v>
      </c>
      <c r="KH1" s="11" t="s">
        <v>443</v>
      </c>
      <c r="KI1" s="11" t="s">
        <v>277</v>
      </c>
      <c r="KJ1" s="11" t="s">
        <v>501</v>
      </c>
      <c r="KK1" s="11" t="s">
        <v>360</v>
      </c>
      <c r="KL1" s="11" t="s">
        <v>484</v>
      </c>
      <c r="KM1" s="11" t="s">
        <v>20</v>
      </c>
      <c r="KN1" s="21" t="s">
        <v>507</v>
      </c>
      <c r="KO1" s="21" t="s">
        <v>170</v>
      </c>
      <c r="KP1" s="21" t="s">
        <v>68</v>
      </c>
      <c r="KQ1" s="21" t="s">
        <v>139</v>
      </c>
      <c r="KR1" s="21" t="s">
        <v>330</v>
      </c>
      <c r="KS1" s="11" t="s">
        <v>234</v>
      </c>
      <c r="KT1" s="11" t="s">
        <v>126</v>
      </c>
      <c r="KU1" s="11" t="s">
        <v>129</v>
      </c>
      <c r="KV1" s="21" t="s">
        <v>62</v>
      </c>
      <c r="KW1" s="11" t="s">
        <v>93</v>
      </c>
      <c r="KX1" s="21" t="s">
        <v>454</v>
      </c>
      <c r="KY1" s="21" t="s">
        <v>502</v>
      </c>
      <c r="KZ1" s="21" t="s">
        <v>112</v>
      </c>
      <c r="LA1" s="21" t="s">
        <v>503</v>
      </c>
      <c r="LB1" s="21" t="s">
        <v>228</v>
      </c>
      <c r="LC1" s="21" t="s">
        <v>19</v>
      </c>
      <c r="LD1" s="21" t="s">
        <v>445</v>
      </c>
      <c r="LE1" s="11" t="s">
        <v>113</v>
      </c>
      <c r="LF1" s="11" t="s">
        <v>478</v>
      </c>
      <c r="LG1" s="11" t="s">
        <v>229</v>
      </c>
      <c r="LH1" s="11" t="s">
        <v>245</v>
      </c>
      <c r="LI1" s="11" t="s">
        <v>151</v>
      </c>
      <c r="LJ1" s="11" t="s">
        <v>203</v>
      </c>
      <c r="LK1" s="21" t="s">
        <v>181</v>
      </c>
      <c r="LL1" s="21" t="s">
        <v>110</v>
      </c>
      <c r="LM1" s="21" t="s">
        <v>138</v>
      </c>
      <c r="LN1" s="21" t="s">
        <v>136</v>
      </c>
      <c r="LO1" s="21" t="s">
        <v>485</v>
      </c>
      <c r="LP1" s="21" t="s">
        <v>197</v>
      </c>
      <c r="LQ1" s="21" t="s">
        <v>132</v>
      </c>
      <c r="LR1" s="21" t="s">
        <v>197</v>
      </c>
      <c r="LS1" s="11" t="s">
        <v>283</v>
      </c>
      <c r="LT1" s="11" t="s">
        <v>488</v>
      </c>
      <c r="LU1" s="11" t="s">
        <v>286</v>
      </c>
      <c r="LV1" s="26" t="s">
        <v>304</v>
      </c>
      <c r="LW1" s="26" t="s">
        <v>425</v>
      </c>
      <c r="LX1" s="26" t="s">
        <v>372</v>
      </c>
      <c r="LY1" s="26" t="s">
        <v>313</v>
      </c>
      <c r="LZ1" s="11" t="s">
        <v>314</v>
      </c>
      <c r="MA1" s="26" t="s">
        <v>308</v>
      </c>
      <c r="MB1" s="26" t="s">
        <v>307</v>
      </c>
      <c r="MC1" s="26" t="s">
        <v>431</v>
      </c>
      <c r="MD1" s="26" t="s">
        <v>284</v>
      </c>
      <c r="ME1" s="26" t="s">
        <v>408</v>
      </c>
      <c r="MF1" s="26" t="s">
        <v>311</v>
      </c>
      <c r="MG1" s="26" t="s">
        <v>391</v>
      </c>
      <c r="MH1" s="26" t="s">
        <v>392</v>
      </c>
      <c r="MI1" s="26" t="s">
        <v>440</v>
      </c>
      <c r="MJ1" s="26" t="s">
        <v>429</v>
      </c>
      <c r="MK1" s="26" t="s">
        <v>433</v>
      </c>
      <c r="ML1" s="26" t="s">
        <v>479</v>
      </c>
      <c r="MM1" s="26" t="s">
        <v>480</v>
      </c>
      <c r="MN1" s="26" t="s">
        <v>389</v>
      </c>
      <c r="MO1" s="26" t="s">
        <v>390</v>
      </c>
      <c r="MP1" s="11" t="s">
        <v>285</v>
      </c>
      <c r="MQ1" s="26" t="s">
        <v>315</v>
      </c>
      <c r="MR1" s="26" t="s">
        <v>316</v>
      </c>
      <c r="MS1" s="26" t="s">
        <v>317</v>
      </c>
      <c r="MT1" s="26" t="s">
        <v>318</v>
      </c>
      <c r="MU1" s="26" t="s">
        <v>319</v>
      </c>
      <c r="MV1" s="26" t="s">
        <v>375</v>
      </c>
      <c r="MW1" s="26" t="s">
        <v>354</v>
      </c>
      <c r="MX1" s="26" t="s">
        <v>468</v>
      </c>
      <c r="MY1" s="26" t="s">
        <v>180</v>
      </c>
      <c r="MZ1" s="26" t="s">
        <v>506</v>
      </c>
      <c r="NA1" s="26" t="s">
        <v>467</v>
      </c>
      <c r="NB1" s="26" t="s">
        <v>180</v>
      </c>
      <c r="NC1" s="26" t="s">
        <v>457</v>
      </c>
      <c r="ND1" s="26" t="s">
        <v>458</v>
      </c>
      <c r="NE1" s="26" t="s">
        <v>260</v>
      </c>
      <c r="NF1" s="26" t="s">
        <v>261</v>
      </c>
      <c r="NG1" s="26" t="s">
        <v>274</v>
      </c>
      <c r="NH1" s="26" t="s">
        <v>275</v>
      </c>
      <c r="NI1" s="26" t="s">
        <v>276</v>
      </c>
      <c r="NJ1" s="26" t="s">
        <v>300</v>
      </c>
      <c r="NK1" s="26" t="s">
        <v>377</v>
      </c>
      <c r="NL1" s="26" t="s">
        <v>400</v>
      </c>
      <c r="NM1" s="26" t="s">
        <v>378</v>
      </c>
      <c r="NN1" s="26" t="s">
        <v>411</v>
      </c>
      <c r="NO1" s="26" t="s">
        <v>412</v>
      </c>
      <c r="NP1" s="26" t="s">
        <v>409</v>
      </c>
      <c r="NQ1" s="26" t="s">
        <v>379</v>
      </c>
      <c r="NR1" s="26" t="s">
        <v>380</v>
      </c>
      <c r="NS1" s="26" t="s">
        <v>381</v>
      </c>
      <c r="NT1" s="26" t="s">
        <v>382</v>
      </c>
      <c r="NU1" s="26" t="s">
        <v>487</v>
      </c>
      <c r="NV1" s="26" t="s">
        <v>259</v>
      </c>
      <c r="NW1" s="26" t="s">
        <v>310</v>
      </c>
      <c r="NX1" s="26" t="s">
        <v>292</v>
      </c>
      <c r="NY1" s="26" t="s">
        <v>470</v>
      </c>
      <c r="NZ1" s="26" t="s">
        <v>293</v>
      </c>
      <c r="OA1" s="26" t="s">
        <v>301</v>
      </c>
      <c r="OB1" s="26" t="s">
        <v>258</v>
      </c>
      <c r="OC1" s="26" t="s">
        <v>198</v>
      </c>
      <c r="OD1" s="26" t="s">
        <v>385</v>
      </c>
      <c r="OE1" s="26" t="s">
        <v>394</v>
      </c>
      <c r="OF1" s="26" t="s">
        <v>312</v>
      </c>
      <c r="OG1" s="26" t="s">
        <v>246</v>
      </c>
      <c r="OH1" s="11" t="s">
        <v>178</v>
      </c>
      <c r="OI1" s="26" t="s">
        <v>100</v>
      </c>
      <c r="OJ1" s="26" t="s">
        <v>430</v>
      </c>
      <c r="OK1" s="26" t="s">
        <v>469</v>
      </c>
      <c r="OL1" s="26" t="s">
        <v>481</v>
      </c>
      <c r="OM1" s="26" t="s">
        <v>99</v>
      </c>
      <c r="ON1" s="26" t="s">
        <v>98</v>
      </c>
      <c r="OO1" s="26" t="s">
        <v>152</v>
      </c>
      <c r="OP1" s="26" t="s">
        <v>97</v>
      </c>
      <c r="OQ1" s="26" t="s">
        <v>441</v>
      </c>
      <c r="OR1" s="26" t="s">
        <v>442</v>
      </c>
      <c r="OS1" s="26" t="s">
        <v>230</v>
      </c>
      <c r="OT1" s="91" t="s">
        <v>281</v>
      </c>
      <c r="OU1" s="26" t="s">
        <v>114</v>
      </c>
      <c r="OV1" s="26" t="s">
        <v>402</v>
      </c>
      <c r="OW1" s="26" t="s">
        <v>96</v>
      </c>
      <c r="OX1" s="26" t="s">
        <v>273</v>
      </c>
      <c r="OY1" s="26" t="s">
        <v>361</v>
      </c>
      <c r="OZ1" s="26" t="s">
        <v>369</v>
      </c>
      <c r="PA1" s="26" t="s">
        <v>432</v>
      </c>
      <c r="PB1" s="26" t="s">
        <v>353</v>
      </c>
      <c r="PC1" s="26" t="s">
        <v>219</v>
      </c>
      <c r="PD1" s="11" t="s">
        <v>44</v>
      </c>
      <c r="PE1" s="11" t="s">
        <v>509</v>
      </c>
      <c r="PF1" s="11" t="s">
        <v>327</v>
      </c>
      <c r="PG1" s="11" t="s">
        <v>393</v>
      </c>
      <c r="PH1" s="11" t="s">
        <v>439</v>
      </c>
      <c r="PI1" s="11" t="s">
        <v>90</v>
      </c>
      <c r="PJ1" s="11" t="s">
        <v>227</v>
      </c>
      <c r="PK1" s="49" t="s">
        <v>124</v>
      </c>
      <c r="PL1" s="49" t="s">
        <v>323</v>
      </c>
      <c r="PM1" s="49" t="s">
        <v>428</v>
      </c>
      <c r="PN1" s="49" t="s">
        <v>428</v>
      </c>
      <c r="PO1" s="49" t="s">
        <v>428</v>
      </c>
      <c r="PP1" s="49" t="s">
        <v>199</v>
      </c>
      <c r="PQ1" s="49" t="s">
        <v>291</v>
      </c>
      <c r="PR1" s="49" t="s">
        <v>401</v>
      </c>
      <c r="PS1" s="49" t="s">
        <v>435</v>
      </c>
      <c r="PT1" s="49" t="s">
        <v>253</v>
      </c>
      <c r="PU1" s="49" t="s">
        <v>254</v>
      </c>
      <c r="PV1" s="49" t="s">
        <v>121</v>
      </c>
      <c r="PW1" s="11" t="s">
        <v>205</v>
      </c>
      <c r="PX1" s="11" t="s">
        <v>406</v>
      </c>
      <c r="PY1" s="11" t="s">
        <v>296</v>
      </c>
      <c r="PZ1" s="11" t="s">
        <v>362</v>
      </c>
      <c r="QA1" s="11" t="s">
        <v>371</v>
      </c>
      <c r="QB1" s="11" t="s">
        <v>370</v>
      </c>
      <c r="QC1" s="11" t="s">
        <v>226</v>
      </c>
      <c r="QD1" s="11" t="s">
        <v>410</v>
      </c>
      <c r="QE1" s="11" t="s">
        <v>226</v>
      </c>
      <c r="QF1" s="11" t="s">
        <v>386</v>
      </c>
      <c r="QG1" s="11" t="s">
        <v>365</v>
      </c>
      <c r="QH1" s="11" t="s">
        <v>241</v>
      </c>
      <c r="QI1" s="11" t="s">
        <v>130</v>
      </c>
      <c r="QJ1" s="11" t="s">
        <v>145</v>
      </c>
      <c r="QK1" s="11" t="s">
        <v>52</v>
      </c>
      <c r="QL1" s="11" t="s">
        <v>64</v>
      </c>
      <c r="QM1" s="11" t="s">
        <v>513</v>
      </c>
      <c r="QN1" s="11" t="s">
        <v>516</v>
      </c>
      <c r="QO1" s="11" t="s">
        <v>515</v>
      </c>
      <c r="QP1" s="11" t="s">
        <v>518</v>
      </c>
      <c r="QQ1" s="11" t="s">
        <v>519</v>
      </c>
      <c r="QR1" s="11" t="s">
        <v>517</v>
      </c>
      <c r="QS1" s="11" t="s">
        <v>522</v>
      </c>
      <c r="QT1" s="11" t="s">
        <v>523</v>
      </c>
      <c r="QU1" s="11" t="s">
        <v>537</v>
      </c>
      <c r="QV1" s="11" t="s">
        <v>538</v>
      </c>
      <c r="QW1" s="11" t="s">
        <v>563</v>
      </c>
      <c r="QX1" s="11" t="s">
        <v>46</v>
      </c>
      <c r="QY1" s="85" t="s">
        <v>3</v>
      </c>
      <c r="QZ1" s="86" t="s">
        <v>4</v>
      </c>
      <c r="RA1" s="24" t="s">
        <v>5</v>
      </c>
      <c r="RB1" s="25" t="s">
        <v>155</v>
      </c>
      <c r="RC1" s="12" t="s">
        <v>37</v>
      </c>
      <c r="RD1" s="64" t="s">
        <v>156</v>
      </c>
      <c r="RE1" s="87">
        <v>44929</v>
      </c>
      <c r="RF1" s="87">
        <v>44958</v>
      </c>
      <c r="RG1" s="85" t="s">
        <v>38</v>
      </c>
      <c r="RH1" s="79"/>
    </row>
    <row r="2" spans="1:476" s="5" customFormat="1" ht="12.75" customHeight="1" x14ac:dyDescent="0.25">
      <c r="A2" s="48">
        <v>44935</v>
      </c>
      <c r="B2" s="90" t="s">
        <v>525</v>
      </c>
      <c r="C2" s="98"/>
      <c r="D2" s="98"/>
      <c r="E2" s="99"/>
      <c r="F2" s="99"/>
      <c r="G2" s="99"/>
      <c r="H2" s="99"/>
      <c r="I2" s="99"/>
      <c r="J2" s="99"/>
      <c r="K2" s="99"/>
      <c r="L2" s="99"/>
      <c r="M2" s="99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0"/>
      <c r="ES2" s="100"/>
      <c r="ET2" s="100"/>
      <c r="EU2" s="100"/>
      <c r="EV2" s="100"/>
      <c r="EW2" s="100"/>
      <c r="EX2" s="100"/>
      <c r="EY2" s="100"/>
      <c r="EZ2" s="100"/>
      <c r="FA2" s="100"/>
      <c r="FB2" s="100"/>
      <c r="FC2" s="100"/>
      <c r="FD2" s="100"/>
      <c r="FE2" s="100"/>
      <c r="FF2" s="100"/>
      <c r="FG2" s="100"/>
      <c r="FH2" s="100"/>
      <c r="FI2" s="100"/>
      <c r="FJ2" s="100"/>
      <c r="FK2" s="100"/>
      <c r="FL2" s="100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  <c r="GB2" s="100"/>
      <c r="GC2" s="100"/>
      <c r="GD2" s="100"/>
      <c r="GE2" s="100"/>
      <c r="GF2" s="100"/>
      <c r="GG2" s="100"/>
      <c r="GH2" s="100"/>
      <c r="GI2" s="100"/>
      <c r="GJ2" s="100"/>
      <c r="GK2" s="100"/>
      <c r="GL2" s="100"/>
      <c r="GM2" s="100"/>
      <c r="GN2" s="100"/>
      <c r="GO2" s="100"/>
      <c r="GP2" s="100"/>
      <c r="GQ2" s="100"/>
      <c r="GR2" s="100"/>
      <c r="GS2" s="100"/>
      <c r="GT2" s="100"/>
      <c r="GU2" s="100"/>
      <c r="GV2" s="100"/>
      <c r="GW2" s="100"/>
      <c r="GX2" s="100"/>
      <c r="GY2" s="100"/>
      <c r="GZ2" s="100"/>
      <c r="HA2" s="100"/>
      <c r="HB2" s="100"/>
      <c r="HC2" s="100"/>
      <c r="HD2" s="100"/>
      <c r="HE2" s="100"/>
      <c r="HF2" s="100"/>
      <c r="HG2" s="100"/>
      <c r="HH2" s="100"/>
      <c r="HI2" s="100"/>
      <c r="HJ2" s="100"/>
      <c r="HK2" s="100"/>
      <c r="HL2" s="100"/>
      <c r="HM2" s="100"/>
      <c r="HN2" s="100"/>
      <c r="HO2" s="100"/>
      <c r="HP2" s="100"/>
      <c r="HQ2" s="100"/>
      <c r="HR2" s="100"/>
      <c r="HS2" s="100"/>
      <c r="HT2" s="100"/>
      <c r="HU2" s="100"/>
      <c r="HV2" s="100"/>
      <c r="HW2" s="100"/>
      <c r="HX2" s="100"/>
      <c r="HY2" s="100"/>
      <c r="HZ2" s="100"/>
      <c r="IA2" s="100"/>
      <c r="IB2" s="100"/>
      <c r="IC2" s="100"/>
      <c r="ID2" s="100"/>
      <c r="IE2" s="100"/>
      <c r="IF2" s="100"/>
      <c r="IG2" s="100"/>
      <c r="IH2" s="100"/>
      <c r="II2" s="100"/>
      <c r="IJ2" s="100"/>
      <c r="IK2" s="100"/>
      <c r="IL2" s="100"/>
      <c r="IM2" s="100"/>
      <c r="IN2" s="100"/>
      <c r="IO2" s="100"/>
      <c r="IP2" s="100"/>
      <c r="IQ2" s="100"/>
      <c r="IR2" s="100"/>
      <c r="IS2" s="100"/>
      <c r="IT2" s="100"/>
      <c r="IU2" s="100"/>
      <c r="IV2" s="100"/>
      <c r="IW2" s="100"/>
      <c r="IX2" s="100"/>
      <c r="IY2" s="100"/>
      <c r="IZ2" s="100"/>
      <c r="JA2" s="100"/>
      <c r="JB2" s="100"/>
      <c r="JC2" s="100"/>
      <c r="JD2" s="100"/>
      <c r="JE2" s="100"/>
      <c r="JF2" s="100"/>
      <c r="JG2" s="100"/>
      <c r="JH2" s="100"/>
      <c r="JI2" s="100"/>
      <c r="JJ2" s="100"/>
      <c r="JK2" s="100"/>
      <c r="JL2" s="100"/>
      <c r="JM2" s="100"/>
      <c r="JN2" s="100"/>
      <c r="JO2" s="100"/>
      <c r="JP2" s="100"/>
      <c r="JQ2" s="100"/>
      <c r="JR2" s="100"/>
      <c r="JS2" s="100"/>
      <c r="JT2" s="100"/>
      <c r="JU2" s="100"/>
      <c r="JV2" s="100"/>
      <c r="JW2" s="100"/>
      <c r="JX2" s="100"/>
      <c r="JY2" s="100"/>
      <c r="JZ2" s="100"/>
      <c r="KA2" s="100"/>
      <c r="KB2" s="100"/>
      <c r="KC2" s="100"/>
      <c r="KD2" s="100"/>
      <c r="KE2" s="100"/>
      <c r="KF2" s="100"/>
      <c r="KG2" s="100"/>
      <c r="KH2" s="100"/>
      <c r="KI2" s="100"/>
      <c r="KJ2" s="100"/>
      <c r="KK2" s="100"/>
      <c r="KL2" s="100"/>
      <c r="KM2" s="100"/>
      <c r="KN2" s="100"/>
      <c r="KO2" s="100"/>
      <c r="KP2" s="100"/>
      <c r="KQ2" s="100"/>
      <c r="KR2" s="100"/>
      <c r="KS2" s="100"/>
      <c r="KT2" s="100"/>
      <c r="KU2" s="100"/>
      <c r="KV2" s="100"/>
      <c r="KW2" s="100"/>
      <c r="KX2" s="100"/>
      <c r="KY2" s="100"/>
      <c r="KZ2" s="100"/>
      <c r="LA2" s="100"/>
      <c r="LB2" s="100"/>
      <c r="LC2" s="100"/>
      <c r="LD2" s="100"/>
      <c r="LE2" s="100"/>
      <c r="LF2" s="100"/>
      <c r="LG2" s="100"/>
      <c r="LH2" s="100"/>
      <c r="LI2" s="100"/>
      <c r="LJ2" s="100"/>
      <c r="LK2" s="100"/>
      <c r="LL2" s="100"/>
      <c r="LM2" s="100"/>
      <c r="LN2" s="100"/>
      <c r="LO2" s="100"/>
      <c r="LP2" s="100"/>
      <c r="LQ2" s="100"/>
      <c r="LR2" s="100"/>
      <c r="LS2" s="100"/>
      <c r="LT2" s="100"/>
      <c r="LU2" s="100"/>
      <c r="LV2" s="100"/>
      <c r="LW2" s="100"/>
      <c r="LX2" s="100"/>
      <c r="LY2" s="100"/>
      <c r="LZ2" s="100"/>
      <c r="MA2" s="100"/>
      <c r="MB2" s="100"/>
      <c r="MC2" s="100"/>
      <c r="MD2" s="100"/>
      <c r="ME2" s="100"/>
      <c r="MF2" s="100"/>
      <c r="MG2" s="100"/>
      <c r="MH2" s="100"/>
      <c r="MI2" s="100"/>
      <c r="MJ2" s="100"/>
      <c r="MK2" s="100"/>
      <c r="ML2" s="100"/>
      <c r="MM2" s="100"/>
      <c r="MN2" s="100"/>
      <c r="MO2" s="100"/>
      <c r="MP2" s="100"/>
      <c r="MQ2" s="100"/>
      <c r="MR2" s="100"/>
      <c r="MS2" s="100"/>
      <c r="MT2" s="100"/>
      <c r="MU2" s="100"/>
      <c r="MV2" s="100"/>
      <c r="MW2" s="100"/>
      <c r="MX2" s="100"/>
      <c r="MY2" s="100"/>
      <c r="MZ2" s="100"/>
      <c r="NA2" s="100"/>
      <c r="NB2" s="100"/>
      <c r="NC2" s="100"/>
      <c r="ND2" s="100"/>
      <c r="NE2" s="100"/>
      <c r="NF2" s="100"/>
      <c r="NG2" s="100"/>
      <c r="NH2" s="100"/>
      <c r="NI2" s="100"/>
      <c r="NJ2" s="100"/>
      <c r="NK2" s="100"/>
      <c r="NL2" s="100"/>
      <c r="NM2" s="100"/>
      <c r="NN2" s="100"/>
      <c r="NO2" s="100"/>
      <c r="NP2" s="100"/>
      <c r="NQ2" s="100"/>
      <c r="NR2" s="100"/>
      <c r="NS2" s="100"/>
      <c r="NT2" s="100"/>
      <c r="NU2" s="100"/>
      <c r="NV2" s="100"/>
      <c r="NW2" s="100"/>
      <c r="NX2" s="100"/>
      <c r="NY2" s="100"/>
      <c r="NZ2" s="100"/>
      <c r="OA2" s="100"/>
      <c r="OB2" s="100"/>
      <c r="OC2" s="100">
        <v>5</v>
      </c>
      <c r="OD2" s="100"/>
      <c r="OE2" s="100"/>
      <c r="OF2" s="100"/>
      <c r="OG2" s="100"/>
      <c r="OH2" s="100"/>
      <c r="OI2" s="100"/>
      <c r="OJ2" s="100"/>
      <c r="OK2" s="100"/>
      <c r="OL2" s="100"/>
      <c r="OM2" s="100"/>
      <c r="ON2" s="100"/>
      <c r="OO2" s="100"/>
      <c r="OP2" s="100"/>
      <c r="OQ2" s="100"/>
      <c r="OR2" s="100"/>
      <c r="OS2" s="100"/>
      <c r="OT2" s="100"/>
      <c r="OU2" s="100"/>
      <c r="OV2" s="100"/>
      <c r="OW2" s="100"/>
      <c r="OX2" s="100"/>
      <c r="OY2" s="100"/>
      <c r="OZ2" s="100"/>
      <c r="PA2" s="100"/>
      <c r="PB2" s="100"/>
      <c r="PC2" s="100"/>
      <c r="PD2" s="100"/>
      <c r="PE2" s="100"/>
      <c r="PF2" s="100"/>
      <c r="PG2" s="100"/>
      <c r="PH2" s="100"/>
      <c r="PI2" s="100"/>
      <c r="PJ2" s="100"/>
      <c r="PK2" s="100"/>
      <c r="PL2" s="100"/>
      <c r="PM2" s="100"/>
      <c r="PN2" s="100"/>
      <c r="PO2" s="100"/>
      <c r="PP2" s="100"/>
      <c r="PQ2" s="100"/>
      <c r="PR2" s="100"/>
      <c r="PS2" s="100"/>
      <c r="PT2" s="100"/>
      <c r="PU2" s="100"/>
      <c r="PV2" s="100"/>
      <c r="PW2" s="100"/>
      <c r="PX2" s="100"/>
      <c r="PY2" s="100"/>
      <c r="PZ2" s="100"/>
      <c r="QA2" s="100"/>
      <c r="QB2" s="100"/>
      <c r="QC2" s="100"/>
      <c r="QD2" s="100"/>
      <c r="QE2" s="100"/>
      <c r="QF2" s="100"/>
      <c r="QG2" s="100"/>
      <c r="QH2" s="100"/>
      <c r="QI2" s="100"/>
      <c r="QJ2" s="100"/>
      <c r="QK2" s="100"/>
      <c r="QL2" s="100"/>
      <c r="QM2" s="100"/>
      <c r="QN2" s="100"/>
      <c r="QO2" s="100"/>
      <c r="QP2" s="100"/>
      <c r="QQ2" s="100"/>
      <c r="QR2" s="100"/>
      <c r="QS2" s="100"/>
      <c r="QT2" s="100"/>
      <c r="QU2" s="100"/>
      <c r="QV2" s="100"/>
      <c r="QW2" s="100"/>
      <c r="QX2" s="100"/>
      <c r="QY2" s="23">
        <f t="shared" ref="QY2:QY33" si="0">SUBTOTAL(9,C2:QX2)</f>
        <v>5</v>
      </c>
      <c r="QZ2" s="47" t="s">
        <v>36</v>
      </c>
      <c r="RA2" s="97">
        <v>219</v>
      </c>
      <c r="RB2" s="63">
        <f>RE2</f>
        <v>219</v>
      </c>
      <c r="RC2" s="63">
        <v>153.35000000000002</v>
      </c>
      <c r="RD2" s="97">
        <f t="shared" ref="RD2:RD33" si="1">RA2-RB2</f>
        <v>0</v>
      </c>
      <c r="RE2" s="107">
        <v>219</v>
      </c>
      <c r="RF2" s="107"/>
      <c r="RG2" s="83">
        <f t="shared" ref="RG2:RG33" si="2">RA2/RC2</f>
        <v>1.4281056406912289</v>
      </c>
      <c r="RH2" s="116" t="s">
        <v>526</v>
      </c>
    </row>
    <row r="3" spans="1:476" s="5" customFormat="1" ht="12.75" customHeight="1" x14ac:dyDescent="0.25">
      <c r="A3" s="48">
        <v>44935</v>
      </c>
      <c r="B3" s="90" t="s">
        <v>196</v>
      </c>
      <c r="C3" s="98"/>
      <c r="D3" s="98"/>
      <c r="E3" s="99"/>
      <c r="F3" s="99"/>
      <c r="G3" s="99"/>
      <c r="H3" s="99"/>
      <c r="I3" s="99"/>
      <c r="J3" s="99"/>
      <c r="K3" s="99"/>
      <c r="L3" s="99"/>
      <c r="M3" s="99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>
        <v>18</v>
      </c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0"/>
      <c r="ES3" s="100"/>
      <c r="ET3" s="100"/>
      <c r="EU3" s="100"/>
      <c r="EV3" s="100"/>
      <c r="EW3" s="100"/>
      <c r="EX3" s="100"/>
      <c r="EY3" s="100"/>
      <c r="EZ3" s="100"/>
      <c r="FA3" s="100"/>
      <c r="FB3" s="100"/>
      <c r="FC3" s="100"/>
      <c r="FD3" s="100"/>
      <c r="FE3" s="100"/>
      <c r="FF3" s="100"/>
      <c r="FG3" s="100"/>
      <c r="FH3" s="100"/>
      <c r="FI3" s="100"/>
      <c r="FJ3" s="100"/>
      <c r="FK3" s="100"/>
      <c r="FL3" s="100"/>
      <c r="FM3" s="100"/>
      <c r="FN3" s="100">
        <v>16</v>
      </c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  <c r="GJ3" s="100">
        <v>10</v>
      </c>
      <c r="GK3" s="100"/>
      <c r="GL3" s="100"/>
      <c r="GM3" s="100"/>
      <c r="GN3" s="100"/>
      <c r="GO3" s="100"/>
      <c r="GP3" s="100"/>
      <c r="GQ3" s="100"/>
      <c r="GR3" s="100"/>
      <c r="GS3" s="100"/>
      <c r="GT3" s="100"/>
      <c r="GU3" s="100"/>
      <c r="GV3" s="100"/>
      <c r="GW3" s="100"/>
      <c r="GX3" s="100"/>
      <c r="GY3" s="100"/>
      <c r="GZ3" s="100"/>
      <c r="HA3" s="100"/>
      <c r="HB3" s="100"/>
      <c r="HC3" s="100"/>
      <c r="HD3" s="100"/>
      <c r="HE3" s="100"/>
      <c r="HF3" s="100"/>
      <c r="HG3" s="100"/>
      <c r="HH3" s="100"/>
      <c r="HI3" s="100"/>
      <c r="HJ3" s="100"/>
      <c r="HK3" s="100"/>
      <c r="HL3" s="100"/>
      <c r="HM3" s="100"/>
      <c r="HN3" s="100"/>
      <c r="HO3" s="100"/>
      <c r="HP3" s="100"/>
      <c r="HQ3" s="100"/>
      <c r="HR3" s="100"/>
      <c r="HS3" s="100"/>
      <c r="HT3" s="100"/>
      <c r="HU3" s="100"/>
      <c r="HV3" s="100"/>
      <c r="HW3" s="100"/>
      <c r="HX3" s="100"/>
      <c r="HY3" s="100"/>
      <c r="HZ3" s="100"/>
      <c r="IA3" s="100"/>
      <c r="IB3" s="100"/>
      <c r="IC3" s="100"/>
      <c r="ID3" s="100"/>
      <c r="IE3" s="100"/>
      <c r="IF3" s="100"/>
      <c r="IG3" s="100"/>
      <c r="IH3" s="100"/>
      <c r="II3" s="100"/>
      <c r="IJ3" s="100"/>
      <c r="IK3" s="100"/>
      <c r="IL3" s="100"/>
      <c r="IM3" s="100"/>
      <c r="IN3" s="100"/>
      <c r="IO3" s="100"/>
      <c r="IP3" s="100"/>
      <c r="IQ3" s="100"/>
      <c r="IR3" s="100"/>
      <c r="IS3" s="100"/>
      <c r="IT3" s="100"/>
      <c r="IU3" s="100"/>
      <c r="IV3" s="100"/>
      <c r="IW3" s="100"/>
      <c r="IX3" s="100"/>
      <c r="IY3" s="100"/>
      <c r="IZ3" s="100"/>
      <c r="JA3" s="100"/>
      <c r="JB3" s="100"/>
      <c r="JC3" s="100"/>
      <c r="JD3" s="100"/>
      <c r="JE3" s="100"/>
      <c r="JF3" s="100"/>
      <c r="JG3" s="100"/>
      <c r="JH3" s="100"/>
      <c r="JI3" s="100"/>
      <c r="JJ3" s="100"/>
      <c r="JK3" s="100"/>
      <c r="JL3" s="100"/>
      <c r="JM3" s="100"/>
      <c r="JN3" s="100"/>
      <c r="JO3" s="100"/>
      <c r="JP3" s="100"/>
      <c r="JQ3" s="100"/>
      <c r="JR3" s="100"/>
      <c r="JS3" s="100"/>
      <c r="JT3" s="100"/>
      <c r="JU3" s="100"/>
      <c r="JV3" s="100"/>
      <c r="JW3" s="100"/>
      <c r="JX3" s="100"/>
      <c r="JY3" s="100"/>
      <c r="JZ3" s="100"/>
      <c r="KA3" s="100"/>
      <c r="KB3" s="100"/>
      <c r="KC3" s="100"/>
      <c r="KD3" s="100"/>
      <c r="KE3" s="100"/>
      <c r="KF3" s="100"/>
      <c r="KG3" s="100"/>
      <c r="KH3" s="100"/>
      <c r="KI3" s="100"/>
      <c r="KJ3" s="100"/>
      <c r="KK3" s="100"/>
      <c r="KL3" s="100"/>
      <c r="KM3" s="100"/>
      <c r="KN3" s="100"/>
      <c r="KO3" s="100"/>
      <c r="KP3" s="100"/>
      <c r="KQ3" s="100"/>
      <c r="KR3" s="100"/>
      <c r="KS3" s="100"/>
      <c r="KT3" s="100"/>
      <c r="KU3" s="100"/>
      <c r="KV3" s="100"/>
      <c r="KW3" s="100"/>
      <c r="KX3" s="100"/>
      <c r="KY3" s="100"/>
      <c r="KZ3" s="100"/>
      <c r="LA3" s="100"/>
      <c r="LB3" s="100"/>
      <c r="LC3" s="100"/>
      <c r="LD3" s="100"/>
      <c r="LE3" s="100"/>
      <c r="LF3" s="100"/>
      <c r="LG3" s="100"/>
      <c r="LH3" s="100"/>
      <c r="LI3" s="100"/>
      <c r="LJ3" s="100"/>
      <c r="LK3" s="100"/>
      <c r="LL3" s="100"/>
      <c r="LM3" s="100"/>
      <c r="LN3" s="100"/>
      <c r="LO3" s="100"/>
      <c r="LP3" s="100"/>
      <c r="LQ3" s="100"/>
      <c r="LR3" s="100"/>
      <c r="LS3" s="100"/>
      <c r="LT3" s="100"/>
      <c r="LU3" s="100"/>
      <c r="LV3" s="100"/>
      <c r="LW3" s="100"/>
      <c r="LX3" s="100"/>
      <c r="LY3" s="100"/>
      <c r="LZ3" s="100"/>
      <c r="MA3" s="100"/>
      <c r="MB3" s="100"/>
      <c r="MC3" s="100"/>
      <c r="MD3" s="100"/>
      <c r="ME3" s="100"/>
      <c r="MF3" s="100"/>
      <c r="MG3" s="100"/>
      <c r="MH3" s="100"/>
      <c r="MI3" s="100"/>
      <c r="MJ3" s="100"/>
      <c r="MK3" s="100"/>
      <c r="ML3" s="100"/>
      <c r="MM3" s="100"/>
      <c r="MN3" s="100"/>
      <c r="MO3" s="100"/>
      <c r="MP3" s="100"/>
      <c r="MQ3" s="100"/>
      <c r="MR3" s="100"/>
      <c r="MS3" s="100"/>
      <c r="MT3" s="100"/>
      <c r="MU3" s="100"/>
      <c r="MV3" s="100"/>
      <c r="MW3" s="100"/>
      <c r="MX3" s="100"/>
      <c r="MY3" s="100"/>
      <c r="MZ3" s="100"/>
      <c r="NA3" s="100"/>
      <c r="NB3" s="100"/>
      <c r="NC3" s="100"/>
      <c r="ND3" s="100"/>
      <c r="NE3" s="100"/>
      <c r="NF3" s="100"/>
      <c r="NG3" s="100"/>
      <c r="NH3" s="100"/>
      <c r="NI3" s="100"/>
      <c r="NJ3" s="100"/>
      <c r="NK3" s="100"/>
      <c r="NL3" s="100"/>
      <c r="NM3" s="100"/>
      <c r="NN3" s="100"/>
      <c r="NO3" s="100"/>
      <c r="NP3" s="100"/>
      <c r="NQ3" s="100"/>
      <c r="NR3" s="100"/>
      <c r="NS3" s="100"/>
      <c r="NT3" s="100"/>
      <c r="NU3" s="100"/>
      <c r="NV3" s="100"/>
      <c r="NW3" s="100"/>
      <c r="NX3" s="100"/>
      <c r="NY3" s="100"/>
      <c r="NZ3" s="100"/>
      <c r="OA3" s="100"/>
      <c r="OB3" s="100"/>
      <c r="OC3" s="100"/>
      <c r="OD3" s="100"/>
      <c r="OE3" s="100"/>
      <c r="OF3" s="100"/>
      <c r="OG3" s="100"/>
      <c r="OH3" s="100"/>
      <c r="OI3" s="100"/>
      <c r="OJ3" s="100"/>
      <c r="OK3" s="100"/>
      <c r="OL3" s="100"/>
      <c r="OM3" s="100"/>
      <c r="ON3" s="100"/>
      <c r="OO3" s="100"/>
      <c r="OP3" s="100"/>
      <c r="OQ3" s="100"/>
      <c r="OR3" s="100"/>
      <c r="OS3" s="100"/>
      <c r="OT3" s="100"/>
      <c r="OU3" s="100"/>
      <c r="OV3" s="100"/>
      <c r="OW3" s="100"/>
      <c r="OX3" s="100"/>
      <c r="OY3" s="100"/>
      <c r="OZ3" s="100"/>
      <c r="PA3" s="100"/>
      <c r="PB3" s="100"/>
      <c r="PC3" s="100"/>
      <c r="PD3" s="100"/>
      <c r="PE3" s="100"/>
      <c r="PF3" s="100"/>
      <c r="PG3" s="100"/>
      <c r="PH3" s="100"/>
      <c r="PI3" s="100"/>
      <c r="PJ3" s="100"/>
      <c r="PK3" s="100"/>
      <c r="PL3" s="100"/>
      <c r="PM3" s="100"/>
      <c r="PN3" s="100"/>
      <c r="PO3" s="100"/>
      <c r="PP3" s="100"/>
      <c r="PQ3" s="100"/>
      <c r="PR3" s="100"/>
      <c r="PS3" s="100"/>
      <c r="PT3" s="100"/>
      <c r="PU3" s="100"/>
      <c r="PV3" s="100"/>
      <c r="PW3" s="100"/>
      <c r="PX3" s="100"/>
      <c r="PY3" s="100"/>
      <c r="PZ3" s="100"/>
      <c r="QA3" s="100"/>
      <c r="QB3" s="100"/>
      <c r="QC3" s="100"/>
      <c r="QD3" s="100"/>
      <c r="QE3" s="100"/>
      <c r="QF3" s="100"/>
      <c r="QG3" s="100"/>
      <c r="QH3" s="100"/>
      <c r="QI3" s="100"/>
      <c r="QJ3" s="100"/>
      <c r="QK3" s="100"/>
      <c r="QL3" s="100"/>
      <c r="QM3" s="100"/>
      <c r="QN3" s="100"/>
      <c r="QO3" s="100"/>
      <c r="QP3" s="100"/>
      <c r="QQ3" s="100"/>
      <c r="QR3" s="100"/>
      <c r="QS3" s="100"/>
      <c r="QT3" s="100"/>
      <c r="QU3" s="100"/>
      <c r="QV3" s="100"/>
      <c r="QW3" s="100"/>
      <c r="QX3" s="100"/>
      <c r="QY3" s="23">
        <f t="shared" si="0"/>
        <v>44</v>
      </c>
      <c r="QZ3" s="47" t="s">
        <v>36</v>
      </c>
      <c r="RA3" s="97">
        <v>4258.46</v>
      </c>
      <c r="RB3" s="63">
        <f>RE3</f>
        <v>4258.46</v>
      </c>
      <c r="RC3" s="63">
        <v>2718.12</v>
      </c>
      <c r="RD3" s="97">
        <f t="shared" si="1"/>
        <v>0</v>
      </c>
      <c r="RE3" s="107">
        <v>4258.46</v>
      </c>
      <c r="RF3" s="107"/>
      <c r="RG3" s="83">
        <f t="shared" si="2"/>
        <v>1.5666931555634043</v>
      </c>
      <c r="RH3" s="116"/>
    </row>
    <row r="4" spans="1:476" s="5" customFormat="1" ht="12.75" customHeight="1" x14ac:dyDescent="0.25">
      <c r="A4" s="48">
        <v>44935</v>
      </c>
      <c r="B4" s="90" t="s">
        <v>342</v>
      </c>
      <c r="C4" s="98"/>
      <c r="D4" s="98"/>
      <c r="E4" s="99"/>
      <c r="F4" s="99"/>
      <c r="G4" s="99"/>
      <c r="H4" s="99"/>
      <c r="I4" s="99"/>
      <c r="J4" s="99"/>
      <c r="K4" s="99"/>
      <c r="L4" s="99"/>
      <c r="M4" s="99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0"/>
      <c r="DE4" s="100"/>
      <c r="DF4" s="100"/>
      <c r="DG4" s="100"/>
      <c r="DH4" s="100"/>
      <c r="DI4" s="100"/>
      <c r="DJ4" s="100"/>
      <c r="DK4" s="100"/>
      <c r="DL4" s="100"/>
      <c r="DM4" s="100"/>
      <c r="DN4" s="100"/>
      <c r="DO4" s="100"/>
      <c r="DP4" s="100"/>
      <c r="DQ4" s="100"/>
      <c r="DR4" s="100"/>
      <c r="DS4" s="100"/>
      <c r="DT4" s="100"/>
      <c r="DU4" s="100"/>
      <c r="DV4" s="100"/>
      <c r="DW4" s="100"/>
      <c r="DX4" s="100"/>
      <c r="DY4" s="100"/>
      <c r="DZ4" s="100"/>
      <c r="EA4" s="100"/>
      <c r="EB4" s="100"/>
      <c r="EC4" s="100"/>
      <c r="ED4" s="100"/>
      <c r="EE4" s="100"/>
      <c r="EF4" s="100"/>
      <c r="EG4" s="100"/>
      <c r="EH4" s="100"/>
      <c r="EI4" s="100"/>
      <c r="EJ4" s="100"/>
      <c r="EK4" s="100"/>
      <c r="EL4" s="100"/>
      <c r="EM4" s="100"/>
      <c r="EN4" s="100"/>
      <c r="EO4" s="100"/>
      <c r="EP4" s="100"/>
      <c r="EQ4" s="100"/>
      <c r="ER4" s="100"/>
      <c r="ES4" s="100"/>
      <c r="ET4" s="100"/>
      <c r="EU4" s="100"/>
      <c r="EV4" s="100"/>
      <c r="EW4" s="100"/>
      <c r="EX4" s="100"/>
      <c r="EY4" s="100"/>
      <c r="EZ4" s="100"/>
      <c r="FA4" s="100"/>
      <c r="FB4" s="100"/>
      <c r="FC4" s="100"/>
      <c r="FD4" s="100"/>
      <c r="FE4" s="100"/>
      <c r="FF4" s="100"/>
      <c r="FG4" s="100"/>
      <c r="FH4" s="100"/>
      <c r="FI4" s="100"/>
      <c r="FJ4" s="100"/>
      <c r="FK4" s="100"/>
      <c r="FL4" s="100"/>
      <c r="FM4" s="100"/>
      <c r="FN4" s="100"/>
      <c r="FO4" s="100"/>
      <c r="FP4" s="100"/>
      <c r="FQ4" s="100"/>
      <c r="FR4" s="100"/>
      <c r="FS4" s="100"/>
      <c r="FT4" s="100"/>
      <c r="FU4" s="100"/>
      <c r="FV4" s="100"/>
      <c r="FW4" s="100">
        <v>10</v>
      </c>
      <c r="FX4" s="100"/>
      <c r="FY4" s="100"/>
      <c r="FZ4" s="100"/>
      <c r="GA4" s="100"/>
      <c r="GB4" s="100"/>
      <c r="GC4" s="100"/>
      <c r="GD4" s="100"/>
      <c r="GE4" s="100"/>
      <c r="GF4" s="100"/>
      <c r="GG4" s="100"/>
      <c r="GH4" s="100"/>
      <c r="GI4" s="100"/>
      <c r="GJ4" s="100"/>
      <c r="GK4" s="100"/>
      <c r="GL4" s="100"/>
      <c r="GM4" s="100"/>
      <c r="GN4" s="100"/>
      <c r="GO4" s="100"/>
      <c r="GP4" s="100"/>
      <c r="GQ4" s="100"/>
      <c r="GR4" s="100"/>
      <c r="GS4" s="100"/>
      <c r="GT4" s="100"/>
      <c r="GU4" s="100"/>
      <c r="GV4" s="100"/>
      <c r="GW4" s="100"/>
      <c r="GX4" s="100"/>
      <c r="GY4" s="100"/>
      <c r="GZ4" s="100"/>
      <c r="HA4" s="100"/>
      <c r="HB4" s="100"/>
      <c r="HC4" s="100"/>
      <c r="HD4" s="100"/>
      <c r="HE4" s="100"/>
      <c r="HF4" s="100"/>
      <c r="HG4" s="100"/>
      <c r="HH4" s="100"/>
      <c r="HI4" s="100"/>
      <c r="HJ4" s="100"/>
      <c r="HK4" s="100"/>
      <c r="HL4" s="100"/>
      <c r="HM4" s="100"/>
      <c r="HN4" s="100"/>
      <c r="HO4" s="100"/>
      <c r="HP4" s="100"/>
      <c r="HQ4" s="100"/>
      <c r="HR4" s="100"/>
      <c r="HS4" s="100"/>
      <c r="HT4" s="100"/>
      <c r="HU4" s="100"/>
      <c r="HV4" s="100"/>
      <c r="HW4" s="100"/>
      <c r="HX4" s="100">
        <v>3</v>
      </c>
      <c r="HY4" s="100"/>
      <c r="HZ4" s="100"/>
      <c r="IA4" s="100"/>
      <c r="IB4" s="100"/>
      <c r="IC4" s="100"/>
      <c r="ID4" s="100"/>
      <c r="IE4" s="100"/>
      <c r="IF4" s="100"/>
      <c r="IG4" s="100"/>
      <c r="IH4" s="100"/>
      <c r="II4" s="100"/>
      <c r="IJ4" s="100"/>
      <c r="IK4" s="100"/>
      <c r="IL4" s="100"/>
      <c r="IM4" s="100"/>
      <c r="IN4" s="100"/>
      <c r="IO4" s="100"/>
      <c r="IP4" s="100"/>
      <c r="IQ4" s="100"/>
      <c r="IR4" s="100"/>
      <c r="IS4" s="100"/>
      <c r="IT4" s="100"/>
      <c r="IU4" s="100"/>
      <c r="IV4" s="100"/>
      <c r="IW4" s="100"/>
      <c r="IX4" s="100"/>
      <c r="IY4" s="100"/>
      <c r="IZ4" s="100"/>
      <c r="JA4" s="100"/>
      <c r="JB4" s="100"/>
      <c r="JC4" s="100"/>
      <c r="JD4" s="100"/>
      <c r="JE4" s="100"/>
      <c r="JF4" s="100"/>
      <c r="JG4" s="100"/>
      <c r="JH4" s="100"/>
      <c r="JI4" s="100"/>
      <c r="JJ4" s="100"/>
      <c r="JK4" s="100"/>
      <c r="JL4" s="100"/>
      <c r="JM4" s="100"/>
      <c r="JN4" s="100"/>
      <c r="JO4" s="100"/>
      <c r="JP4" s="100"/>
      <c r="JQ4" s="100"/>
      <c r="JR4" s="100"/>
      <c r="JS4" s="100"/>
      <c r="JT4" s="100"/>
      <c r="JU4" s="100"/>
      <c r="JV4" s="100"/>
      <c r="JW4" s="100"/>
      <c r="JX4" s="100"/>
      <c r="JY4" s="100"/>
      <c r="JZ4" s="100"/>
      <c r="KA4" s="100"/>
      <c r="KB4" s="100"/>
      <c r="KC4" s="100"/>
      <c r="KD4" s="100"/>
      <c r="KE4" s="100"/>
      <c r="KF4" s="100"/>
      <c r="KG4" s="100"/>
      <c r="KH4" s="100"/>
      <c r="KI4" s="100"/>
      <c r="KJ4" s="100"/>
      <c r="KK4" s="100"/>
      <c r="KL4" s="100"/>
      <c r="KM4" s="100"/>
      <c r="KN4" s="100"/>
      <c r="KO4" s="100"/>
      <c r="KP4" s="100"/>
      <c r="KQ4" s="100"/>
      <c r="KR4" s="100"/>
      <c r="KS4" s="100"/>
      <c r="KT4" s="100"/>
      <c r="KU4" s="100"/>
      <c r="KV4" s="100"/>
      <c r="KW4" s="100"/>
      <c r="KX4" s="100"/>
      <c r="KY4" s="100"/>
      <c r="KZ4" s="100"/>
      <c r="LA4" s="100"/>
      <c r="LB4" s="100"/>
      <c r="LC4" s="100"/>
      <c r="LD4" s="100"/>
      <c r="LE4" s="100"/>
      <c r="LF4" s="100"/>
      <c r="LG4" s="100"/>
      <c r="LH4" s="100"/>
      <c r="LI4" s="100"/>
      <c r="LJ4" s="100"/>
      <c r="LK4" s="100"/>
      <c r="LL4" s="100"/>
      <c r="LM4" s="100"/>
      <c r="LN4" s="100"/>
      <c r="LO4" s="100"/>
      <c r="LP4" s="100"/>
      <c r="LQ4" s="100"/>
      <c r="LR4" s="100"/>
      <c r="LS4" s="100"/>
      <c r="LT4" s="100"/>
      <c r="LU4" s="100"/>
      <c r="LV4" s="100"/>
      <c r="LW4" s="100"/>
      <c r="LX4" s="100"/>
      <c r="LY4" s="100"/>
      <c r="LZ4" s="100"/>
      <c r="MA4" s="100"/>
      <c r="MB4" s="100"/>
      <c r="MC4" s="100"/>
      <c r="MD4" s="100"/>
      <c r="ME4" s="100"/>
      <c r="MF4" s="100"/>
      <c r="MG4" s="100"/>
      <c r="MH4" s="100"/>
      <c r="MI4" s="100"/>
      <c r="MJ4" s="100"/>
      <c r="MK4" s="100"/>
      <c r="ML4" s="100"/>
      <c r="MM4" s="100"/>
      <c r="MN4" s="100"/>
      <c r="MO4" s="100"/>
      <c r="MP4" s="100"/>
      <c r="MQ4" s="100"/>
      <c r="MR4" s="100"/>
      <c r="MS4" s="100"/>
      <c r="MT4" s="100"/>
      <c r="MU4" s="100"/>
      <c r="MV4" s="100"/>
      <c r="MW4" s="100"/>
      <c r="MX4" s="100"/>
      <c r="MY4" s="100"/>
      <c r="MZ4" s="100"/>
      <c r="NA4" s="100"/>
      <c r="NB4" s="100"/>
      <c r="NC4" s="100"/>
      <c r="ND4" s="100"/>
      <c r="NE4" s="100"/>
      <c r="NF4" s="100"/>
      <c r="NG4" s="100"/>
      <c r="NH4" s="100"/>
      <c r="NI4" s="100"/>
      <c r="NJ4" s="100"/>
      <c r="NK4" s="100"/>
      <c r="NL4" s="100"/>
      <c r="NM4" s="100"/>
      <c r="NN4" s="100"/>
      <c r="NO4" s="100"/>
      <c r="NP4" s="100"/>
      <c r="NQ4" s="100"/>
      <c r="NR4" s="100"/>
      <c r="NS4" s="100"/>
      <c r="NT4" s="100"/>
      <c r="NU4" s="100"/>
      <c r="NV4" s="100"/>
      <c r="NW4" s="100"/>
      <c r="NX4" s="100"/>
      <c r="NY4" s="100"/>
      <c r="NZ4" s="100"/>
      <c r="OA4" s="100"/>
      <c r="OB4" s="100"/>
      <c r="OC4" s="100"/>
      <c r="OD4" s="100"/>
      <c r="OE4" s="100"/>
      <c r="OF4" s="100"/>
      <c r="OG4" s="100"/>
      <c r="OH4" s="100"/>
      <c r="OI4" s="100"/>
      <c r="OJ4" s="100"/>
      <c r="OK4" s="100"/>
      <c r="OL4" s="100"/>
      <c r="OM4" s="100"/>
      <c r="ON4" s="100"/>
      <c r="OO4" s="100"/>
      <c r="OP4" s="100"/>
      <c r="OQ4" s="100"/>
      <c r="OR4" s="100"/>
      <c r="OS4" s="100"/>
      <c r="OT4" s="100"/>
      <c r="OU4" s="100"/>
      <c r="OV4" s="100"/>
      <c r="OW4" s="100"/>
      <c r="OX4" s="100"/>
      <c r="OY4" s="100"/>
      <c r="OZ4" s="100"/>
      <c r="PA4" s="100"/>
      <c r="PB4" s="100"/>
      <c r="PC4" s="100"/>
      <c r="PD4" s="100"/>
      <c r="PE4" s="100"/>
      <c r="PF4" s="100"/>
      <c r="PG4" s="100"/>
      <c r="PH4" s="100"/>
      <c r="PI4" s="100"/>
      <c r="PJ4" s="100"/>
      <c r="PK4" s="100"/>
      <c r="PL4" s="100"/>
      <c r="PM4" s="100"/>
      <c r="PN4" s="100"/>
      <c r="PO4" s="100"/>
      <c r="PP4" s="100"/>
      <c r="PQ4" s="100"/>
      <c r="PR4" s="100"/>
      <c r="PS4" s="100"/>
      <c r="PT4" s="100"/>
      <c r="PU4" s="100"/>
      <c r="PV4" s="100"/>
      <c r="PW4" s="100"/>
      <c r="PX4" s="100"/>
      <c r="PY4" s="100"/>
      <c r="PZ4" s="100"/>
      <c r="QA4" s="100"/>
      <c r="QB4" s="100"/>
      <c r="QC4" s="100"/>
      <c r="QD4" s="100"/>
      <c r="QE4" s="100"/>
      <c r="QF4" s="100"/>
      <c r="QG4" s="100"/>
      <c r="QH4" s="100"/>
      <c r="QI4" s="100"/>
      <c r="QJ4" s="100"/>
      <c r="QK4" s="100"/>
      <c r="QL4" s="100"/>
      <c r="QM4" s="100"/>
      <c r="QN4" s="100"/>
      <c r="QO4" s="100"/>
      <c r="QP4" s="100"/>
      <c r="QQ4" s="100"/>
      <c r="QR4" s="100"/>
      <c r="QS4" s="100"/>
      <c r="QT4" s="100"/>
      <c r="QU4" s="100"/>
      <c r="QV4" s="100"/>
      <c r="QW4" s="100"/>
      <c r="QX4" s="100"/>
      <c r="QY4" s="23">
        <f t="shared" si="0"/>
        <v>13</v>
      </c>
      <c r="QZ4" s="47" t="s">
        <v>36</v>
      </c>
      <c r="RA4" s="97">
        <v>603.12</v>
      </c>
      <c r="RB4" s="63">
        <f>RE4</f>
        <v>603.12</v>
      </c>
      <c r="RC4" s="63">
        <v>330.8</v>
      </c>
      <c r="RD4" s="97">
        <f t="shared" si="1"/>
        <v>0</v>
      </c>
      <c r="RE4" s="107">
        <v>603.12</v>
      </c>
      <c r="RF4" s="107"/>
      <c r="RG4" s="83">
        <f t="shared" si="2"/>
        <v>1.8232164449818622</v>
      </c>
      <c r="RH4" s="116"/>
    </row>
    <row r="5" spans="1:476" s="5" customFormat="1" ht="12.75" customHeight="1" x14ac:dyDescent="0.25">
      <c r="A5" s="48">
        <v>44936</v>
      </c>
      <c r="B5" s="81" t="s">
        <v>282</v>
      </c>
      <c r="C5" s="98"/>
      <c r="D5" s="98"/>
      <c r="E5" s="99"/>
      <c r="F5" s="99"/>
      <c r="G5" s="99"/>
      <c r="H5" s="99"/>
      <c r="I5" s="99"/>
      <c r="J5" s="99"/>
      <c r="K5" s="99"/>
      <c r="L5" s="99"/>
      <c r="M5" s="99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>
        <v>140</v>
      </c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  <c r="EF5" s="100"/>
      <c r="EG5" s="100"/>
      <c r="EH5" s="100"/>
      <c r="EI5" s="100"/>
      <c r="EJ5" s="100"/>
      <c r="EK5" s="100"/>
      <c r="EL5" s="100"/>
      <c r="EM5" s="100"/>
      <c r="EN5" s="100"/>
      <c r="EO5" s="100"/>
      <c r="EP5" s="100"/>
      <c r="EQ5" s="100"/>
      <c r="ER5" s="100"/>
      <c r="ES5" s="100"/>
      <c r="ET5" s="100"/>
      <c r="EU5" s="100"/>
      <c r="EV5" s="100"/>
      <c r="EW5" s="100"/>
      <c r="EX5" s="100"/>
      <c r="EY5" s="100"/>
      <c r="EZ5" s="100"/>
      <c r="FA5" s="100"/>
      <c r="FB5" s="100"/>
      <c r="FC5" s="100"/>
      <c r="FD5" s="100"/>
      <c r="FE5" s="100"/>
      <c r="FF5" s="100"/>
      <c r="FG5" s="100"/>
      <c r="FH5" s="100"/>
      <c r="FI5" s="100"/>
      <c r="FJ5" s="100"/>
      <c r="FK5" s="100"/>
      <c r="FL5" s="100"/>
      <c r="FM5" s="100"/>
      <c r="FN5" s="100"/>
      <c r="FO5" s="100"/>
      <c r="FP5" s="100"/>
      <c r="FQ5" s="100"/>
      <c r="FR5" s="100"/>
      <c r="FS5" s="100"/>
      <c r="FT5" s="100"/>
      <c r="FU5" s="100"/>
      <c r="FV5" s="100"/>
      <c r="FW5" s="100"/>
      <c r="FX5" s="100"/>
      <c r="FY5" s="100"/>
      <c r="FZ5" s="100"/>
      <c r="GA5" s="100"/>
      <c r="GB5" s="100"/>
      <c r="GC5" s="100"/>
      <c r="GD5" s="100"/>
      <c r="GE5" s="100"/>
      <c r="GF5" s="100"/>
      <c r="GG5" s="100"/>
      <c r="GH5" s="100"/>
      <c r="GI5" s="100"/>
      <c r="GJ5" s="100"/>
      <c r="GK5" s="100"/>
      <c r="GL5" s="100"/>
      <c r="GM5" s="100"/>
      <c r="GN5" s="100"/>
      <c r="GO5" s="100"/>
      <c r="GP5" s="100"/>
      <c r="GQ5" s="100"/>
      <c r="GR5" s="100"/>
      <c r="GS5" s="100"/>
      <c r="GT5" s="100"/>
      <c r="GU5" s="100"/>
      <c r="GV5" s="100"/>
      <c r="GW5" s="100"/>
      <c r="GX5" s="100"/>
      <c r="GY5" s="100"/>
      <c r="GZ5" s="100"/>
      <c r="HA5" s="100"/>
      <c r="HB5" s="100"/>
      <c r="HC5" s="100"/>
      <c r="HD5" s="100"/>
      <c r="HE5" s="100"/>
      <c r="HF5" s="100"/>
      <c r="HG5" s="100"/>
      <c r="HH5" s="100"/>
      <c r="HI5" s="100"/>
      <c r="HJ5" s="100"/>
      <c r="HK5" s="100"/>
      <c r="HL5" s="100"/>
      <c r="HM5" s="100"/>
      <c r="HN5" s="100"/>
      <c r="HO5" s="100"/>
      <c r="HP5" s="100"/>
      <c r="HQ5" s="100"/>
      <c r="HR5" s="100"/>
      <c r="HS5" s="100"/>
      <c r="HT5" s="100"/>
      <c r="HU5" s="100"/>
      <c r="HV5" s="100"/>
      <c r="HW5" s="100"/>
      <c r="HX5" s="100"/>
      <c r="HY5" s="100"/>
      <c r="HZ5" s="100"/>
      <c r="IA5" s="100"/>
      <c r="IB5" s="100"/>
      <c r="IC5" s="100"/>
      <c r="ID5" s="100"/>
      <c r="IE5" s="100"/>
      <c r="IF5" s="100"/>
      <c r="IG5" s="100"/>
      <c r="IH5" s="100"/>
      <c r="II5" s="100"/>
      <c r="IJ5" s="100"/>
      <c r="IK5" s="100"/>
      <c r="IL5" s="100"/>
      <c r="IM5" s="100"/>
      <c r="IN5" s="100"/>
      <c r="IO5" s="100"/>
      <c r="IP5" s="100"/>
      <c r="IQ5" s="100"/>
      <c r="IR5" s="100"/>
      <c r="IS5" s="100"/>
      <c r="IT5" s="100"/>
      <c r="IU5" s="100"/>
      <c r="IV5" s="100"/>
      <c r="IW5" s="100"/>
      <c r="IX5" s="100"/>
      <c r="IY5" s="100"/>
      <c r="IZ5" s="100"/>
      <c r="JA5" s="100"/>
      <c r="JB5" s="100"/>
      <c r="JC5" s="100"/>
      <c r="JD5" s="100"/>
      <c r="JE5" s="100"/>
      <c r="JF5" s="100"/>
      <c r="JG5" s="100"/>
      <c r="JH5" s="100"/>
      <c r="JI5" s="100"/>
      <c r="JJ5" s="100"/>
      <c r="JK5" s="100"/>
      <c r="JL5" s="100"/>
      <c r="JM5" s="100"/>
      <c r="JN5" s="100"/>
      <c r="JO5" s="100"/>
      <c r="JP5" s="100"/>
      <c r="JQ5" s="100"/>
      <c r="JR5" s="100"/>
      <c r="JS5" s="100"/>
      <c r="JT5" s="100"/>
      <c r="JU5" s="100"/>
      <c r="JV5" s="100"/>
      <c r="JW5" s="100"/>
      <c r="JX5" s="100"/>
      <c r="JY5" s="100"/>
      <c r="JZ5" s="100"/>
      <c r="KA5" s="100"/>
      <c r="KB5" s="100"/>
      <c r="KC5" s="100"/>
      <c r="KD5" s="100"/>
      <c r="KE5" s="100"/>
      <c r="KF5" s="100"/>
      <c r="KG5" s="100"/>
      <c r="KH5" s="100"/>
      <c r="KI5" s="100"/>
      <c r="KJ5" s="100"/>
      <c r="KK5" s="100"/>
      <c r="KL5" s="100"/>
      <c r="KM5" s="100"/>
      <c r="KN5" s="100"/>
      <c r="KO5" s="100"/>
      <c r="KP5" s="100"/>
      <c r="KQ5" s="100"/>
      <c r="KR5" s="100"/>
      <c r="KS5" s="100"/>
      <c r="KT5" s="100"/>
      <c r="KU5" s="100"/>
      <c r="KV5" s="100"/>
      <c r="KW5" s="100"/>
      <c r="KX5" s="100"/>
      <c r="KY5" s="100"/>
      <c r="KZ5" s="100"/>
      <c r="LA5" s="100"/>
      <c r="LB5" s="100"/>
      <c r="LC5" s="100"/>
      <c r="LD5" s="100"/>
      <c r="LE5" s="100"/>
      <c r="LF5" s="100"/>
      <c r="LG5" s="100"/>
      <c r="LH5" s="100"/>
      <c r="LI5" s="100"/>
      <c r="LJ5" s="100"/>
      <c r="LK5" s="100"/>
      <c r="LL5" s="100"/>
      <c r="LM5" s="100"/>
      <c r="LN5" s="100"/>
      <c r="LO5" s="100"/>
      <c r="LP5" s="100"/>
      <c r="LQ5" s="100"/>
      <c r="LR5" s="100"/>
      <c r="LS5" s="100"/>
      <c r="LT5" s="100"/>
      <c r="LU5" s="100"/>
      <c r="LV5" s="100"/>
      <c r="LW5" s="100"/>
      <c r="LX5" s="100"/>
      <c r="LY5" s="100"/>
      <c r="LZ5" s="100"/>
      <c r="MA5" s="100"/>
      <c r="MB5" s="100"/>
      <c r="MC5" s="100"/>
      <c r="MD5" s="100"/>
      <c r="ME5" s="100"/>
      <c r="MF5" s="100"/>
      <c r="MG5" s="100"/>
      <c r="MH5" s="100"/>
      <c r="MI5" s="100"/>
      <c r="MJ5" s="100"/>
      <c r="MK5" s="100"/>
      <c r="ML5" s="100"/>
      <c r="MM5" s="100"/>
      <c r="MN5" s="100"/>
      <c r="MO5" s="100"/>
      <c r="MP5" s="100"/>
      <c r="MQ5" s="100"/>
      <c r="MR5" s="100"/>
      <c r="MS5" s="100"/>
      <c r="MT5" s="100"/>
      <c r="MU5" s="100"/>
      <c r="MV5" s="100"/>
      <c r="MW5" s="100"/>
      <c r="MX5" s="100"/>
      <c r="MY5" s="100"/>
      <c r="MZ5" s="100"/>
      <c r="NA5" s="100"/>
      <c r="NB5" s="100"/>
      <c r="NC5" s="100"/>
      <c r="ND5" s="100"/>
      <c r="NE5" s="100"/>
      <c r="NF5" s="100"/>
      <c r="NG5" s="100"/>
      <c r="NH5" s="100"/>
      <c r="NI5" s="100"/>
      <c r="NJ5" s="100"/>
      <c r="NK5" s="100"/>
      <c r="NL5" s="100"/>
      <c r="NM5" s="100"/>
      <c r="NN5" s="100"/>
      <c r="NO5" s="100"/>
      <c r="NP5" s="100"/>
      <c r="NQ5" s="100"/>
      <c r="NR5" s="100"/>
      <c r="NS5" s="100"/>
      <c r="NT5" s="100"/>
      <c r="NU5" s="100"/>
      <c r="NV5" s="100"/>
      <c r="NW5" s="100"/>
      <c r="NX5" s="100"/>
      <c r="NY5" s="100"/>
      <c r="NZ5" s="100"/>
      <c r="OA5" s="100"/>
      <c r="OB5" s="100"/>
      <c r="OC5" s="100"/>
      <c r="OD5" s="100"/>
      <c r="OE5" s="100"/>
      <c r="OF5" s="100"/>
      <c r="OG5" s="100"/>
      <c r="OH5" s="100"/>
      <c r="OI5" s="100"/>
      <c r="OJ5" s="100"/>
      <c r="OK5" s="100"/>
      <c r="OL5" s="100"/>
      <c r="OM5" s="100"/>
      <c r="ON5" s="100"/>
      <c r="OO5" s="100"/>
      <c r="OP5" s="100"/>
      <c r="OQ5" s="100"/>
      <c r="OR5" s="100"/>
      <c r="OS5" s="100"/>
      <c r="OT5" s="100"/>
      <c r="OU5" s="100"/>
      <c r="OV5" s="100"/>
      <c r="OW5" s="100"/>
      <c r="OX5" s="100"/>
      <c r="OY5" s="100"/>
      <c r="OZ5" s="100"/>
      <c r="PA5" s="100"/>
      <c r="PB5" s="100"/>
      <c r="PC5" s="100"/>
      <c r="PD5" s="100"/>
      <c r="PE5" s="100"/>
      <c r="PF5" s="100"/>
      <c r="PG5" s="100"/>
      <c r="PH5" s="100"/>
      <c r="PI5" s="100"/>
      <c r="PJ5" s="100"/>
      <c r="PK5" s="100"/>
      <c r="PL5" s="100"/>
      <c r="PM5" s="100"/>
      <c r="PN5" s="100"/>
      <c r="PO5" s="100"/>
      <c r="PP5" s="100"/>
      <c r="PQ5" s="100"/>
      <c r="PR5" s="100"/>
      <c r="PS5" s="100"/>
      <c r="PT5" s="100"/>
      <c r="PU5" s="100"/>
      <c r="PV5" s="100"/>
      <c r="PW5" s="100"/>
      <c r="PX5" s="100"/>
      <c r="PY5" s="100"/>
      <c r="PZ5" s="100"/>
      <c r="QA5" s="100"/>
      <c r="QB5" s="100"/>
      <c r="QC5" s="100"/>
      <c r="QD5" s="100"/>
      <c r="QE5" s="100"/>
      <c r="QF5" s="100"/>
      <c r="QG5" s="100"/>
      <c r="QH5" s="100"/>
      <c r="QI5" s="100"/>
      <c r="QJ5" s="100"/>
      <c r="QK5" s="100"/>
      <c r="QL5" s="100"/>
      <c r="QM5" s="100"/>
      <c r="QN5" s="100"/>
      <c r="QO5" s="100"/>
      <c r="QP5" s="100"/>
      <c r="QQ5" s="100"/>
      <c r="QR5" s="100"/>
      <c r="QS5" s="100"/>
      <c r="QT5" s="100"/>
      <c r="QU5" s="100"/>
      <c r="QV5" s="100"/>
      <c r="QW5" s="100"/>
      <c r="QX5" s="100"/>
      <c r="QY5" s="23">
        <f t="shared" si="0"/>
        <v>140</v>
      </c>
      <c r="QZ5" s="47" t="s">
        <v>36</v>
      </c>
      <c r="RA5" s="97">
        <v>7056</v>
      </c>
      <c r="RB5" s="63">
        <f>RE5+RF5</f>
        <v>0</v>
      </c>
      <c r="RC5" s="63">
        <v>4459</v>
      </c>
      <c r="RD5" s="97">
        <f t="shared" si="1"/>
        <v>7056</v>
      </c>
      <c r="RE5" s="107"/>
      <c r="RF5" s="107"/>
      <c r="RG5" s="83">
        <f t="shared" si="2"/>
        <v>1.5824175824175823</v>
      </c>
      <c r="RH5" s="116" t="s">
        <v>527</v>
      </c>
    </row>
    <row r="6" spans="1:476" s="5" customFormat="1" ht="12.75" customHeight="1" x14ac:dyDescent="0.25">
      <c r="A6" s="48">
        <v>44936</v>
      </c>
      <c r="B6" s="90" t="s">
        <v>238</v>
      </c>
      <c r="C6" s="98"/>
      <c r="D6" s="98"/>
      <c r="E6" s="99"/>
      <c r="F6" s="99"/>
      <c r="G6" s="99"/>
      <c r="H6" s="99"/>
      <c r="I6" s="99"/>
      <c r="J6" s="99"/>
      <c r="K6" s="99"/>
      <c r="L6" s="99"/>
      <c r="M6" s="99"/>
      <c r="N6" s="100"/>
      <c r="O6" s="100"/>
      <c r="P6" s="100">
        <v>8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  <c r="DJ6" s="100"/>
      <c r="DK6" s="100"/>
      <c r="DL6" s="100"/>
      <c r="DM6" s="100"/>
      <c r="DN6" s="100"/>
      <c r="DO6" s="100"/>
      <c r="DP6" s="100"/>
      <c r="DQ6" s="100"/>
      <c r="DR6" s="100"/>
      <c r="DS6" s="100"/>
      <c r="DT6" s="100"/>
      <c r="DU6" s="100"/>
      <c r="DV6" s="100"/>
      <c r="DW6" s="100"/>
      <c r="DX6" s="100"/>
      <c r="DY6" s="100">
        <v>10</v>
      </c>
      <c r="DZ6" s="100"/>
      <c r="EA6" s="100"/>
      <c r="EB6" s="100"/>
      <c r="EC6" s="100"/>
      <c r="ED6" s="100"/>
      <c r="EE6" s="100"/>
      <c r="EF6" s="100"/>
      <c r="EG6" s="100"/>
      <c r="EH6" s="100"/>
      <c r="EI6" s="100"/>
      <c r="EJ6" s="100">
        <v>10</v>
      </c>
      <c r="EK6" s="100"/>
      <c r="EL6" s="100"/>
      <c r="EM6" s="100"/>
      <c r="EN6" s="100"/>
      <c r="EO6" s="100"/>
      <c r="EP6" s="100"/>
      <c r="EQ6" s="100"/>
      <c r="ER6" s="100"/>
      <c r="ES6" s="100"/>
      <c r="ET6" s="100"/>
      <c r="EU6" s="100"/>
      <c r="EV6" s="100"/>
      <c r="EW6" s="100"/>
      <c r="EX6" s="100"/>
      <c r="EY6" s="100"/>
      <c r="EZ6" s="100"/>
      <c r="FA6" s="100"/>
      <c r="FB6" s="100"/>
      <c r="FC6" s="100"/>
      <c r="FD6" s="100"/>
      <c r="FE6" s="100"/>
      <c r="FF6" s="100"/>
      <c r="FG6" s="100"/>
      <c r="FH6" s="100"/>
      <c r="FI6" s="100"/>
      <c r="FJ6" s="100"/>
      <c r="FK6" s="100"/>
      <c r="FL6" s="100"/>
      <c r="FM6" s="100"/>
      <c r="FN6" s="100">
        <v>8</v>
      </c>
      <c r="FO6" s="100"/>
      <c r="FP6" s="100"/>
      <c r="FQ6" s="100"/>
      <c r="FR6" s="100"/>
      <c r="FS6" s="100"/>
      <c r="FT6" s="100"/>
      <c r="FU6" s="100"/>
      <c r="FV6" s="100"/>
      <c r="FW6" s="100"/>
      <c r="FX6" s="100"/>
      <c r="FY6" s="100"/>
      <c r="FZ6" s="100"/>
      <c r="GA6" s="100"/>
      <c r="GB6" s="100"/>
      <c r="GC6" s="100"/>
      <c r="GD6" s="100"/>
      <c r="GE6" s="100"/>
      <c r="GF6" s="100"/>
      <c r="GG6" s="100"/>
      <c r="GH6" s="100"/>
      <c r="GI6" s="100"/>
      <c r="GJ6" s="100"/>
      <c r="GK6" s="100"/>
      <c r="GL6" s="100"/>
      <c r="GM6" s="100"/>
      <c r="GN6" s="100"/>
      <c r="GO6" s="100"/>
      <c r="GP6" s="100"/>
      <c r="GQ6" s="100"/>
      <c r="GR6" s="100"/>
      <c r="GS6" s="100"/>
      <c r="GT6" s="100"/>
      <c r="GU6" s="100"/>
      <c r="GV6" s="100"/>
      <c r="GW6" s="100"/>
      <c r="GX6" s="100"/>
      <c r="GY6" s="100"/>
      <c r="GZ6" s="100"/>
      <c r="HA6" s="100"/>
      <c r="HB6" s="100"/>
      <c r="HC6" s="100"/>
      <c r="HD6" s="100"/>
      <c r="HE6" s="100"/>
      <c r="HF6" s="100"/>
      <c r="HG6" s="100"/>
      <c r="HH6" s="100"/>
      <c r="HI6" s="100"/>
      <c r="HJ6" s="100"/>
      <c r="HK6" s="100"/>
      <c r="HL6" s="100"/>
      <c r="HM6" s="100"/>
      <c r="HN6" s="100"/>
      <c r="HO6" s="100"/>
      <c r="HP6" s="100"/>
      <c r="HQ6" s="100"/>
      <c r="HR6" s="100"/>
      <c r="HS6" s="100"/>
      <c r="HT6" s="100"/>
      <c r="HU6" s="100"/>
      <c r="HV6" s="100"/>
      <c r="HW6" s="100"/>
      <c r="HX6" s="100"/>
      <c r="HY6" s="100"/>
      <c r="HZ6" s="100"/>
      <c r="IA6" s="100"/>
      <c r="IB6" s="100"/>
      <c r="IC6" s="100"/>
      <c r="ID6" s="100"/>
      <c r="IE6" s="100"/>
      <c r="IF6" s="100"/>
      <c r="IG6" s="100"/>
      <c r="IH6" s="100">
        <v>9</v>
      </c>
      <c r="II6" s="100"/>
      <c r="IJ6" s="100"/>
      <c r="IK6" s="100"/>
      <c r="IL6" s="100"/>
      <c r="IM6" s="100"/>
      <c r="IN6" s="100"/>
      <c r="IO6" s="100"/>
      <c r="IP6" s="100"/>
      <c r="IQ6" s="100"/>
      <c r="IR6" s="100"/>
      <c r="IS6" s="100"/>
      <c r="IT6" s="100"/>
      <c r="IU6" s="100"/>
      <c r="IV6" s="100"/>
      <c r="IW6" s="100"/>
      <c r="IX6" s="100"/>
      <c r="IY6" s="100"/>
      <c r="IZ6" s="100"/>
      <c r="JA6" s="100"/>
      <c r="JB6" s="100"/>
      <c r="JC6" s="100"/>
      <c r="JD6" s="100"/>
      <c r="JE6" s="100"/>
      <c r="JF6" s="100"/>
      <c r="JG6" s="100"/>
      <c r="JH6" s="100"/>
      <c r="JI6" s="100"/>
      <c r="JJ6" s="100">
        <v>10</v>
      </c>
      <c r="JK6" s="100"/>
      <c r="JL6" s="100"/>
      <c r="JM6" s="100"/>
      <c r="JN6" s="100"/>
      <c r="JO6" s="100"/>
      <c r="JP6" s="100"/>
      <c r="JQ6" s="100"/>
      <c r="JR6" s="100"/>
      <c r="JS6" s="100"/>
      <c r="JT6" s="100"/>
      <c r="JU6" s="100"/>
      <c r="JV6" s="100"/>
      <c r="JW6" s="100"/>
      <c r="JX6" s="100">
        <v>10</v>
      </c>
      <c r="JY6" s="100"/>
      <c r="JZ6" s="100"/>
      <c r="KA6" s="100"/>
      <c r="KB6" s="100"/>
      <c r="KC6" s="100"/>
      <c r="KD6" s="100"/>
      <c r="KE6" s="100"/>
      <c r="KF6" s="100"/>
      <c r="KG6" s="100"/>
      <c r="KH6" s="100"/>
      <c r="KI6" s="100"/>
      <c r="KJ6" s="100"/>
      <c r="KK6" s="100"/>
      <c r="KL6" s="100"/>
      <c r="KM6" s="100"/>
      <c r="KN6" s="100"/>
      <c r="KO6" s="100">
        <v>10</v>
      </c>
      <c r="KP6" s="100"/>
      <c r="KQ6" s="100"/>
      <c r="KR6" s="100"/>
      <c r="KS6" s="100"/>
      <c r="KT6" s="100"/>
      <c r="KU6" s="100"/>
      <c r="KV6" s="100"/>
      <c r="KW6" s="100"/>
      <c r="KX6" s="100"/>
      <c r="KY6" s="100"/>
      <c r="KZ6" s="100"/>
      <c r="LA6" s="100"/>
      <c r="LB6" s="100"/>
      <c r="LC6" s="100"/>
      <c r="LD6" s="100"/>
      <c r="LE6" s="100"/>
      <c r="LF6" s="100"/>
      <c r="LG6" s="100"/>
      <c r="LH6" s="100"/>
      <c r="LI6" s="100"/>
      <c r="LJ6" s="100"/>
      <c r="LK6" s="100"/>
      <c r="LL6" s="100"/>
      <c r="LM6" s="100"/>
      <c r="LN6" s="100"/>
      <c r="LO6" s="100"/>
      <c r="LP6" s="100"/>
      <c r="LQ6" s="100"/>
      <c r="LR6" s="100"/>
      <c r="LS6" s="100"/>
      <c r="LT6" s="100"/>
      <c r="LU6" s="100"/>
      <c r="LV6" s="100"/>
      <c r="LW6" s="100"/>
      <c r="LX6" s="100"/>
      <c r="LY6" s="100"/>
      <c r="LZ6" s="100"/>
      <c r="MA6" s="100"/>
      <c r="MB6" s="100"/>
      <c r="MC6" s="100"/>
      <c r="MD6" s="100"/>
      <c r="ME6" s="100"/>
      <c r="MF6" s="100"/>
      <c r="MG6" s="100"/>
      <c r="MH6" s="100"/>
      <c r="MI6" s="100"/>
      <c r="MJ6" s="100"/>
      <c r="MK6" s="100"/>
      <c r="ML6" s="100"/>
      <c r="MM6" s="100"/>
      <c r="MN6" s="100"/>
      <c r="MO6" s="100"/>
      <c r="MP6" s="100"/>
      <c r="MQ6" s="100"/>
      <c r="MR6" s="100"/>
      <c r="MS6" s="100"/>
      <c r="MT6" s="100"/>
      <c r="MU6" s="100"/>
      <c r="MV6" s="100"/>
      <c r="MW6" s="100"/>
      <c r="MX6" s="100"/>
      <c r="MY6" s="100"/>
      <c r="MZ6" s="100"/>
      <c r="NA6" s="100"/>
      <c r="NB6" s="100"/>
      <c r="NC6" s="100"/>
      <c r="ND6" s="100"/>
      <c r="NE6" s="100"/>
      <c r="NF6" s="100"/>
      <c r="NG6" s="100"/>
      <c r="NH6" s="100"/>
      <c r="NI6" s="100"/>
      <c r="NJ6" s="100"/>
      <c r="NK6" s="100"/>
      <c r="NL6" s="100"/>
      <c r="NM6" s="100"/>
      <c r="NN6" s="100"/>
      <c r="NO6" s="100"/>
      <c r="NP6" s="100"/>
      <c r="NQ6" s="100"/>
      <c r="NR6" s="100"/>
      <c r="NS6" s="100"/>
      <c r="NT6" s="100"/>
      <c r="NU6" s="100"/>
      <c r="NV6" s="100"/>
      <c r="NW6" s="100"/>
      <c r="NX6" s="100"/>
      <c r="NY6" s="100"/>
      <c r="NZ6" s="100"/>
      <c r="OA6" s="100"/>
      <c r="OB6" s="100"/>
      <c r="OC6" s="100"/>
      <c r="OD6" s="100"/>
      <c r="OE6" s="100"/>
      <c r="OF6" s="100"/>
      <c r="OG6" s="100"/>
      <c r="OH6" s="100"/>
      <c r="OI6" s="100"/>
      <c r="OJ6" s="100"/>
      <c r="OK6" s="100"/>
      <c r="OL6" s="100"/>
      <c r="OM6" s="100"/>
      <c r="ON6" s="100"/>
      <c r="OO6" s="100"/>
      <c r="OP6" s="100"/>
      <c r="OQ6" s="100"/>
      <c r="OR6" s="100"/>
      <c r="OS6" s="100"/>
      <c r="OT6" s="100"/>
      <c r="OU6" s="100"/>
      <c r="OV6" s="100"/>
      <c r="OW6" s="100"/>
      <c r="OX6" s="100"/>
      <c r="OY6" s="100"/>
      <c r="OZ6" s="100"/>
      <c r="PA6" s="100"/>
      <c r="PB6" s="100"/>
      <c r="PC6" s="100"/>
      <c r="PD6" s="100"/>
      <c r="PE6" s="100"/>
      <c r="PF6" s="100"/>
      <c r="PG6" s="100"/>
      <c r="PH6" s="100"/>
      <c r="PI6" s="100"/>
      <c r="PJ6" s="100"/>
      <c r="PK6" s="100"/>
      <c r="PL6" s="100"/>
      <c r="PM6" s="100"/>
      <c r="PN6" s="100"/>
      <c r="PO6" s="100"/>
      <c r="PP6" s="100"/>
      <c r="PQ6" s="100"/>
      <c r="PR6" s="100"/>
      <c r="PS6" s="100"/>
      <c r="PT6" s="100"/>
      <c r="PU6" s="100"/>
      <c r="PV6" s="100"/>
      <c r="PW6" s="100"/>
      <c r="PX6" s="100"/>
      <c r="PY6" s="100"/>
      <c r="PZ6" s="100"/>
      <c r="QA6" s="100"/>
      <c r="QB6" s="100"/>
      <c r="QC6" s="100"/>
      <c r="QD6" s="100"/>
      <c r="QE6" s="100"/>
      <c r="QF6" s="100"/>
      <c r="QG6" s="100"/>
      <c r="QH6" s="100"/>
      <c r="QI6" s="100"/>
      <c r="QJ6" s="100"/>
      <c r="QK6" s="100"/>
      <c r="QL6" s="100"/>
      <c r="QM6" s="100"/>
      <c r="QN6" s="100"/>
      <c r="QO6" s="100"/>
      <c r="QP6" s="100"/>
      <c r="QQ6" s="100"/>
      <c r="QR6" s="100"/>
      <c r="QS6" s="100"/>
      <c r="QT6" s="100"/>
      <c r="QU6" s="100"/>
      <c r="QV6" s="100"/>
      <c r="QW6" s="100"/>
      <c r="QX6" s="100"/>
      <c r="QY6" s="23">
        <f t="shared" si="0"/>
        <v>75</v>
      </c>
      <c r="QZ6" s="47" t="s">
        <v>36</v>
      </c>
      <c r="RA6" s="97">
        <v>5082.4799999999996</v>
      </c>
      <c r="RB6" s="63">
        <f>RE6+RF6</f>
        <v>5082.4799999999996</v>
      </c>
      <c r="RC6" s="63">
        <v>3361.22</v>
      </c>
      <c r="RD6" s="97">
        <f t="shared" si="1"/>
        <v>0</v>
      </c>
      <c r="RE6" s="107"/>
      <c r="RF6" s="107">
        <v>5082.4799999999996</v>
      </c>
      <c r="RG6" s="83">
        <f t="shared" si="2"/>
        <v>1.5120938230761449</v>
      </c>
      <c r="RH6" s="116" t="s">
        <v>527</v>
      </c>
    </row>
    <row r="7" spans="1:476" s="5" customFormat="1" ht="12.75" customHeight="1" x14ac:dyDescent="0.25">
      <c r="A7" s="48">
        <v>44937</v>
      </c>
      <c r="B7" s="81" t="s">
        <v>282</v>
      </c>
      <c r="C7" s="98"/>
      <c r="D7" s="98"/>
      <c r="E7" s="99"/>
      <c r="F7" s="99"/>
      <c r="G7" s="99"/>
      <c r="H7" s="99"/>
      <c r="I7" s="99"/>
      <c r="J7" s="99"/>
      <c r="K7" s="99"/>
      <c r="L7" s="99"/>
      <c r="M7" s="99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>
        <v>11</v>
      </c>
      <c r="IT7" s="100"/>
      <c r="IU7" s="100"/>
      <c r="IV7" s="100"/>
      <c r="IW7" s="100"/>
      <c r="IX7" s="100"/>
      <c r="IY7" s="100"/>
      <c r="IZ7" s="100"/>
      <c r="JA7" s="100"/>
      <c r="JB7" s="100"/>
      <c r="JC7" s="100"/>
      <c r="JD7" s="100"/>
      <c r="JE7" s="100"/>
      <c r="JF7" s="100"/>
      <c r="JG7" s="100"/>
      <c r="JH7" s="100"/>
      <c r="JI7" s="100"/>
      <c r="JJ7" s="100"/>
      <c r="JK7" s="100"/>
      <c r="JL7" s="100"/>
      <c r="JM7" s="100"/>
      <c r="JN7" s="100"/>
      <c r="JO7" s="100"/>
      <c r="JP7" s="100"/>
      <c r="JQ7" s="100"/>
      <c r="JR7" s="100"/>
      <c r="JS7" s="100"/>
      <c r="JT7" s="100"/>
      <c r="JU7" s="100"/>
      <c r="JV7" s="100"/>
      <c r="JW7" s="100"/>
      <c r="JX7" s="100"/>
      <c r="JY7" s="100"/>
      <c r="JZ7" s="100"/>
      <c r="KA7" s="100"/>
      <c r="KB7" s="100"/>
      <c r="KC7" s="100"/>
      <c r="KD7" s="100"/>
      <c r="KE7" s="100"/>
      <c r="KF7" s="100"/>
      <c r="KG7" s="100"/>
      <c r="KH7" s="100"/>
      <c r="KI7" s="100"/>
      <c r="KJ7" s="100"/>
      <c r="KK7" s="100"/>
      <c r="KL7" s="100"/>
      <c r="KM7" s="100"/>
      <c r="KN7" s="100"/>
      <c r="KO7" s="100"/>
      <c r="KP7" s="100"/>
      <c r="KQ7" s="100"/>
      <c r="KR7" s="100"/>
      <c r="KS7" s="100"/>
      <c r="KT7" s="100"/>
      <c r="KU7" s="100"/>
      <c r="KV7" s="100"/>
      <c r="KW7" s="100"/>
      <c r="KX7" s="100"/>
      <c r="KY7" s="100"/>
      <c r="KZ7" s="100"/>
      <c r="LA7" s="100"/>
      <c r="LB7" s="100"/>
      <c r="LC7" s="100"/>
      <c r="LD7" s="100"/>
      <c r="LE7" s="100"/>
      <c r="LF7" s="100"/>
      <c r="LG7" s="100"/>
      <c r="LH7" s="100"/>
      <c r="LI7" s="100"/>
      <c r="LJ7" s="100"/>
      <c r="LK7" s="100"/>
      <c r="LL7" s="100"/>
      <c r="LM7" s="100"/>
      <c r="LN7" s="100"/>
      <c r="LO7" s="100"/>
      <c r="LP7" s="100"/>
      <c r="LQ7" s="100"/>
      <c r="LR7" s="100"/>
      <c r="LS7" s="100"/>
      <c r="LT7" s="100"/>
      <c r="LU7" s="100"/>
      <c r="LV7" s="100"/>
      <c r="LW7" s="100"/>
      <c r="LX7" s="100"/>
      <c r="LY7" s="100"/>
      <c r="LZ7" s="100"/>
      <c r="MA7" s="100"/>
      <c r="MB7" s="100"/>
      <c r="MC7" s="100"/>
      <c r="MD7" s="100"/>
      <c r="ME7" s="100"/>
      <c r="MF7" s="100"/>
      <c r="MG7" s="100"/>
      <c r="MH7" s="100"/>
      <c r="MI7" s="100"/>
      <c r="MJ7" s="100"/>
      <c r="MK7" s="100"/>
      <c r="ML7" s="100"/>
      <c r="MM7" s="100"/>
      <c r="MN7" s="100"/>
      <c r="MO7" s="100"/>
      <c r="MP7" s="100"/>
      <c r="MQ7" s="100"/>
      <c r="MR7" s="100"/>
      <c r="MS7" s="100"/>
      <c r="MT7" s="100"/>
      <c r="MU7" s="100"/>
      <c r="MV7" s="100"/>
      <c r="MW7" s="100"/>
      <c r="MX7" s="100"/>
      <c r="MY7" s="100"/>
      <c r="MZ7" s="100"/>
      <c r="NA7" s="100"/>
      <c r="NB7" s="100"/>
      <c r="NC7" s="100"/>
      <c r="ND7" s="100"/>
      <c r="NE7" s="100"/>
      <c r="NF7" s="100"/>
      <c r="NG7" s="100"/>
      <c r="NH7" s="100"/>
      <c r="NI7" s="100"/>
      <c r="NJ7" s="100"/>
      <c r="NK7" s="100"/>
      <c r="NL7" s="100"/>
      <c r="NM7" s="100"/>
      <c r="NN7" s="100"/>
      <c r="NO7" s="100"/>
      <c r="NP7" s="100"/>
      <c r="NQ7" s="100"/>
      <c r="NR7" s="100"/>
      <c r="NS7" s="100"/>
      <c r="NT7" s="100"/>
      <c r="NU7" s="100"/>
      <c r="NV7" s="100"/>
      <c r="NW7" s="100"/>
      <c r="NX7" s="100"/>
      <c r="NY7" s="100"/>
      <c r="NZ7" s="100"/>
      <c r="OA7" s="100"/>
      <c r="OB7" s="100"/>
      <c r="OC7" s="100"/>
      <c r="OD7" s="100"/>
      <c r="OE7" s="100"/>
      <c r="OF7" s="100"/>
      <c r="OG7" s="100"/>
      <c r="OH7" s="100"/>
      <c r="OI7" s="100"/>
      <c r="OJ7" s="100"/>
      <c r="OK7" s="100"/>
      <c r="OL7" s="100"/>
      <c r="OM7" s="100"/>
      <c r="ON7" s="100"/>
      <c r="OO7" s="100"/>
      <c r="OP7" s="100"/>
      <c r="OQ7" s="100"/>
      <c r="OR7" s="100"/>
      <c r="OS7" s="100"/>
      <c r="OT7" s="100"/>
      <c r="OU7" s="100"/>
      <c r="OV7" s="100"/>
      <c r="OW7" s="100"/>
      <c r="OX7" s="100"/>
      <c r="OY7" s="100"/>
      <c r="OZ7" s="100"/>
      <c r="PA7" s="100"/>
      <c r="PB7" s="100"/>
      <c r="PC7" s="100"/>
      <c r="PD7" s="100"/>
      <c r="PE7" s="100"/>
      <c r="PF7" s="100"/>
      <c r="PG7" s="100"/>
      <c r="PH7" s="100"/>
      <c r="PI7" s="100"/>
      <c r="PJ7" s="100"/>
      <c r="PK7" s="100"/>
      <c r="PL7" s="100"/>
      <c r="PM7" s="100"/>
      <c r="PN7" s="100"/>
      <c r="PO7" s="100"/>
      <c r="PP7" s="100"/>
      <c r="PQ7" s="100"/>
      <c r="PR7" s="100"/>
      <c r="PS7" s="100"/>
      <c r="PT7" s="100"/>
      <c r="PU7" s="100"/>
      <c r="PV7" s="100"/>
      <c r="PW7" s="100"/>
      <c r="PX7" s="100"/>
      <c r="PY7" s="100"/>
      <c r="PZ7" s="100"/>
      <c r="QA7" s="100"/>
      <c r="QB7" s="100"/>
      <c r="QC7" s="100"/>
      <c r="QD7" s="100"/>
      <c r="QE7" s="100"/>
      <c r="QF7" s="100"/>
      <c r="QG7" s="100"/>
      <c r="QH7" s="100"/>
      <c r="QI7" s="100"/>
      <c r="QJ7" s="100"/>
      <c r="QK7" s="100"/>
      <c r="QL7" s="100"/>
      <c r="QM7" s="100"/>
      <c r="QN7" s="100"/>
      <c r="QO7" s="100"/>
      <c r="QP7" s="100"/>
      <c r="QQ7" s="100"/>
      <c r="QR7" s="100"/>
      <c r="QS7" s="100"/>
      <c r="QT7" s="100"/>
      <c r="QU7" s="100"/>
      <c r="QV7" s="100"/>
      <c r="QW7" s="100"/>
      <c r="QX7" s="100"/>
      <c r="QY7" s="23">
        <f t="shared" si="0"/>
        <v>11</v>
      </c>
      <c r="QZ7" s="47" t="s">
        <v>36</v>
      </c>
      <c r="RA7" s="97">
        <v>488.4</v>
      </c>
      <c r="RB7" s="63">
        <f>RE7+RF7</f>
        <v>0</v>
      </c>
      <c r="RC7" s="63">
        <v>316.90999999999997</v>
      </c>
      <c r="RD7" s="97">
        <f t="shared" si="1"/>
        <v>488.4</v>
      </c>
      <c r="RE7" s="107"/>
      <c r="RF7" s="107"/>
      <c r="RG7" s="83">
        <f t="shared" si="2"/>
        <v>1.5411315515446027</v>
      </c>
      <c r="RH7" s="116"/>
    </row>
    <row r="8" spans="1:476" s="5" customFormat="1" ht="12.75" customHeight="1" x14ac:dyDescent="0.25">
      <c r="A8" s="48">
        <v>44937</v>
      </c>
      <c r="B8" s="81" t="s">
        <v>359</v>
      </c>
      <c r="C8" s="98"/>
      <c r="D8" s="98"/>
      <c r="E8" s="99"/>
      <c r="F8" s="99"/>
      <c r="G8" s="99"/>
      <c r="H8" s="99"/>
      <c r="I8" s="99"/>
      <c r="J8" s="99"/>
      <c r="K8" s="99"/>
      <c r="L8" s="99"/>
      <c r="M8" s="99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>
        <v>100</v>
      </c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  <c r="IX8" s="100"/>
      <c r="IY8" s="100"/>
      <c r="IZ8" s="100"/>
      <c r="JA8" s="100">
        <v>45</v>
      </c>
      <c r="JB8" s="100"/>
      <c r="JC8" s="100"/>
      <c r="JD8" s="100"/>
      <c r="JE8" s="100"/>
      <c r="JF8" s="100"/>
      <c r="JG8" s="100"/>
      <c r="JH8" s="100"/>
      <c r="JI8" s="100"/>
      <c r="JJ8" s="100"/>
      <c r="JK8" s="100"/>
      <c r="JL8" s="100"/>
      <c r="JM8" s="100"/>
      <c r="JN8" s="100"/>
      <c r="JO8" s="100"/>
      <c r="JP8" s="100"/>
      <c r="JQ8" s="100"/>
      <c r="JR8" s="100"/>
      <c r="JS8" s="100"/>
      <c r="JT8" s="100"/>
      <c r="JU8" s="100"/>
      <c r="JV8" s="100"/>
      <c r="JW8" s="100"/>
      <c r="JX8" s="100"/>
      <c r="JY8" s="100"/>
      <c r="JZ8" s="100"/>
      <c r="KA8" s="100"/>
      <c r="KB8" s="100"/>
      <c r="KC8" s="100"/>
      <c r="KD8" s="100"/>
      <c r="KE8" s="100"/>
      <c r="KF8" s="100"/>
      <c r="KG8" s="100"/>
      <c r="KH8" s="100"/>
      <c r="KI8" s="100"/>
      <c r="KJ8" s="100"/>
      <c r="KK8" s="100"/>
      <c r="KL8" s="100"/>
      <c r="KM8" s="100"/>
      <c r="KN8" s="100"/>
      <c r="KO8" s="100"/>
      <c r="KP8" s="100"/>
      <c r="KQ8" s="100"/>
      <c r="KR8" s="100"/>
      <c r="KS8" s="100"/>
      <c r="KT8" s="100"/>
      <c r="KU8" s="100"/>
      <c r="KV8" s="100"/>
      <c r="KW8" s="100"/>
      <c r="KX8" s="100"/>
      <c r="KY8" s="100"/>
      <c r="KZ8" s="100"/>
      <c r="LA8" s="100"/>
      <c r="LB8" s="100"/>
      <c r="LC8" s="100"/>
      <c r="LD8" s="100"/>
      <c r="LE8" s="100"/>
      <c r="LF8" s="100"/>
      <c r="LG8" s="100"/>
      <c r="LH8" s="100"/>
      <c r="LI8" s="100"/>
      <c r="LJ8" s="100"/>
      <c r="LK8" s="100"/>
      <c r="LL8" s="100"/>
      <c r="LM8" s="100"/>
      <c r="LN8" s="100"/>
      <c r="LO8" s="100"/>
      <c r="LP8" s="100"/>
      <c r="LQ8" s="100"/>
      <c r="LR8" s="100"/>
      <c r="LS8" s="100"/>
      <c r="LT8" s="100"/>
      <c r="LU8" s="100"/>
      <c r="LV8" s="100"/>
      <c r="LW8" s="100"/>
      <c r="LX8" s="100"/>
      <c r="LY8" s="100"/>
      <c r="LZ8" s="100"/>
      <c r="MA8" s="100"/>
      <c r="MB8" s="100"/>
      <c r="MC8" s="100"/>
      <c r="MD8" s="100"/>
      <c r="ME8" s="100"/>
      <c r="MF8" s="100"/>
      <c r="MG8" s="100"/>
      <c r="MH8" s="100"/>
      <c r="MI8" s="100"/>
      <c r="MJ8" s="100"/>
      <c r="MK8" s="100"/>
      <c r="ML8" s="100"/>
      <c r="MM8" s="100"/>
      <c r="MN8" s="100"/>
      <c r="MO8" s="100"/>
      <c r="MP8" s="100"/>
      <c r="MQ8" s="100"/>
      <c r="MR8" s="100"/>
      <c r="MS8" s="100"/>
      <c r="MT8" s="100"/>
      <c r="MU8" s="100"/>
      <c r="MV8" s="100"/>
      <c r="MW8" s="100"/>
      <c r="MX8" s="100"/>
      <c r="MY8" s="100"/>
      <c r="MZ8" s="100"/>
      <c r="NA8" s="100"/>
      <c r="NB8" s="100"/>
      <c r="NC8" s="100"/>
      <c r="ND8" s="100"/>
      <c r="NE8" s="100"/>
      <c r="NF8" s="100"/>
      <c r="NG8" s="100"/>
      <c r="NH8" s="100"/>
      <c r="NI8" s="100"/>
      <c r="NJ8" s="100"/>
      <c r="NK8" s="100"/>
      <c r="NL8" s="100"/>
      <c r="NM8" s="100"/>
      <c r="NN8" s="100"/>
      <c r="NO8" s="100"/>
      <c r="NP8" s="100"/>
      <c r="NQ8" s="100"/>
      <c r="NR8" s="100"/>
      <c r="NS8" s="100"/>
      <c r="NT8" s="100"/>
      <c r="NU8" s="100"/>
      <c r="NV8" s="100"/>
      <c r="NW8" s="100"/>
      <c r="NX8" s="100"/>
      <c r="NY8" s="100"/>
      <c r="NZ8" s="100"/>
      <c r="OA8" s="100"/>
      <c r="OB8" s="100"/>
      <c r="OC8" s="100"/>
      <c r="OD8" s="100"/>
      <c r="OE8" s="100"/>
      <c r="OF8" s="100"/>
      <c r="OG8" s="100"/>
      <c r="OH8" s="100"/>
      <c r="OI8" s="100"/>
      <c r="OJ8" s="100"/>
      <c r="OK8" s="100"/>
      <c r="OL8" s="100"/>
      <c r="OM8" s="100"/>
      <c r="ON8" s="100"/>
      <c r="OO8" s="100"/>
      <c r="OP8" s="100"/>
      <c r="OQ8" s="100"/>
      <c r="OR8" s="100"/>
      <c r="OS8" s="100"/>
      <c r="OT8" s="100"/>
      <c r="OU8" s="100"/>
      <c r="OV8" s="100"/>
      <c r="OW8" s="100"/>
      <c r="OX8" s="100"/>
      <c r="OY8" s="100"/>
      <c r="OZ8" s="100"/>
      <c r="PA8" s="100"/>
      <c r="PB8" s="100"/>
      <c r="PC8" s="100"/>
      <c r="PD8" s="100"/>
      <c r="PE8" s="100"/>
      <c r="PF8" s="100"/>
      <c r="PG8" s="100"/>
      <c r="PH8" s="100"/>
      <c r="PI8" s="100"/>
      <c r="PJ8" s="100"/>
      <c r="PK8" s="100"/>
      <c r="PL8" s="100"/>
      <c r="PM8" s="100"/>
      <c r="PN8" s="100"/>
      <c r="PO8" s="100"/>
      <c r="PP8" s="100"/>
      <c r="PQ8" s="100"/>
      <c r="PR8" s="100"/>
      <c r="PS8" s="100"/>
      <c r="PT8" s="100"/>
      <c r="PU8" s="100"/>
      <c r="PV8" s="100"/>
      <c r="PW8" s="100"/>
      <c r="PX8" s="100"/>
      <c r="PY8" s="100"/>
      <c r="PZ8" s="100"/>
      <c r="QA8" s="100"/>
      <c r="QB8" s="100"/>
      <c r="QC8" s="100"/>
      <c r="QD8" s="100"/>
      <c r="QE8" s="100"/>
      <c r="QF8" s="100"/>
      <c r="QG8" s="100"/>
      <c r="QH8" s="100"/>
      <c r="QI8" s="100"/>
      <c r="QJ8" s="100"/>
      <c r="QK8" s="100"/>
      <c r="QL8" s="100"/>
      <c r="QM8" s="100"/>
      <c r="QN8" s="100"/>
      <c r="QO8" s="100"/>
      <c r="QP8" s="100"/>
      <c r="QQ8" s="100"/>
      <c r="QR8" s="100"/>
      <c r="QS8" s="100"/>
      <c r="QT8" s="100"/>
      <c r="QU8" s="100"/>
      <c r="QV8" s="100"/>
      <c r="QW8" s="100"/>
      <c r="QX8" s="100"/>
      <c r="QY8" s="23">
        <f t="shared" si="0"/>
        <v>145</v>
      </c>
      <c r="QZ8" s="47" t="s">
        <v>36</v>
      </c>
      <c r="RA8" s="97">
        <v>8073</v>
      </c>
      <c r="RB8" s="63">
        <f>RE8</f>
        <v>8073</v>
      </c>
      <c r="RC8" s="63">
        <v>4919.75</v>
      </c>
      <c r="RD8" s="97">
        <f t="shared" si="1"/>
        <v>0</v>
      </c>
      <c r="RE8" s="107">
        <v>8073</v>
      </c>
      <c r="RF8" s="107"/>
      <c r="RG8" s="83">
        <f t="shared" si="2"/>
        <v>1.6409370394837135</v>
      </c>
      <c r="RH8" s="116" t="s">
        <v>528</v>
      </c>
    </row>
    <row r="9" spans="1:476" s="5" customFormat="1" ht="12.75" customHeight="1" x14ac:dyDescent="0.25">
      <c r="A9" s="48">
        <v>44937</v>
      </c>
      <c r="B9" s="90" t="s">
        <v>75</v>
      </c>
      <c r="C9" s="98"/>
      <c r="D9" s="98"/>
      <c r="E9" s="99"/>
      <c r="F9" s="99"/>
      <c r="G9" s="99"/>
      <c r="H9" s="99"/>
      <c r="I9" s="99"/>
      <c r="J9" s="99"/>
      <c r="K9" s="99"/>
      <c r="L9" s="99"/>
      <c r="M9" s="99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  <c r="IX9" s="100"/>
      <c r="IY9" s="100"/>
      <c r="IZ9" s="100"/>
      <c r="JA9" s="100"/>
      <c r="JB9" s="100"/>
      <c r="JC9" s="100"/>
      <c r="JD9" s="100"/>
      <c r="JE9" s="100"/>
      <c r="JF9" s="100"/>
      <c r="JG9" s="100"/>
      <c r="JH9" s="100"/>
      <c r="JI9" s="100"/>
      <c r="JJ9" s="100"/>
      <c r="JK9" s="100"/>
      <c r="JL9" s="100"/>
      <c r="JM9" s="100"/>
      <c r="JN9" s="100"/>
      <c r="JO9" s="100"/>
      <c r="JP9" s="100"/>
      <c r="JQ9" s="100"/>
      <c r="JR9" s="100"/>
      <c r="JS9" s="100"/>
      <c r="JT9" s="100"/>
      <c r="JU9" s="100"/>
      <c r="JV9" s="100"/>
      <c r="JW9" s="100"/>
      <c r="JX9" s="100"/>
      <c r="JY9" s="100"/>
      <c r="JZ9" s="100"/>
      <c r="KA9" s="100"/>
      <c r="KB9" s="100"/>
      <c r="KC9" s="100"/>
      <c r="KD9" s="100"/>
      <c r="KE9" s="100"/>
      <c r="KF9" s="100"/>
      <c r="KG9" s="100"/>
      <c r="KH9" s="100"/>
      <c r="KI9" s="100"/>
      <c r="KJ9" s="100"/>
      <c r="KK9" s="100"/>
      <c r="KL9" s="100"/>
      <c r="KM9" s="100"/>
      <c r="KN9" s="100"/>
      <c r="KO9" s="100"/>
      <c r="KP9" s="100"/>
      <c r="KQ9" s="100"/>
      <c r="KR9" s="100"/>
      <c r="KS9" s="100"/>
      <c r="KT9" s="100"/>
      <c r="KU9" s="100"/>
      <c r="KV9" s="100"/>
      <c r="KW9" s="100"/>
      <c r="KX9" s="100"/>
      <c r="KY9" s="100"/>
      <c r="KZ9" s="100"/>
      <c r="LA9" s="100"/>
      <c r="LB9" s="100"/>
      <c r="LC9" s="100"/>
      <c r="LD9" s="100"/>
      <c r="LE9" s="100"/>
      <c r="LF9" s="100"/>
      <c r="LG9" s="100"/>
      <c r="LH9" s="100"/>
      <c r="LI9" s="100"/>
      <c r="LJ9" s="100"/>
      <c r="LK9" s="100"/>
      <c r="LL9" s="100"/>
      <c r="LM9" s="100">
        <v>10</v>
      </c>
      <c r="LN9" s="100"/>
      <c r="LO9" s="100"/>
      <c r="LP9" s="100"/>
      <c r="LQ9" s="100"/>
      <c r="LR9" s="100"/>
      <c r="LS9" s="100"/>
      <c r="LT9" s="100"/>
      <c r="LU9" s="100"/>
      <c r="LV9" s="100"/>
      <c r="LW9" s="100"/>
      <c r="LX9" s="100"/>
      <c r="LY9" s="100"/>
      <c r="LZ9" s="100"/>
      <c r="MA9" s="100"/>
      <c r="MB9" s="100"/>
      <c r="MC9" s="100"/>
      <c r="MD9" s="100"/>
      <c r="ME9" s="100"/>
      <c r="MF9" s="100"/>
      <c r="MG9" s="100"/>
      <c r="MH9" s="100"/>
      <c r="MI9" s="100"/>
      <c r="MJ9" s="100"/>
      <c r="MK9" s="100"/>
      <c r="ML9" s="100"/>
      <c r="MM9" s="100"/>
      <c r="MN9" s="100"/>
      <c r="MO9" s="100"/>
      <c r="MP9" s="100"/>
      <c r="MQ9" s="100"/>
      <c r="MR9" s="100"/>
      <c r="MS9" s="100"/>
      <c r="MT9" s="100"/>
      <c r="MU9" s="100"/>
      <c r="MV9" s="100"/>
      <c r="MW9" s="100"/>
      <c r="MX9" s="100"/>
      <c r="MY9" s="100"/>
      <c r="MZ9" s="100"/>
      <c r="NA9" s="100"/>
      <c r="NB9" s="100"/>
      <c r="NC9" s="100"/>
      <c r="ND9" s="100"/>
      <c r="NE9" s="100"/>
      <c r="NF9" s="100"/>
      <c r="NG9" s="100"/>
      <c r="NH9" s="100"/>
      <c r="NI9" s="100"/>
      <c r="NJ9" s="100"/>
      <c r="NK9" s="100"/>
      <c r="NL9" s="100"/>
      <c r="NM9" s="100"/>
      <c r="NN9" s="100"/>
      <c r="NO9" s="100"/>
      <c r="NP9" s="100"/>
      <c r="NQ9" s="100"/>
      <c r="NR9" s="100"/>
      <c r="NS9" s="100"/>
      <c r="NT9" s="100"/>
      <c r="NU9" s="100"/>
      <c r="NV9" s="100"/>
      <c r="NW9" s="100"/>
      <c r="NX9" s="100"/>
      <c r="NY9" s="100"/>
      <c r="NZ9" s="100"/>
      <c r="OA9" s="100"/>
      <c r="OB9" s="100"/>
      <c r="OC9" s="100"/>
      <c r="OD9" s="100"/>
      <c r="OE9" s="100"/>
      <c r="OF9" s="100"/>
      <c r="OG9" s="100"/>
      <c r="OH9" s="100"/>
      <c r="OI9" s="100"/>
      <c r="OJ9" s="100"/>
      <c r="OK9" s="100"/>
      <c r="OL9" s="100"/>
      <c r="OM9" s="100"/>
      <c r="ON9" s="100"/>
      <c r="OO9" s="100"/>
      <c r="OP9" s="100"/>
      <c r="OQ9" s="100"/>
      <c r="OR9" s="100"/>
      <c r="OS9" s="100"/>
      <c r="OT9" s="100"/>
      <c r="OU9" s="100"/>
      <c r="OV9" s="100"/>
      <c r="OW9" s="100"/>
      <c r="OX9" s="100"/>
      <c r="OY9" s="100"/>
      <c r="OZ9" s="100"/>
      <c r="PA9" s="100"/>
      <c r="PB9" s="100"/>
      <c r="PC9" s="100"/>
      <c r="PD9" s="100"/>
      <c r="PE9" s="100"/>
      <c r="PF9" s="100"/>
      <c r="PG9" s="100"/>
      <c r="PH9" s="100"/>
      <c r="PI9" s="100"/>
      <c r="PJ9" s="100"/>
      <c r="PK9" s="100"/>
      <c r="PL9" s="100"/>
      <c r="PM9" s="100"/>
      <c r="PN9" s="100"/>
      <c r="PO9" s="100"/>
      <c r="PP9" s="100"/>
      <c r="PQ9" s="100"/>
      <c r="PR9" s="100"/>
      <c r="PS9" s="100"/>
      <c r="PT9" s="100"/>
      <c r="PU9" s="100"/>
      <c r="PV9" s="100"/>
      <c r="PW9" s="100"/>
      <c r="PX9" s="100"/>
      <c r="PY9" s="100"/>
      <c r="PZ9" s="100"/>
      <c r="QA9" s="100"/>
      <c r="QB9" s="100"/>
      <c r="QC9" s="100"/>
      <c r="QD9" s="100"/>
      <c r="QE9" s="100"/>
      <c r="QF9" s="100"/>
      <c r="QG9" s="100"/>
      <c r="QH9" s="100"/>
      <c r="QI9" s="100"/>
      <c r="QJ9" s="100"/>
      <c r="QK9" s="100"/>
      <c r="QL9" s="100"/>
      <c r="QM9" s="100"/>
      <c r="QN9" s="100"/>
      <c r="QO9" s="100"/>
      <c r="QP9" s="100"/>
      <c r="QQ9" s="100"/>
      <c r="QR9" s="100"/>
      <c r="QS9" s="100"/>
      <c r="QT9" s="100"/>
      <c r="QU9" s="100"/>
      <c r="QV9" s="100"/>
      <c r="QW9" s="100"/>
      <c r="QX9" s="100"/>
      <c r="QY9" s="23">
        <f t="shared" si="0"/>
        <v>10</v>
      </c>
      <c r="QZ9" s="47" t="s">
        <v>36</v>
      </c>
      <c r="RA9" s="97">
        <v>1280.04</v>
      </c>
      <c r="RB9" s="63">
        <f>RE9+RF9</f>
        <v>0</v>
      </c>
      <c r="RC9" s="63">
        <v>775.5</v>
      </c>
      <c r="RD9" s="97">
        <f t="shared" si="1"/>
        <v>1280.04</v>
      </c>
      <c r="RE9" s="107"/>
      <c r="RF9" s="107"/>
      <c r="RG9" s="83">
        <f t="shared" si="2"/>
        <v>1.6505996131528047</v>
      </c>
      <c r="RH9" s="116" t="s">
        <v>529</v>
      </c>
    </row>
    <row r="10" spans="1:476" s="5" customFormat="1" ht="12.75" customHeight="1" x14ac:dyDescent="0.25">
      <c r="A10" s="48">
        <v>44937</v>
      </c>
      <c r="B10" s="90" t="s">
        <v>55</v>
      </c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>
        <v>50</v>
      </c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  <c r="IX10" s="100"/>
      <c r="IY10" s="100"/>
      <c r="IZ10" s="100"/>
      <c r="JA10" s="100"/>
      <c r="JB10" s="100"/>
      <c r="JC10" s="100"/>
      <c r="JD10" s="100"/>
      <c r="JE10" s="100"/>
      <c r="JF10" s="100"/>
      <c r="JG10" s="100"/>
      <c r="JH10" s="100"/>
      <c r="JI10" s="100"/>
      <c r="JJ10" s="100"/>
      <c r="JK10" s="100"/>
      <c r="JL10" s="100"/>
      <c r="JM10" s="100"/>
      <c r="JN10" s="100"/>
      <c r="JO10" s="100"/>
      <c r="JP10" s="100"/>
      <c r="JQ10" s="100"/>
      <c r="JR10" s="100"/>
      <c r="JS10" s="100"/>
      <c r="JT10" s="100"/>
      <c r="JU10" s="100"/>
      <c r="JV10" s="100"/>
      <c r="JW10" s="100"/>
      <c r="JX10" s="100"/>
      <c r="JY10" s="100"/>
      <c r="JZ10" s="100"/>
      <c r="KA10" s="100"/>
      <c r="KB10" s="100"/>
      <c r="KC10" s="100"/>
      <c r="KD10" s="100"/>
      <c r="KE10" s="100"/>
      <c r="KF10" s="100"/>
      <c r="KG10" s="100"/>
      <c r="KH10" s="100"/>
      <c r="KI10" s="100"/>
      <c r="KJ10" s="100"/>
      <c r="KK10" s="100"/>
      <c r="KL10" s="100"/>
      <c r="KM10" s="100"/>
      <c r="KN10" s="100"/>
      <c r="KO10" s="100"/>
      <c r="KP10" s="100"/>
      <c r="KQ10" s="100"/>
      <c r="KR10" s="100"/>
      <c r="KS10" s="100"/>
      <c r="KT10" s="100"/>
      <c r="KU10" s="100"/>
      <c r="KV10" s="100"/>
      <c r="KW10" s="100"/>
      <c r="KX10" s="100"/>
      <c r="KY10" s="100"/>
      <c r="KZ10" s="100"/>
      <c r="LA10" s="100"/>
      <c r="LB10" s="100"/>
      <c r="LC10" s="100"/>
      <c r="LD10" s="100"/>
      <c r="LE10" s="100"/>
      <c r="LF10" s="100"/>
      <c r="LG10" s="100"/>
      <c r="LH10" s="100"/>
      <c r="LI10" s="100"/>
      <c r="LJ10" s="100"/>
      <c r="LK10" s="100"/>
      <c r="LL10" s="100"/>
      <c r="LM10" s="100"/>
      <c r="LN10" s="100"/>
      <c r="LO10" s="100"/>
      <c r="LP10" s="100"/>
      <c r="LQ10" s="100"/>
      <c r="LR10" s="100"/>
      <c r="LS10" s="100"/>
      <c r="LT10" s="100"/>
      <c r="LU10" s="100"/>
      <c r="LV10" s="100"/>
      <c r="LW10" s="100"/>
      <c r="LX10" s="100"/>
      <c r="LY10" s="100"/>
      <c r="LZ10" s="100"/>
      <c r="MA10" s="100"/>
      <c r="MB10" s="100"/>
      <c r="MC10" s="100"/>
      <c r="MD10" s="100"/>
      <c r="ME10" s="100"/>
      <c r="MF10" s="100"/>
      <c r="MG10" s="100"/>
      <c r="MH10" s="100"/>
      <c r="MI10" s="100"/>
      <c r="MJ10" s="100"/>
      <c r="MK10" s="100"/>
      <c r="ML10" s="100"/>
      <c r="MM10" s="100"/>
      <c r="MN10" s="100"/>
      <c r="MO10" s="100"/>
      <c r="MP10" s="100"/>
      <c r="MQ10" s="100"/>
      <c r="MR10" s="100"/>
      <c r="MS10" s="100"/>
      <c r="MT10" s="100"/>
      <c r="MU10" s="100"/>
      <c r="MV10" s="100"/>
      <c r="MW10" s="100"/>
      <c r="MX10" s="100"/>
      <c r="MY10" s="100"/>
      <c r="MZ10" s="100"/>
      <c r="NA10" s="100"/>
      <c r="NB10" s="100"/>
      <c r="NC10" s="100"/>
      <c r="ND10" s="100"/>
      <c r="NE10" s="100"/>
      <c r="NF10" s="100"/>
      <c r="NG10" s="100"/>
      <c r="NH10" s="100"/>
      <c r="NI10" s="100"/>
      <c r="NJ10" s="100"/>
      <c r="NK10" s="100"/>
      <c r="NL10" s="100"/>
      <c r="NM10" s="100"/>
      <c r="NN10" s="100"/>
      <c r="NO10" s="100"/>
      <c r="NP10" s="100"/>
      <c r="NQ10" s="100"/>
      <c r="NR10" s="100"/>
      <c r="NS10" s="100"/>
      <c r="NT10" s="100"/>
      <c r="NU10" s="100"/>
      <c r="NV10" s="100"/>
      <c r="NW10" s="100"/>
      <c r="NX10" s="100"/>
      <c r="NY10" s="100"/>
      <c r="NZ10" s="100"/>
      <c r="OA10" s="100"/>
      <c r="OB10" s="100"/>
      <c r="OC10" s="100"/>
      <c r="OD10" s="100"/>
      <c r="OE10" s="100"/>
      <c r="OF10" s="100"/>
      <c r="OG10" s="100"/>
      <c r="OH10" s="100"/>
      <c r="OI10" s="100"/>
      <c r="OJ10" s="100"/>
      <c r="OK10" s="100"/>
      <c r="OL10" s="100"/>
      <c r="OM10" s="100"/>
      <c r="ON10" s="100"/>
      <c r="OO10" s="100"/>
      <c r="OP10" s="100"/>
      <c r="OQ10" s="100"/>
      <c r="OR10" s="100"/>
      <c r="OS10" s="100"/>
      <c r="OT10" s="100"/>
      <c r="OU10" s="100"/>
      <c r="OV10" s="100"/>
      <c r="OW10" s="100"/>
      <c r="OX10" s="100"/>
      <c r="OY10" s="100"/>
      <c r="OZ10" s="100"/>
      <c r="PA10" s="100"/>
      <c r="PB10" s="100"/>
      <c r="PC10" s="100"/>
      <c r="PD10" s="100"/>
      <c r="PE10" s="100"/>
      <c r="PF10" s="100"/>
      <c r="PG10" s="100"/>
      <c r="PH10" s="100"/>
      <c r="PI10" s="100"/>
      <c r="PJ10" s="100"/>
      <c r="PK10" s="100"/>
      <c r="PL10" s="100"/>
      <c r="PM10" s="100"/>
      <c r="PN10" s="100"/>
      <c r="PO10" s="100"/>
      <c r="PP10" s="100"/>
      <c r="PQ10" s="100"/>
      <c r="PR10" s="100"/>
      <c r="PS10" s="100"/>
      <c r="PT10" s="100"/>
      <c r="PU10" s="100"/>
      <c r="PV10" s="100"/>
      <c r="PW10" s="100"/>
      <c r="PX10" s="100"/>
      <c r="PY10" s="100"/>
      <c r="PZ10" s="100"/>
      <c r="QA10" s="100"/>
      <c r="QB10" s="100"/>
      <c r="QC10" s="100"/>
      <c r="QD10" s="100"/>
      <c r="QE10" s="100"/>
      <c r="QF10" s="100"/>
      <c r="QG10" s="100"/>
      <c r="QH10" s="100"/>
      <c r="QI10" s="100"/>
      <c r="QJ10" s="100"/>
      <c r="QK10" s="100"/>
      <c r="QL10" s="100"/>
      <c r="QM10" s="100"/>
      <c r="QN10" s="100"/>
      <c r="QO10" s="100"/>
      <c r="QP10" s="100"/>
      <c r="QQ10" s="100"/>
      <c r="QR10" s="100"/>
      <c r="QS10" s="100"/>
      <c r="QT10" s="100"/>
      <c r="QU10" s="100"/>
      <c r="QV10" s="100"/>
      <c r="QW10" s="100"/>
      <c r="QX10" s="100"/>
      <c r="QY10" s="23">
        <f t="shared" si="0"/>
        <v>50</v>
      </c>
      <c r="QZ10" s="47" t="s">
        <v>36</v>
      </c>
      <c r="RA10" s="97">
        <v>4431.6000000000004</v>
      </c>
      <c r="RB10" s="63">
        <f>RE10+RF10</f>
        <v>0</v>
      </c>
      <c r="RC10" s="63">
        <v>2179</v>
      </c>
      <c r="RD10" s="97">
        <f t="shared" si="1"/>
        <v>4431.6000000000004</v>
      </c>
      <c r="RE10" s="107"/>
      <c r="RF10" s="107"/>
      <c r="RG10" s="83">
        <f t="shared" si="2"/>
        <v>2.0337769619091328</v>
      </c>
      <c r="RH10" s="116" t="s">
        <v>530</v>
      </c>
    </row>
    <row r="11" spans="1:476" s="5" customFormat="1" ht="12.75" customHeight="1" x14ac:dyDescent="0.25">
      <c r="A11" s="48">
        <v>44938</v>
      </c>
      <c r="B11" s="90" t="s">
        <v>397</v>
      </c>
      <c r="C11" s="98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  <c r="IX11" s="100"/>
      <c r="IY11" s="100"/>
      <c r="IZ11" s="100"/>
      <c r="JA11" s="100"/>
      <c r="JB11" s="100"/>
      <c r="JC11" s="100"/>
      <c r="JD11" s="100"/>
      <c r="JE11" s="100"/>
      <c r="JF11" s="100"/>
      <c r="JG11" s="100"/>
      <c r="JH11" s="100"/>
      <c r="JI11" s="100"/>
      <c r="JJ11" s="100"/>
      <c r="JK11" s="100"/>
      <c r="JL11" s="100"/>
      <c r="JM11" s="100"/>
      <c r="JN11" s="100"/>
      <c r="JO11" s="100"/>
      <c r="JP11" s="100"/>
      <c r="JQ11" s="100"/>
      <c r="JR11" s="100"/>
      <c r="JS11" s="100"/>
      <c r="JT11" s="100"/>
      <c r="JU11" s="100"/>
      <c r="JV11" s="100"/>
      <c r="JW11" s="100"/>
      <c r="JX11" s="100"/>
      <c r="JY11" s="100"/>
      <c r="JZ11" s="100"/>
      <c r="KA11" s="100"/>
      <c r="KB11" s="100"/>
      <c r="KC11" s="100"/>
      <c r="KD11" s="100"/>
      <c r="KE11" s="100"/>
      <c r="KF11" s="100"/>
      <c r="KG11" s="100"/>
      <c r="KH11" s="100"/>
      <c r="KI11" s="100"/>
      <c r="KJ11" s="100"/>
      <c r="KK11" s="100"/>
      <c r="KL11" s="100"/>
      <c r="KM11" s="100"/>
      <c r="KN11" s="100"/>
      <c r="KO11" s="100"/>
      <c r="KP11" s="100"/>
      <c r="KQ11" s="100"/>
      <c r="KR11" s="100"/>
      <c r="KS11" s="100"/>
      <c r="KT11" s="100"/>
      <c r="KU11" s="100"/>
      <c r="KV11" s="100"/>
      <c r="KW11" s="100"/>
      <c r="KX11" s="100"/>
      <c r="KY11" s="100"/>
      <c r="KZ11" s="100"/>
      <c r="LA11" s="100"/>
      <c r="LB11" s="100"/>
      <c r="LC11" s="100"/>
      <c r="LD11" s="100"/>
      <c r="LE11" s="100"/>
      <c r="LF11" s="100"/>
      <c r="LG11" s="100"/>
      <c r="LH11" s="100"/>
      <c r="LI11" s="100"/>
      <c r="LJ11" s="100"/>
      <c r="LK11" s="100"/>
      <c r="LL11" s="100"/>
      <c r="LM11" s="100"/>
      <c r="LN11" s="100"/>
      <c r="LO11" s="100"/>
      <c r="LP11" s="100"/>
      <c r="LQ11" s="100"/>
      <c r="LR11" s="100"/>
      <c r="LS11" s="100"/>
      <c r="LT11" s="100"/>
      <c r="LU11" s="100"/>
      <c r="LV11" s="100"/>
      <c r="LW11" s="100"/>
      <c r="LX11" s="100"/>
      <c r="LY11" s="100"/>
      <c r="LZ11" s="100"/>
      <c r="MA11" s="100"/>
      <c r="MB11" s="100"/>
      <c r="MC11" s="100"/>
      <c r="MD11" s="100"/>
      <c r="ME11" s="100"/>
      <c r="MF11" s="100"/>
      <c r="MG11" s="100"/>
      <c r="MH11" s="100"/>
      <c r="MI11" s="100"/>
      <c r="MJ11" s="100"/>
      <c r="MK11" s="100"/>
      <c r="ML11" s="100"/>
      <c r="MM11" s="100"/>
      <c r="MN11" s="100"/>
      <c r="MO11" s="100"/>
      <c r="MP11" s="100"/>
      <c r="MQ11" s="100"/>
      <c r="MR11" s="100"/>
      <c r="MS11" s="100"/>
      <c r="MT11" s="100"/>
      <c r="MU11" s="100"/>
      <c r="MV11" s="100"/>
      <c r="MW11" s="100"/>
      <c r="MX11" s="100"/>
      <c r="MY11" s="100"/>
      <c r="MZ11" s="100"/>
      <c r="NA11" s="100"/>
      <c r="NB11" s="100"/>
      <c r="NC11" s="100"/>
      <c r="ND11" s="100"/>
      <c r="NE11" s="100"/>
      <c r="NF11" s="100"/>
      <c r="NG11" s="100"/>
      <c r="NH11" s="100"/>
      <c r="NI11" s="100"/>
      <c r="NJ11" s="100"/>
      <c r="NK11" s="100"/>
      <c r="NL11" s="100"/>
      <c r="NM11" s="100"/>
      <c r="NN11" s="100"/>
      <c r="NO11" s="100"/>
      <c r="NP11" s="100"/>
      <c r="NQ11" s="100"/>
      <c r="NR11" s="100"/>
      <c r="NS11" s="100"/>
      <c r="NT11" s="100"/>
      <c r="NU11" s="100"/>
      <c r="NV11" s="100"/>
      <c r="NW11" s="100">
        <v>3</v>
      </c>
      <c r="NX11" s="100"/>
      <c r="NY11" s="100"/>
      <c r="NZ11" s="100"/>
      <c r="OA11" s="100"/>
      <c r="OB11" s="100"/>
      <c r="OC11" s="100"/>
      <c r="OD11" s="100"/>
      <c r="OE11" s="100"/>
      <c r="OF11" s="100"/>
      <c r="OG11" s="100"/>
      <c r="OH11" s="100"/>
      <c r="OI11" s="100"/>
      <c r="OJ11" s="100"/>
      <c r="OK11" s="100"/>
      <c r="OL11" s="100"/>
      <c r="OM11" s="100"/>
      <c r="ON11" s="100"/>
      <c r="OO11" s="100"/>
      <c r="OP11" s="100"/>
      <c r="OQ11" s="100"/>
      <c r="OR11" s="100"/>
      <c r="OS11" s="100"/>
      <c r="OT11" s="100"/>
      <c r="OU11" s="100"/>
      <c r="OV11" s="100"/>
      <c r="OW11" s="100"/>
      <c r="OX11" s="100"/>
      <c r="OY11" s="100"/>
      <c r="OZ11" s="100"/>
      <c r="PA11" s="100"/>
      <c r="PB11" s="100"/>
      <c r="PC11" s="100"/>
      <c r="PD11" s="100"/>
      <c r="PE11" s="100"/>
      <c r="PF11" s="100"/>
      <c r="PG11" s="100"/>
      <c r="PH11" s="100"/>
      <c r="PI11" s="100"/>
      <c r="PJ11" s="100"/>
      <c r="PK11" s="100"/>
      <c r="PL11" s="100"/>
      <c r="PM11" s="100"/>
      <c r="PN11" s="100"/>
      <c r="PO11" s="100"/>
      <c r="PP11" s="100"/>
      <c r="PQ11" s="100"/>
      <c r="PR11" s="100"/>
      <c r="PS11" s="100"/>
      <c r="PT11" s="100"/>
      <c r="PU11" s="100"/>
      <c r="PV11" s="100"/>
      <c r="PW11" s="100"/>
      <c r="PX11" s="100"/>
      <c r="PY11" s="100"/>
      <c r="PZ11" s="100"/>
      <c r="QA11" s="100"/>
      <c r="QB11" s="100"/>
      <c r="QC11" s="100"/>
      <c r="QD11" s="100"/>
      <c r="QE11" s="100"/>
      <c r="QF11" s="100"/>
      <c r="QG11" s="100"/>
      <c r="QH11" s="100"/>
      <c r="QI11" s="100"/>
      <c r="QJ11" s="100"/>
      <c r="QK11" s="100"/>
      <c r="QL11" s="100"/>
      <c r="QM11" s="100"/>
      <c r="QN11" s="100"/>
      <c r="QO11" s="100"/>
      <c r="QP11" s="100"/>
      <c r="QQ11" s="100"/>
      <c r="QR11" s="100"/>
      <c r="QS11" s="100"/>
      <c r="QT11" s="100"/>
      <c r="QU11" s="100"/>
      <c r="QV11" s="100"/>
      <c r="QW11" s="100"/>
      <c r="QX11" s="100"/>
      <c r="QY11" s="23">
        <f t="shared" si="0"/>
        <v>3</v>
      </c>
      <c r="QZ11" s="47" t="s">
        <v>69</v>
      </c>
      <c r="RA11" s="97">
        <v>332.64</v>
      </c>
      <c r="RB11" s="63">
        <f>RE11</f>
        <v>332.64</v>
      </c>
      <c r="RC11" s="63">
        <v>217.85</v>
      </c>
      <c r="RD11" s="97">
        <f t="shared" si="1"/>
        <v>0</v>
      </c>
      <c r="RE11" s="107">
        <v>332.64</v>
      </c>
      <c r="RF11" s="107"/>
      <c r="RG11" s="83">
        <f t="shared" si="2"/>
        <v>1.5269221941703006</v>
      </c>
      <c r="RH11" s="116" t="s">
        <v>521</v>
      </c>
    </row>
    <row r="12" spans="1:476" s="5" customFormat="1" ht="12.75" customHeight="1" x14ac:dyDescent="0.25">
      <c r="A12" s="48">
        <v>44939</v>
      </c>
      <c r="B12" s="81" t="s">
        <v>496</v>
      </c>
      <c r="C12" s="98"/>
      <c r="D12" s="98"/>
      <c r="E12" s="99"/>
      <c r="F12" s="99"/>
      <c r="G12" s="99"/>
      <c r="H12" s="99"/>
      <c r="I12" s="99"/>
      <c r="J12" s="99"/>
      <c r="K12" s="99"/>
      <c r="L12" s="99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>
        <v>1</v>
      </c>
      <c r="GE12" s="100"/>
      <c r="GF12" s="100"/>
      <c r="GG12" s="100"/>
      <c r="GH12" s="100"/>
      <c r="GI12" s="100">
        <v>2</v>
      </c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  <c r="IX12" s="100"/>
      <c r="IY12" s="100"/>
      <c r="IZ12" s="100"/>
      <c r="JA12" s="100"/>
      <c r="JB12" s="100"/>
      <c r="JC12" s="100"/>
      <c r="JD12" s="100"/>
      <c r="JE12" s="100"/>
      <c r="JF12" s="100"/>
      <c r="JG12" s="100"/>
      <c r="JH12" s="100"/>
      <c r="JI12" s="100"/>
      <c r="JJ12" s="100"/>
      <c r="JK12" s="100"/>
      <c r="JL12" s="100"/>
      <c r="JM12" s="100"/>
      <c r="JN12" s="100"/>
      <c r="JO12" s="100"/>
      <c r="JP12" s="100"/>
      <c r="JQ12" s="100"/>
      <c r="JR12" s="100"/>
      <c r="JS12" s="100"/>
      <c r="JT12" s="100"/>
      <c r="JU12" s="100"/>
      <c r="JV12" s="100"/>
      <c r="JW12" s="100"/>
      <c r="JX12" s="100"/>
      <c r="JY12" s="100"/>
      <c r="JZ12" s="100"/>
      <c r="KA12" s="100"/>
      <c r="KB12" s="100"/>
      <c r="KC12" s="100"/>
      <c r="KD12" s="100"/>
      <c r="KE12" s="100"/>
      <c r="KF12" s="100"/>
      <c r="KG12" s="100"/>
      <c r="KH12" s="100"/>
      <c r="KI12" s="100"/>
      <c r="KJ12" s="100"/>
      <c r="KK12" s="100"/>
      <c r="KL12" s="100"/>
      <c r="KM12" s="100"/>
      <c r="KN12" s="100"/>
      <c r="KO12" s="100"/>
      <c r="KP12" s="100"/>
      <c r="KQ12" s="100"/>
      <c r="KR12" s="100"/>
      <c r="KS12" s="100"/>
      <c r="KT12" s="100"/>
      <c r="KU12" s="100"/>
      <c r="KV12" s="100"/>
      <c r="KW12" s="100"/>
      <c r="KX12" s="100"/>
      <c r="KY12" s="100"/>
      <c r="KZ12" s="100"/>
      <c r="LA12" s="100"/>
      <c r="LB12" s="100"/>
      <c r="LC12" s="100"/>
      <c r="LD12" s="100"/>
      <c r="LE12" s="100"/>
      <c r="LF12" s="100"/>
      <c r="LG12" s="100"/>
      <c r="LH12" s="100"/>
      <c r="LI12" s="100"/>
      <c r="LJ12" s="100"/>
      <c r="LK12" s="100"/>
      <c r="LL12" s="100"/>
      <c r="LM12" s="100"/>
      <c r="LN12" s="100"/>
      <c r="LO12" s="100"/>
      <c r="LP12" s="100"/>
      <c r="LQ12" s="100"/>
      <c r="LR12" s="100"/>
      <c r="LS12" s="100"/>
      <c r="LT12" s="100"/>
      <c r="LU12" s="100"/>
      <c r="LV12" s="100"/>
      <c r="LW12" s="100"/>
      <c r="LX12" s="100"/>
      <c r="LY12" s="100"/>
      <c r="LZ12" s="100"/>
      <c r="MA12" s="100"/>
      <c r="MB12" s="100"/>
      <c r="MC12" s="100"/>
      <c r="MD12" s="100"/>
      <c r="ME12" s="100"/>
      <c r="MF12" s="100"/>
      <c r="MG12" s="100"/>
      <c r="MH12" s="100"/>
      <c r="MI12" s="100"/>
      <c r="MJ12" s="100"/>
      <c r="MK12" s="100"/>
      <c r="ML12" s="100"/>
      <c r="MM12" s="100"/>
      <c r="MN12" s="100"/>
      <c r="MO12" s="100"/>
      <c r="MP12" s="100"/>
      <c r="MQ12" s="100"/>
      <c r="MR12" s="100"/>
      <c r="MS12" s="100"/>
      <c r="MT12" s="100"/>
      <c r="MU12" s="100"/>
      <c r="MV12" s="100"/>
      <c r="MW12" s="100"/>
      <c r="MX12" s="100"/>
      <c r="MY12" s="100"/>
      <c r="MZ12" s="100"/>
      <c r="NA12" s="100"/>
      <c r="NB12" s="100"/>
      <c r="NC12" s="100"/>
      <c r="ND12" s="100"/>
      <c r="NE12" s="100"/>
      <c r="NF12" s="100"/>
      <c r="NG12" s="100"/>
      <c r="NH12" s="100"/>
      <c r="NI12" s="100"/>
      <c r="NJ12" s="100"/>
      <c r="NK12" s="100"/>
      <c r="NL12" s="100"/>
      <c r="NM12" s="100"/>
      <c r="NN12" s="100"/>
      <c r="NO12" s="100"/>
      <c r="NP12" s="100"/>
      <c r="NQ12" s="100"/>
      <c r="NR12" s="100"/>
      <c r="NS12" s="100"/>
      <c r="NT12" s="100"/>
      <c r="NU12" s="100"/>
      <c r="NV12" s="100"/>
      <c r="NW12" s="100"/>
      <c r="NX12" s="100"/>
      <c r="NY12" s="100"/>
      <c r="NZ12" s="100"/>
      <c r="OA12" s="100"/>
      <c r="OB12" s="100"/>
      <c r="OC12" s="100"/>
      <c r="OD12" s="100"/>
      <c r="OE12" s="100"/>
      <c r="OF12" s="100"/>
      <c r="OG12" s="100"/>
      <c r="OH12" s="100"/>
      <c r="OI12" s="100"/>
      <c r="OJ12" s="100"/>
      <c r="OK12" s="100"/>
      <c r="OL12" s="100"/>
      <c r="OM12" s="100"/>
      <c r="ON12" s="100"/>
      <c r="OO12" s="100"/>
      <c r="OP12" s="100"/>
      <c r="OQ12" s="100"/>
      <c r="OR12" s="100"/>
      <c r="OS12" s="100"/>
      <c r="OT12" s="100"/>
      <c r="OU12" s="100"/>
      <c r="OV12" s="100"/>
      <c r="OW12" s="100"/>
      <c r="OX12" s="100"/>
      <c r="OY12" s="100"/>
      <c r="OZ12" s="100"/>
      <c r="PA12" s="100"/>
      <c r="PB12" s="100"/>
      <c r="PC12" s="100"/>
      <c r="PD12" s="100"/>
      <c r="PE12" s="100"/>
      <c r="PF12" s="100"/>
      <c r="PG12" s="100"/>
      <c r="PH12" s="100"/>
      <c r="PI12" s="100"/>
      <c r="PJ12" s="100"/>
      <c r="PK12" s="100"/>
      <c r="PL12" s="100"/>
      <c r="PM12" s="100"/>
      <c r="PN12" s="100"/>
      <c r="PO12" s="100"/>
      <c r="PP12" s="100"/>
      <c r="PQ12" s="100"/>
      <c r="PR12" s="100"/>
      <c r="PS12" s="100"/>
      <c r="PT12" s="100"/>
      <c r="PU12" s="100"/>
      <c r="PV12" s="100"/>
      <c r="PW12" s="100"/>
      <c r="PX12" s="100"/>
      <c r="PY12" s="100"/>
      <c r="PZ12" s="100"/>
      <c r="QA12" s="100"/>
      <c r="QB12" s="100"/>
      <c r="QC12" s="100"/>
      <c r="QD12" s="100"/>
      <c r="QE12" s="100"/>
      <c r="QF12" s="100"/>
      <c r="QG12" s="100"/>
      <c r="QH12" s="100"/>
      <c r="QI12" s="100"/>
      <c r="QJ12" s="100"/>
      <c r="QK12" s="100"/>
      <c r="QL12" s="100"/>
      <c r="QM12" s="100"/>
      <c r="QN12" s="100"/>
      <c r="QO12" s="100"/>
      <c r="QP12" s="100"/>
      <c r="QQ12" s="100"/>
      <c r="QR12" s="100"/>
      <c r="QS12" s="100"/>
      <c r="QT12" s="100"/>
      <c r="QU12" s="100"/>
      <c r="QV12" s="100"/>
      <c r="QW12" s="100"/>
      <c r="QX12" s="100"/>
      <c r="QY12" s="23">
        <f t="shared" si="0"/>
        <v>3</v>
      </c>
      <c r="QZ12" s="47" t="s">
        <v>36</v>
      </c>
      <c r="RA12" s="97">
        <v>209.04</v>
      </c>
      <c r="RB12" s="63">
        <f>RE12</f>
        <v>209.04</v>
      </c>
      <c r="RC12" s="63">
        <v>135.38999999999999</v>
      </c>
      <c r="RD12" s="97">
        <f t="shared" si="1"/>
        <v>0</v>
      </c>
      <c r="RE12" s="107">
        <v>209.04</v>
      </c>
      <c r="RF12" s="107"/>
      <c r="RG12" s="83">
        <f t="shared" si="2"/>
        <v>1.5439840460890761</v>
      </c>
      <c r="RH12" s="116"/>
    </row>
    <row r="13" spans="1:476" s="5" customFormat="1" ht="12.75" customHeight="1" x14ac:dyDescent="0.25">
      <c r="A13" s="48">
        <v>44942</v>
      </c>
      <c r="B13" s="90" t="s">
        <v>456</v>
      </c>
      <c r="C13" s="98"/>
      <c r="D13" s="98"/>
      <c r="E13" s="99"/>
      <c r="F13" s="99"/>
      <c r="G13" s="99"/>
      <c r="H13" s="99"/>
      <c r="I13" s="99"/>
      <c r="J13" s="99"/>
      <c r="K13" s="99"/>
      <c r="L13" s="99"/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>
        <v>10</v>
      </c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  <c r="IX13" s="100"/>
      <c r="IY13" s="100"/>
      <c r="IZ13" s="100"/>
      <c r="JA13" s="100"/>
      <c r="JB13" s="100"/>
      <c r="JC13" s="100"/>
      <c r="JD13" s="100"/>
      <c r="JE13" s="100"/>
      <c r="JF13" s="100"/>
      <c r="JG13" s="100"/>
      <c r="JH13" s="100"/>
      <c r="JI13" s="100"/>
      <c r="JJ13" s="100"/>
      <c r="JK13" s="100"/>
      <c r="JL13" s="100"/>
      <c r="JM13" s="100"/>
      <c r="JN13" s="100"/>
      <c r="JO13" s="100"/>
      <c r="JP13" s="100"/>
      <c r="JQ13" s="100"/>
      <c r="JR13" s="100"/>
      <c r="JS13" s="100"/>
      <c r="JT13" s="100"/>
      <c r="JU13" s="100"/>
      <c r="JV13" s="100"/>
      <c r="JW13" s="100"/>
      <c r="JX13" s="100"/>
      <c r="JY13" s="100"/>
      <c r="JZ13" s="100"/>
      <c r="KA13" s="100"/>
      <c r="KB13" s="100"/>
      <c r="KC13" s="100"/>
      <c r="KD13" s="100"/>
      <c r="KE13" s="100"/>
      <c r="KF13" s="100"/>
      <c r="KG13" s="100"/>
      <c r="KH13" s="100"/>
      <c r="KI13" s="100"/>
      <c r="KJ13" s="100"/>
      <c r="KK13" s="100"/>
      <c r="KL13" s="100"/>
      <c r="KM13" s="100"/>
      <c r="KN13" s="100"/>
      <c r="KO13" s="100"/>
      <c r="KP13" s="100"/>
      <c r="KQ13" s="100"/>
      <c r="KR13" s="100"/>
      <c r="KS13" s="100"/>
      <c r="KT13" s="100"/>
      <c r="KU13" s="100"/>
      <c r="KV13" s="100"/>
      <c r="KW13" s="100"/>
      <c r="KX13" s="100"/>
      <c r="KY13" s="100"/>
      <c r="KZ13" s="100"/>
      <c r="LA13" s="100"/>
      <c r="LB13" s="100"/>
      <c r="LC13" s="100"/>
      <c r="LD13" s="100"/>
      <c r="LE13" s="100"/>
      <c r="LF13" s="100"/>
      <c r="LG13" s="100"/>
      <c r="LH13" s="100"/>
      <c r="LI13" s="100"/>
      <c r="LJ13" s="100"/>
      <c r="LK13" s="100"/>
      <c r="LL13" s="100"/>
      <c r="LM13" s="100"/>
      <c r="LN13" s="100"/>
      <c r="LO13" s="100"/>
      <c r="LP13" s="100"/>
      <c r="LQ13" s="100"/>
      <c r="LR13" s="100"/>
      <c r="LS13" s="100"/>
      <c r="LT13" s="100"/>
      <c r="LU13" s="100"/>
      <c r="LV13" s="100"/>
      <c r="LW13" s="100"/>
      <c r="LX13" s="100"/>
      <c r="LY13" s="100"/>
      <c r="LZ13" s="100"/>
      <c r="MA13" s="100"/>
      <c r="MB13" s="100"/>
      <c r="MC13" s="100"/>
      <c r="MD13" s="100"/>
      <c r="ME13" s="100"/>
      <c r="MF13" s="100"/>
      <c r="MG13" s="100"/>
      <c r="MH13" s="100"/>
      <c r="MI13" s="100"/>
      <c r="MJ13" s="100"/>
      <c r="MK13" s="100"/>
      <c r="ML13" s="100"/>
      <c r="MM13" s="100"/>
      <c r="MN13" s="100"/>
      <c r="MO13" s="100"/>
      <c r="MP13" s="100"/>
      <c r="MQ13" s="100"/>
      <c r="MR13" s="100"/>
      <c r="MS13" s="100"/>
      <c r="MT13" s="100"/>
      <c r="MU13" s="100"/>
      <c r="MV13" s="100"/>
      <c r="MW13" s="100"/>
      <c r="MX13" s="100"/>
      <c r="MY13" s="100"/>
      <c r="MZ13" s="100"/>
      <c r="NA13" s="100"/>
      <c r="NB13" s="100"/>
      <c r="NC13" s="100"/>
      <c r="ND13" s="100"/>
      <c r="NE13" s="100"/>
      <c r="NF13" s="100"/>
      <c r="NG13" s="100"/>
      <c r="NH13" s="100"/>
      <c r="NI13" s="100"/>
      <c r="NJ13" s="100"/>
      <c r="NK13" s="100"/>
      <c r="NL13" s="100"/>
      <c r="NM13" s="100"/>
      <c r="NN13" s="100"/>
      <c r="NO13" s="100"/>
      <c r="NP13" s="100"/>
      <c r="NQ13" s="100"/>
      <c r="NR13" s="100"/>
      <c r="NS13" s="100"/>
      <c r="NT13" s="100"/>
      <c r="NU13" s="100"/>
      <c r="NV13" s="100"/>
      <c r="NW13" s="100"/>
      <c r="NX13" s="100"/>
      <c r="NY13" s="100"/>
      <c r="NZ13" s="100"/>
      <c r="OA13" s="100"/>
      <c r="OB13" s="100"/>
      <c r="OC13" s="100"/>
      <c r="OD13" s="100"/>
      <c r="OE13" s="100"/>
      <c r="OF13" s="100"/>
      <c r="OG13" s="100"/>
      <c r="OH13" s="100"/>
      <c r="OI13" s="100"/>
      <c r="OJ13" s="100"/>
      <c r="OK13" s="100"/>
      <c r="OL13" s="100"/>
      <c r="OM13" s="100"/>
      <c r="ON13" s="100"/>
      <c r="OO13" s="100"/>
      <c r="OP13" s="100"/>
      <c r="OQ13" s="100"/>
      <c r="OR13" s="100"/>
      <c r="OS13" s="100"/>
      <c r="OT13" s="100"/>
      <c r="OU13" s="100"/>
      <c r="OV13" s="100"/>
      <c r="OW13" s="100"/>
      <c r="OX13" s="100"/>
      <c r="OY13" s="100"/>
      <c r="OZ13" s="100"/>
      <c r="PA13" s="100"/>
      <c r="PB13" s="100"/>
      <c r="PC13" s="100"/>
      <c r="PD13" s="100"/>
      <c r="PE13" s="100"/>
      <c r="PF13" s="100"/>
      <c r="PG13" s="100"/>
      <c r="PH13" s="100"/>
      <c r="PI13" s="100"/>
      <c r="PJ13" s="100"/>
      <c r="PK13" s="100"/>
      <c r="PL13" s="100"/>
      <c r="PM13" s="100"/>
      <c r="PN13" s="100"/>
      <c r="PO13" s="100"/>
      <c r="PP13" s="100"/>
      <c r="PQ13" s="100"/>
      <c r="PR13" s="100"/>
      <c r="PS13" s="100"/>
      <c r="PT13" s="100"/>
      <c r="PU13" s="100"/>
      <c r="PV13" s="100"/>
      <c r="PW13" s="100"/>
      <c r="PX13" s="100"/>
      <c r="PY13" s="100"/>
      <c r="PZ13" s="100"/>
      <c r="QA13" s="100"/>
      <c r="QB13" s="100"/>
      <c r="QC13" s="100"/>
      <c r="QD13" s="100"/>
      <c r="QE13" s="100"/>
      <c r="QF13" s="100"/>
      <c r="QG13" s="100"/>
      <c r="QH13" s="100"/>
      <c r="QI13" s="100"/>
      <c r="QJ13" s="100"/>
      <c r="QK13" s="100"/>
      <c r="QL13" s="100"/>
      <c r="QM13" s="100"/>
      <c r="QN13" s="100"/>
      <c r="QO13" s="100"/>
      <c r="QP13" s="100"/>
      <c r="QQ13" s="100"/>
      <c r="QR13" s="100"/>
      <c r="QS13" s="100"/>
      <c r="QT13" s="100"/>
      <c r="QU13" s="100"/>
      <c r="QV13" s="100"/>
      <c r="QW13" s="100"/>
      <c r="QX13" s="100"/>
      <c r="QY13" s="23">
        <f t="shared" si="0"/>
        <v>10</v>
      </c>
      <c r="QZ13" s="47" t="s">
        <v>36</v>
      </c>
      <c r="RA13" s="97">
        <v>558.6</v>
      </c>
      <c r="RB13" s="63">
        <f>RE13</f>
        <v>558.6</v>
      </c>
      <c r="RC13" s="63">
        <v>378.29999999999995</v>
      </c>
      <c r="RD13" s="97">
        <f t="shared" si="1"/>
        <v>0</v>
      </c>
      <c r="RE13" s="107">
        <v>558.6</v>
      </c>
      <c r="RF13" s="107"/>
      <c r="RG13" s="83">
        <f t="shared" si="2"/>
        <v>1.476605868358446</v>
      </c>
      <c r="RH13" s="116"/>
    </row>
    <row r="14" spans="1:476" s="5" customFormat="1" ht="12.75" customHeight="1" x14ac:dyDescent="0.25">
      <c r="A14" s="48">
        <v>44944</v>
      </c>
      <c r="B14" s="81" t="s">
        <v>45</v>
      </c>
      <c r="C14" s="98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>
        <v>70</v>
      </c>
      <c r="GY14" s="100"/>
      <c r="GZ14" s="100"/>
      <c r="HA14" s="100">
        <v>20</v>
      </c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  <c r="IX14" s="100"/>
      <c r="IY14" s="100"/>
      <c r="IZ14" s="100"/>
      <c r="JA14" s="100"/>
      <c r="JB14" s="100"/>
      <c r="JC14" s="100"/>
      <c r="JD14" s="100"/>
      <c r="JE14" s="100"/>
      <c r="JF14" s="100"/>
      <c r="JG14" s="100"/>
      <c r="JH14" s="100"/>
      <c r="JI14" s="100"/>
      <c r="JJ14" s="100"/>
      <c r="JK14" s="100"/>
      <c r="JL14" s="100"/>
      <c r="JM14" s="100"/>
      <c r="JN14" s="100"/>
      <c r="JO14" s="100"/>
      <c r="JP14" s="100"/>
      <c r="JQ14" s="100"/>
      <c r="JR14" s="100"/>
      <c r="JS14" s="100"/>
      <c r="JT14" s="100"/>
      <c r="JU14" s="100"/>
      <c r="JV14" s="100"/>
      <c r="JW14" s="100"/>
      <c r="JX14" s="100"/>
      <c r="JY14" s="100"/>
      <c r="JZ14" s="100"/>
      <c r="KA14" s="100"/>
      <c r="KB14" s="100"/>
      <c r="KC14" s="100"/>
      <c r="KD14" s="100"/>
      <c r="KE14" s="100"/>
      <c r="KF14" s="100"/>
      <c r="KG14" s="100"/>
      <c r="KH14" s="100"/>
      <c r="KI14" s="100"/>
      <c r="KJ14" s="100"/>
      <c r="KK14" s="100"/>
      <c r="KL14" s="100"/>
      <c r="KM14" s="100"/>
      <c r="KN14" s="100"/>
      <c r="KO14" s="100"/>
      <c r="KP14" s="100"/>
      <c r="KQ14" s="100"/>
      <c r="KR14" s="100"/>
      <c r="KS14" s="100"/>
      <c r="KT14" s="100"/>
      <c r="KU14" s="100"/>
      <c r="KV14" s="100"/>
      <c r="KW14" s="100"/>
      <c r="KX14" s="100"/>
      <c r="KY14" s="100"/>
      <c r="KZ14" s="100"/>
      <c r="LA14" s="100"/>
      <c r="LB14" s="100"/>
      <c r="LC14" s="100"/>
      <c r="LD14" s="100"/>
      <c r="LE14" s="100"/>
      <c r="LF14" s="100"/>
      <c r="LG14" s="100"/>
      <c r="LH14" s="100"/>
      <c r="LI14" s="100"/>
      <c r="LJ14" s="100"/>
      <c r="LK14" s="100"/>
      <c r="LL14" s="100"/>
      <c r="LM14" s="100"/>
      <c r="LN14" s="100"/>
      <c r="LO14" s="100"/>
      <c r="LP14" s="100"/>
      <c r="LQ14" s="100"/>
      <c r="LR14" s="100"/>
      <c r="LS14" s="100"/>
      <c r="LT14" s="100"/>
      <c r="LU14" s="100"/>
      <c r="LV14" s="100"/>
      <c r="LW14" s="100"/>
      <c r="LX14" s="100"/>
      <c r="LY14" s="100"/>
      <c r="LZ14" s="100"/>
      <c r="MA14" s="100"/>
      <c r="MB14" s="100"/>
      <c r="MC14" s="100"/>
      <c r="MD14" s="100"/>
      <c r="ME14" s="100"/>
      <c r="MF14" s="100"/>
      <c r="MG14" s="100"/>
      <c r="MH14" s="100"/>
      <c r="MI14" s="100"/>
      <c r="MJ14" s="100"/>
      <c r="MK14" s="100"/>
      <c r="ML14" s="100"/>
      <c r="MM14" s="100"/>
      <c r="MN14" s="100"/>
      <c r="MO14" s="100"/>
      <c r="MP14" s="100"/>
      <c r="MQ14" s="100"/>
      <c r="MR14" s="100"/>
      <c r="MS14" s="100"/>
      <c r="MT14" s="100"/>
      <c r="MU14" s="100"/>
      <c r="MV14" s="100"/>
      <c r="MW14" s="100"/>
      <c r="MX14" s="100"/>
      <c r="MY14" s="100"/>
      <c r="MZ14" s="100"/>
      <c r="NA14" s="100"/>
      <c r="NB14" s="100"/>
      <c r="NC14" s="100"/>
      <c r="ND14" s="100"/>
      <c r="NE14" s="100"/>
      <c r="NF14" s="100"/>
      <c r="NG14" s="100"/>
      <c r="NH14" s="100"/>
      <c r="NI14" s="100"/>
      <c r="NJ14" s="100"/>
      <c r="NK14" s="100"/>
      <c r="NL14" s="100"/>
      <c r="NM14" s="100"/>
      <c r="NN14" s="100"/>
      <c r="NO14" s="100"/>
      <c r="NP14" s="100"/>
      <c r="NQ14" s="100"/>
      <c r="NR14" s="100"/>
      <c r="NS14" s="100"/>
      <c r="NT14" s="100"/>
      <c r="NU14" s="100"/>
      <c r="NV14" s="100"/>
      <c r="NW14" s="100"/>
      <c r="NX14" s="100"/>
      <c r="NY14" s="100"/>
      <c r="NZ14" s="100"/>
      <c r="OA14" s="100"/>
      <c r="OB14" s="100"/>
      <c r="OC14" s="100"/>
      <c r="OD14" s="100"/>
      <c r="OE14" s="100"/>
      <c r="OF14" s="100"/>
      <c r="OG14" s="100"/>
      <c r="OH14" s="100"/>
      <c r="OI14" s="100"/>
      <c r="OJ14" s="100"/>
      <c r="OK14" s="100"/>
      <c r="OL14" s="100"/>
      <c r="OM14" s="100"/>
      <c r="ON14" s="100"/>
      <c r="OO14" s="100"/>
      <c r="OP14" s="100"/>
      <c r="OQ14" s="100"/>
      <c r="OR14" s="100"/>
      <c r="OS14" s="100"/>
      <c r="OT14" s="100"/>
      <c r="OU14" s="100"/>
      <c r="OV14" s="100"/>
      <c r="OW14" s="100"/>
      <c r="OX14" s="100"/>
      <c r="OY14" s="100"/>
      <c r="OZ14" s="100"/>
      <c r="PA14" s="100"/>
      <c r="PB14" s="100"/>
      <c r="PC14" s="100"/>
      <c r="PD14" s="100"/>
      <c r="PE14" s="100"/>
      <c r="PF14" s="100"/>
      <c r="PG14" s="100"/>
      <c r="PH14" s="100"/>
      <c r="PI14" s="100"/>
      <c r="PJ14" s="100"/>
      <c r="PK14" s="100"/>
      <c r="PL14" s="100"/>
      <c r="PM14" s="100"/>
      <c r="PN14" s="100"/>
      <c r="PO14" s="100"/>
      <c r="PP14" s="100"/>
      <c r="PQ14" s="100"/>
      <c r="PR14" s="100"/>
      <c r="PS14" s="100"/>
      <c r="PT14" s="100"/>
      <c r="PU14" s="100"/>
      <c r="PV14" s="100"/>
      <c r="PW14" s="100"/>
      <c r="PX14" s="100"/>
      <c r="PY14" s="100"/>
      <c r="PZ14" s="100"/>
      <c r="QA14" s="100"/>
      <c r="QB14" s="100"/>
      <c r="QC14" s="100"/>
      <c r="QD14" s="100"/>
      <c r="QE14" s="100"/>
      <c r="QF14" s="100"/>
      <c r="QG14" s="100"/>
      <c r="QH14" s="100"/>
      <c r="QI14" s="100"/>
      <c r="QJ14" s="100"/>
      <c r="QK14" s="100"/>
      <c r="QL14" s="100"/>
      <c r="QM14" s="100"/>
      <c r="QN14" s="100"/>
      <c r="QO14" s="100"/>
      <c r="QP14" s="100"/>
      <c r="QQ14" s="100"/>
      <c r="QR14" s="100"/>
      <c r="QS14" s="100"/>
      <c r="QT14" s="100"/>
      <c r="QU14" s="100"/>
      <c r="QV14" s="100"/>
      <c r="QW14" s="100"/>
      <c r="QX14" s="100"/>
      <c r="QY14" s="23">
        <f t="shared" si="0"/>
        <v>90</v>
      </c>
      <c r="QZ14" s="47" t="s">
        <v>36</v>
      </c>
      <c r="RA14" s="97">
        <v>10568.28</v>
      </c>
      <c r="RB14" s="63">
        <f>RE14+RF14</f>
        <v>3568.28</v>
      </c>
      <c r="RC14" s="63">
        <v>6006.9</v>
      </c>
      <c r="RD14" s="97">
        <f t="shared" si="1"/>
        <v>7000</v>
      </c>
      <c r="RE14" s="107"/>
      <c r="RF14" s="107">
        <v>3568.28</v>
      </c>
      <c r="RG14" s="83">
        <f t="shared" si="2"/>
        <v>1.7593567397492886</v>
      </c>
      <c r="RH14" s="116" t="s">
        <v>539</v>
      </c>
    </row>
    <row r="15" spans="1:476" s="5" customFormat="1" ht="12.75" customHeight="1" x14ac:dyDescent="0.25">
      <c r="A15" s="48">
        <v>44944</v>
      </c>
      <c r="B15" s="90" t="s">
        <v>75</v>
      </c>
      <c r="C15" s="98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  <c r="KK15" s="100"/>
      <c r="KL15" s="100"/>
      <c r="KM15" s="100"/>
      <c r="KN15" s="100"/>
      <c r="KO15" s="100"/>
      <c r="KP15" s="100"/>
      <c r="KQ15" s="100"/>
      <c r="KR15" s="100"/>
      <c r="KS15" s="100"/>
      <c r="KT15" s="100"/>
      <c r="KU15" s="100"/>
      <c r="KV15" s="100"/>
      <c r="KW15" s="100"/>
      <c r="KX15" s="100"/>
      <c r="KY15" s="100"/>
      <c r="KZ15" s="100"/>
      <c r="LA15" s="100"/>
      <c r="LB15" s="100"/>
      <c r="LC15" s="100"/>
      <c r="LD15" s="100"/>
      <c r="LE15" s="100"/>
      <c r="LF15" s="100"/>
      <c r="LG15" s="100"/>
      <c r="LH15" s="100"/>
      <c r="LI15" s="100"/>
      <c r="LJ15" s="100"/>
      <c r="LK15" s="100"/>
      <c r="LL15" s="100"/>
      <c r="LM15" s="100"/>
      <c r="LN15" s="100"/>
      <c r="LO15" s="100"/>
      <c r="LP15" s="100"/>
      <c r="LQ15" s="100"/>
      <c r="LR15" s="100"/>
      <c r="LS15" s="100"/>
      <c r="LT15" s="100"/>
      <c r="LU15" s="100"/>
      <c r="LV15" s="100"/>
      <c r="LW15" s="100"/>
      <c r="LX15" s="100"/>
      <c r="LY15" s="100"/>
      <c r="LZ15" s="100"/>
      <c r="MA15" s="100"/>
      <c r="MB15" s="100"/>
      <c r="MC15" s="100"/>
      <c r="MD15" s="100"/>
      <c r="ME15" s="100"/>
      <c r="MF15" s="100"/>
      <c r="MG15" s="100"/>
      <c r="MH15" s="100"/>
      <c r="MI15" s="100"/>
      <c r="MJ15" s="100"/>
      <c r="MK15" s="100"/>
      <c r="ML15" s="100"/>
      <c r="MM15" s="100"/>
      <c r="MN15" s="100"/>
      <c r="MO15" s="100"/>
      <c r="MP15" s="100"/>
      <c r="MQ15" s="100"/>
      <c r="MR15" s="100"/>
      <c r="MS15" s="100"/>
      <c r="MT15" s="100"/>
      <c r="MU15" s="100"/>
      <c r="MV15" s="100"/>
      <c r="MW15" s="100"/>
      <c r="MX15" s="100"/>
      <c r="MY15" s="100"/>
      <c r="MZ15" s="100"/>
      <c r="NA15" s="100"/>
      <c r="NB15" s="100"/>
      <c r="NC15" s="100"/>
      <c r="ND15" s="100"/>
      <c r="NE15" s="100"/>
      <c r="NF15" s="100"/>
      <c r="NG15" s="100"/>
      <c r="NH15" s="100"/>
      <c r="NI15" s="100"/>
      <c r="NJ15" s="100"/>
      <c r="NK15" s="100"/>
      <c r="NL15" s="100"/>
      <c r="NM15" s="100"/>
      <c r="NN15" s="100"/>
      <c r="NO15" s="100"/>
      <c r="NP15" s="100"/>
      <c r="NQ15" s="100"/>
      <c r="NR15" s="100"/>
      <c r="NS15" s="100"/>
      <c r="NT15" s="100"/>
      <c r="NU15" s="100"/>
      <c r="NV15" s="100"/>
      <c r="NW15" s="100"/>
      <c r="NX15" s="100"/>
      <c r="NY15" s="100"/>
      <c r="NZ15" s="100"/>
      <c r="OA15" s="100"/>
      <c r="OB15" s="100"/>
      <c r="OC15" s="100"/>
      <c r="OD15" s="100"/>
      <c r="OE15" s="100"/>
      <c r="OF15" s="100"/>
      <c r="OG15" s="100"/>
      <c r="OH15" s="100"/>
      <c r="OI15" s="100"/>
      <c r="OJ15" s="100"/>
      <c r="OK15" s="100"/>
      <c r="OL15" s="100"/>
      <c r="OM15" s="100"/>
      <c r="ON15" s="100"/>
      <c r="OO15" s="100"/>
      <c r="OP15" s="100"/>
      <c r="OQ15" s="100"/>
      <c r="OR15" s="100"/>
      <c r="OS15" s="100"/>
      <c r="OT15" s="100"/>
      <c r="OU15" s="100"/>
      <c r="OV15" s="100"/>
      <c r="OW15" s="100"/>
      <c r="OX15" s="100"/>
      <c r="OY15" s="100"/>
      <c r="OZ15" s="100"/>
      <c r="PA15" s="100"/>
      <c r="PB15" s="100"/>
      <c r="PC15" s="100"/>
      <c r="PD15" s="100"/>
      <c r="PE15" s="100"/>
      <c r="PF15" s="100"/>
      <c r="PG15" s="100"/>
      <c r="PH15" s="100"/>
      <c r="PI15" s="100"/>
      <c r="PJ15" s="100"/>
      <c r="PK15" s="100"/>
      <c r="PL15" s="100"/>
      <c r="PM15" s="100"/>
      <c r="PN15" s="100"/>
      <c r="PO15" s="100"/>
      <c r="PP15" s="100"/>
      <c r="PQ15" s="100"/>
      <c r="PR15" s="100"/>
      <c r="PS15" s="100"/>
      <c r="PT15" s="100"/>
      <c r="PU15" s="100"/>
      <c r="PV15" s="100"/>
      <c r="PW15" s="100"/>
      <c r="PX15" s="100"/>
      <c r="PY15" s="100"/>
      <c r="PZ15" s="100"/>
      <c r="QA15" s="100"/>
      <c r="QB15" s="100"/>
      <c r="QC15" s="100"/>
      <c r="QD15" s="100"/>
      <c r="QE15" s="100"/>
      <c r="QF15" s="100"/>
      <c r="QG15" s="100"/>
      <c r="QH15" s="100"/>
      <c r="QI15" s="100"/>
      <c r="QJ15" s="100">
        <v>25</v>
      </c>
      <c r="QK15" s="100"/>
      <c r="QL15" s="100"/>
      <c r="QM15" s="100"/>
      <c r="QN15" s="100"/>
      <c r="QO15" s="100"/>
      <c r="QP15" s="100"/>
      <c r="QQ15" s="100"/>
      <c r="QR15" s="100"/>
      <c r="QS15" s="100"/>
      <c r="QT15" s="100"/>
      <c r="QU15" s="100"/>
      <c r="QV15" s="100"/>
      <c r="QW15" s="100"/>
      <c r="QX15" s="100"/>
      <c r="QY15" s="23">
        <f t="shared" si="0"/>
        <v>25</v>
      </c>
      <c r="QZ15" s="47" t="s">
        <v>91</v>
      </c>
      <c r="RA15" s="97">
        <v>1390.5</v>
      </c>
      <c r="RB15" s="63">
        <f>RE15+RF15</f>
        <v>0</v>
      </c>
      <c r="RC15" s="63">
        <v>904.75</v>
      </c>
      <c r="RD15" s="97">
        <f t="shared" si="1"/>
        <v>1390.5</v>
      </c>
      <c r="RE15" s="107"/>
      <c r="RF15" s="107"/>
      <c r="RG15" s="83">
        <f t="shared" si="2"/>
        <v>1.536888643271622</v>
      </c>
      <c r="RH15" s="116" t="s">
        <v>539</v>
      </c>
    </row>
    <row r="16" spans="1:476" s="5" customFormat="1" ht="12.75" customHeight="1" x14ac:dyDescent="0.25">
      <c r="A16" s="48">
        <v>44945</v>
      </c>
      <c r="B16" s="81" t="s">
        <v>192</v>
      </c>
      <c r="C16" s="98"/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>
        <v>100</v>
      </c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  <c r="JP16" s="100"/>
      <c r="JQ16" s="100"/>
      <c r="JR16" s="100"/>
      <c r="JS16" s="100"/>
      <c r="JT16" s="100"/>
      <c r="JU16" s="100"/>
      <c r="JV16" s="100"/>
      <c r="JW16" s="100"/>
      <c r="JX16" s="100"/>
      <c r="JY16" s="100"/>
      <c r="JZ16" s="100"/>
      <c r="KA16" s="100"/>
      <c r="KB16" s="100"/>
      <c r="KC16" s="100"/>
      <c r="KD16" s="100"/>
      <c r="KE16" s="100"/>
      <c r="KF16" s="100"/>
      <c r="KG16" s="100"/>
      <c r="KH16" s="100"/>
      <c r="KI16" s="100"/>
      <c r="KJ16" s="100"/>
      <c r="KK16" s="100"/>
      <c r="KL16" s="100"/>
      <c r="KM16" s="100"/>
      <c r="KN16" s="100"/>
      <c r="KO16" s="100"/>
      <c r="KP16" s="100"/>
      <c r="KQ16" s="100"/>
      <c r="KR16" s="100"/>
      <c r="KS16" s="100"/>
      <c r="KT16" s="100"/>
      <c r="KU16" s="100"/>
      <c r="KV16" s="100"/>
      <c r="KW16" s="100"/>
      <c r="KX16" s="100"/>
      <c r="KY16" s="100"/>
      <c r="KZ16" s="100"/>
      <c r="LA16" s="100"/>
      <c r="LB16" s="100"/>
      <c r="LC16" s="100"/>
      <c r="LD16" s="100"/>
      <c r="LE16" s="100"/>
      <c r="LF16" s="100"/>
      <c r="LG16" s="100"/>
      <c r="LH16" s="100"/>
      <c r="LI16" s="100"/>
      <c r="LJ16" s="100"/>
      <c r="LK16" s="100"/>
      <c r="LL16" s="100"/>
      <c r="LM16" s="100"/>
      <c r="LN16" s="100"/>
      <c r="LO16" s="100"/>
      <c r="LP16" s="100"/>
      <c r="LQ16" s="100"/>
      <c r="LR16" s="100"/>
      <c r="LS16" s="100"/>
      <c r="LT16" s="100"/>
      <c r="LU16" s="100"/>
      <c r="LV16" s="100"/>
      <c r="LW16" s="100"/>
      <c r="LX16" s="100"/>
      <c r="LY16" s="100"/>
      <c r="LZ16" s="100"/>
      <c r="MA16" s="100"/>
      <c r="MB16" s="100"/>
      <c r="MC16" s="100"/>
      <c r="MD16" s="100"/>
      <c r="ME16" s="100"/>
      <c r="MF16" s="100"/>
      <c r="MG16" s="100"/>
      <c r="MH16" s="100"/>
      <c r="MI16" s="100"/>
      <c r="MJ16" s="100"/>
      <c r="MK16" s="100"/>
      <c r="ML16" s="100"/>
      <c r="MM16" s="100"/>
      <c r="MN16" s="100"/>
      <c r="MO16" s="100"/>
      <c r="MP16" s="100"/>
      <c r="MQ16" s="100"/>
      <c r="MR16" s="100"/>
      <c r="MS16" s="100"/>
      <c r="MT16" s="100"/>
      <c r="MU16" s="100"/>
      <c r="MV16" s="100"/>
      <c r="MW16" s="100"/>
      <c r="MX16" s="100"/>
      <c r="MY16" s="100"/>
      <c r="MZ16" s="100"/>
      <c r="NA16" s="100"/>
      <c r="NB16" s="100"/>
      <c r="NC16" s="100"/>
      <c r="ND16" s="100"/>
      <c r="NE16" s="100"/>
      <c r="NF16" s="100"/>
      <c r="NG16" s="100"/>
      <c r="NH16" s="100"/>
      <c r="NI16" s="100"/>
      <c r="NJ16" s="100"/>
      <c r="NK16" s="100"/>
      <c r="NL16" s="100"/>
      <c r="NM16" s="100"/>
      <c r="NN16" s="100"/>
      <c r="NO16" s="100"/>
      <c r="NP16" s="100"/>
      <c r="NQ16" s="100"/>
      <c r="NR16" s="100"/>
      <c r="NS16" s="100"/>
      <c r="NT16" s="100"/>
      <c r="NU16" s="100"/>
      <c r="NV16" s="100"/>
      <c r="NW16" s="100"/>
      <c r="NX16" s="100"/>
      <c r="NY16" s="100"/>
      <c r="NZ16" s="100"/>
      <c r="OA16" s="100"/>
      <c r="OB16" s="100"/>
      <c r="OC16" s="100"/>
      <c r="OD16" s="100"/>
      <c r="OE16" s="100"/>
      <c r="OF16" s="100"/>
      <c r="OG16" s="100"/>
      <c r="OH16" s="100"/>
      <c r="OI16" s="100"/>
      <c r="OJ16" s="100"/>
      <c r="OK16" s="100"/>
      <c r="OL16" s="100"/>
      <c r="OM16" s="100"/>
      <c r="ON16" s="100"/>
      <c r="OO16" s="100"/>
      <c r="OP16" s="100"/>
      <c r="OQ16" s="100"/>
      <c r="OR16" s="100"/>
      <c r="OS16" s="100"/>
      <c r="OT16" s="100"/>
      <c r="OU16" s="100"/>
      <c r="OV16" s="100"/>
      <c r="OW16" s="100"/>
      <c r="OX16" s="100"/>
      <c r="OY16" s="100"/>
      <c r="OZ16" s="100"/>
      <c r="PA16" s="100"/>
      <c r="PB16" s="100"/>
      <c r="PC16" s="100"/>
      <c r="PD16" s="100"/>
      <c r="PE16" s="100"/>
      <c r="PF16" s="100"/>
      <c r="PG16" s="100"/>
      <c r="PH16" s="100"/>
      <c r="PI16" s="100"/>
      <c r="PJ16" s="100"/>
      <c r="PK16" s="100"/>
      <c r="PL16" s="100"/>
      <c r="PM16" s="100"/>
      <c r="PN16" s="100"/>
      <c r="PO16" s="100"/>
      <c r="PP16" s="100"/>
      <c r="PQ16" s="100"/>
      <c r="PR16" s="100"/>
      <c r="PS16" s="100"/>
      <c r="PT16" s="100"/>
      <c r="PU16" s="100"/>
      <c r="PV16" s="100"/>
      <c r="PW16" s="100"/>
      <c r="PX16" s="100"/>
      <c r="PY16" s="100"/>
      <c r="PZ16" s="100"/>
      <c r="QA16" s="100"/>
      <c r="QB16" s="100"/>
      <c r="QC16" s="100"/>
      <c r="QD16" s="100"/>
      <c r="QE16" s="100"/>
      <c r="QF16" s="100"/>
      <c r="QG16" s="100"/>
      <c r="QH16" s="100"/>
      <c r="QI16" s="100"/>
      <c r="QJ16" s="100"/>
      <c r="QK16" s="100"/>
      <c r="QL16" s="100"/>
      <c r="QM16" s="100"/>
      <c r="QN16" s="100"/>
      <c r="QO16" s="100"/>
      <c r="QP16" s="100"/>
      <c r="QQ16" s="100"/>
      <c r="QR16" s="100"/>
      <c r="QS16" s="100"/>
      <c r="QT16" s="100"/>
      <c r="QU16" s="100"/>
      <c r="QV16" s="100"/>
      <c r="QW16" s="100"/>
      <c r="QX16" s="100"/>
      <c r="QY16" s="23">
        <f t="shared" si="0"/>
        <v>100</v>
      </c>
      <c r="QZ16" s="47" t="s">
        <v>36</v>
      </c>
      <c r="RA16" s="97">
        <v>5224.43</v>
      </c>
      <c r="RB16" s="63">
        <f>RE16+RF16</f>
        <v>0</v>
      </c>
      <c r="RC16" s="63">
        <v>3185</v>
      </c>
      <c r="RD16" s="97">
        <f t="shared" si="1"/>
        <v>5224.43</v>
      </c>
      <c r="RE16" s="107"/>
      <c r="RF16" s="107"/>
      <c r="RG16" s="83">
        <f t="shared" si="2"/>
        <v>1.6403233908948196</v>
      </c>
      <c r="RH16" s="116" t="s">
        <v>540</v>
      </c>
    </row>
    <row r="17" spans="1:476" s="5" customFormat="1" ht="12.75" customHeight="1" x14ac:dyDescent="0.25">
      <c r="A17" s="48">
        <v>44945</v>
      </c>
      <c r="B17" s="81" t="s">
        <v>532</v>
      </c>
      <c r="C17" s="98"/>
      <c r="D17" s="98"/>
      <c r="E17" s="99"/>
      <c r="F17" s="99"/>
      <c r="G17" s="99"/>
      <c r="H17" s="99"/>
      <c r="I17" s="99"/>
      <c r="J17" s="99"/>
      <c r="K17" s="99"/>
      <c r="L17" s="99"/>
      <c r="M17" s="99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>
        <v>20</v>
      </c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  <c r="JP17" s="100"/>
      <c r="JQ17" s="100"/>
      <c r="JR17" s="100"/>
      <c r="JS17" s="100"/>
      <c r="JT17" s="100"/>
      <c r="JU17" s="100"/>
      <c r="JV17" s="100"/>
      <c r="JW17" s="100"/>
      <c r="JX17" s="100"/>
      <c r="JY17" s="100"/>
      <c r="JZ17" s="100"/>
      <c r="KA17" s="100"/>
      <c r="KB17" s="100"/>
      <c r="KC17" s="100"/>
      <c r="KD17" s="100"/>
      <c r="KE17" s="100"/>
      <c r="KF17" s="100"/>
      <c r="KG17" s="100"/>
      <c r="KH17" s="100"/>
      <c r="KI17" s="100"/>
      <c r="KJ17" s="100"/>
      <c r="KK17" s="100"/>
      <c r="KL17" s="100"/>
      <c r="KM17" s="100"/>
      <c r="KN17" s="100"/>
      <c r="KO17" s="100"/>
      <c r="KP17" s="100"/>
      <c r="KQ17" s="100"/>
      <c r="KR17" s="100"/>
      <c r="KS17" s="100"/>
      <c r="KT17" s="100"/>
      <c r="KU17" s="100"/>
      <c r="KV17" s="100"/>
      <c r="KW17" s="100"/>
      <c r="KX17" s="100"/>
      <c r="KY17" s="100"/>
      <c r="KZ17" s="100">
        <v>10</v>
      </c>
      <c r="LA17" s="100"/>
      <c r="LB17" s="100"/>
      <c r="LC17" s="100"/>
      <c r="LD17" s="100"/>
      <c r="LE17" s="100"/>
      <c r="LF17" s="100"/>
      <c r="LG17" s="100"/>
      <c r="LH17" s="100"/>
      <c r="LI17" s="100"/>
      <c r="LJ17" s="100"/>
      <c r="LK17" s="100"/>
      <c r="LL17" s="100"/>
      <c r="LM17" s="100"/>
      <c r="LN17" s="100"/>
      <c r="LO17" s="100"/>
      <c r="LP17" s="100"/>
      <c r="LQ17" s="100"/>
      <c r="LR17" s="100"/>
      <c r="LS17" s="100"/>
      <c r="LT17" s="100"/>
      <c r="LU17" s="100"/>
      <c r="LV17" s="100"/>
      <c r="LW17" s="100"/>
      <c r="LX17" s="100"/>
      <c r="LY17" s="100"/>
      <c r="LZ17" s="100"/>
      <c r="MA17" s="100"/>
      <c r="MB17" s="100"/>
      <c r="MC17" s="100"/>
      <c r="MD17" s="100"/>
      <c r="ME17" s="100"/>
      <c r="MF17" s="100"/>
      <c r="MG17" s="100"/>
      <c r="MH17" s="100"/>
      <c r="MI17" s="100"/>
      <c r="MJ17" s="100"/>
      <c r="MK17" s="100"/>
      <c r="ML17" s="100"/>
      <c r="MM17" s="100"/>
      <c r="MN17" s="100"/>
      <c r="MO17" s="100"/>
      <c r="MP17" s="100"/>
      <c r="MQ17" s="100"/>
      <c r="MR17" s="100"/>
      <c r="MS17" s="100"/>
      <c r="MT17" s="100"/>
      <c r="MU17" s="100"/>
      <c r="MV17" s="100"/>
      <c r="MW17" s="100"/>
      <c r="MX17" s="100"/>
      <c r="MY17" s="100"/>
      <c r="MZ17" s="100"/>
      <c r="NA17" s="100"/>
      <c r="NB17" s="100"/>
      <c r="NC17" s="100"/>
      <c r="ND17" s="100"/>
      <c r="NE17" s="100"/>
      <c r="NF17" s="100"/>
      <c r="NG17" s="100"/>
      <c r="NH17" s="100"/>
      <c r="NI17" s="100"/>
      <c r="NJ17" s="100"/>
      <c r="NK17" s="100"/>
      <c r="NL17" s="100"/>
      <c r="NM17" s="100"/>
      <c r="NN17" s="100"/>
      <c r="NO17" s="100"/>
      <c r="NP17" s="100"/>
      <c r="NQ17" s="100"/>
      <c r="NR17" s="100"/>
      <c r="NS17" s="100"/>
      <c r="NT17" s="100"/>
      <c r="NU17" s="100"/>
      <c r="NV17" s="100"/>
      <c r="NW17" s="100"/>
      <c r="NX17" s="100"/>
      <c r="NY17" s="100"/>
      <c r="NZ17" s="100"/>
      <c r="OA17" s="100"/>
      <c r="OB17" s="100"/>
      <c r="OC17" s="100"/>
      <c r="OD17" s="100"/>
      <c r="OE17" s="100"/>
      <c r="OF17" s="100"/>
      <c r="OG17" s="100"/>
      <c r="OH17" s="100"/>
      <c r="OI17" s="100"/>
      <c r="OJ17" s="100"/>
      <c r="OK17" s="100"/>
      <c r="OL17" s="100"/>
      <c r="OM17" s="100"/>
      <c r="ON17" s="100"/>
      <c r="OO17" s="100"/>
      <c r="OP17" s="100"/>
      <c r="OQ17" s="100"/>
      <c r="OR17" s="100"/>
      <c r="OS17" s="100"/>
      <c r="OT17" s="100"/>
      <c r="OU17" s="100"/>
      <c r="OV17" s="100"/>
      <c r="OW17" s="100"/>
      <c r="OX17" s="100"/>
      <c r="OY17" s="100"/>
      <c r="OZ17" s="100"/>
      <c r="PA17" s="100"/>
      <c r="PB17" s="100"/>
      <c r="PC17" s="100"/>
      <c r="PD17" s="100"/>
      <c r="PE17" s="100"/>
      <c r="PF17" s="100"/>
      <c r="PG17" s="100"/>
      <c r="PH17" s="100"/>
      <c r="PI17" s="100"/>
      <c r="PJ17" s="100"/>
      <c r="PK17" s="100"/>
      <c r="PL17" s="100"/>
      <c r="PM17" s="100"/>
      <c r="PN17" s="100"/>
      <c r="PO17" s="100"/>
      <c r="PP17" s="100"/>
      <c r="PQ17" s="100"/>
      <c r="PR17" s="100"/>
      <c r="PS17" s="100"/>
      <c r="PT17" s="100"/>
      <c r="PU17" s="100"/>
      <c r="PV17" s="100"/>
      <c r="PW17" s="100"/>
      <c r="PX17" s="100"/>
      <c r="PY17" s="100"/>
      <c r="PZ17" s="100"/>
      <c r="QA17" s="100"/>
      <c r="QB17" s="100"/>
      <c r="QC17" s="100"/>
      <c r="QD17" s="100"/>
      <c r="QE17" s="100"/>
      <c r="QF17" s="100"/>
      <c r="QG17" s="100"/>
      <c r="QH17" s="100"/>
      <c r="QI17" s="100"/>
      <c r="QJ17" s="100"/>
      <c r="QK17" s="100"/>
      <c r="QL17" s="100"/>
      <c r="QM17" s="100"/>
      <c r="QN17" s="100"/>
      <c r="QO17" s="100"/>
      <c r="QP17" s="100"/>
      <c r="QQ17" s="100"/>
      <c r="QR17" s="100"/>
      <c r="QS17" s="100"/>
      <c r="QT17" s="100"/>
      <c r="QU17" s="100"/>
      <c r="QV17" s="100"/>
      <c r="QW17" s="100"/>
      <c r="QX17" s="100"/>
      <c r="QY17" s="23">
        <f t="shared" si="0"/>
        <v>30</v>
      </c>
      <c r="QZ17" s="47" t="s">
        <v>36</v>
      </c>
      <c r="RA17" s="97">
        <v>1443.6</v>
      </c>
      <c r="RB17" s="63">
        <f>RE17</f>
        <v>1443.6</v>
      </c>
      <c r="RC17" s="63">
        <v>793.90000000000009</v>
      </c>
      <c r="RD17" s="97">
        <f t="shared" si="1"/>
        <v>0</v>
      </c>
      <c r="RE17" s="107">
        <v>1443.6</v>
      </c>
      <c r="RF17" s="107"/>
      <c r="RG17" s="83">
        <f t="shared" si="2"/>
        <v>1.8183650333795185</v>
      </c>
      <c r="RH17" s="116"/>
    </row>
    <row r="18" spans="1:476" s="5" customFormat="1" ht="12.75" customHeight="1" x14ac:dyDescent="0.25">
      <c r="A18" s="48">
        <v>44945</v>
      </c>
      <c r="B18" s="81" t="s">
        <v>533</v>
      </c>
      <c r="C18" s="98"/>
      <c r="D18" s="98"/>
      <c r="E18" s="99"/>
      <c r="F18" s="99"/>
      <c r="G18" s="99"/>
      <c r="H18" s="99"/>
      <c r="I18" s="99"/>
      <c r="J18" s="99"/>
      <c r="K18" s="99"/>
      <c r="L18" s="99"/>
      <c r="M18" s="99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>
        <v>30</v>
      </c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  <c r="IX18" s="100"/>
      <c r="IY18" s="100"/>
      <c r="IZ18" s="100"/>
      <c r="JA18" s="100"/>
      <c r="JB18" s="100"/>
      <c r="JC18" s="100"/>
      <c r="JD18" s="100"/>
      <c r="JE18" s="100"/>
      <c r="JF18" s="100"/>
      <c r="JG18" s="100"/>
      <c r="JH18" s="100"/>
      <c r="JI18" s="100"/>
      <c r="JJ18" s="100"/>
      <c r="JK18" s="100"/>
      <c r="JL18" s="100"/>
      <c r="JM18" s="100"/>
      <c r="JN18" s="100"/>
      <c r="JO18" s="100"/>
      <c r="JP18" s="100"/>
      <c r="JQ18" s="100"/>
      <c r="JR18" s="100"/>
      <c r="JS18" s="100"/>
      <c r="JT18" s="100"/>
      <c r="JU18" s="100"/>
      <c r="JV18" s="100"/>
      <c r="JW18" s="100"/>
      <c r="JX18" s="100"/>
      <c r="JY18" s="100"/>
      <c r="JZ18" s="100"/>
      <c r="KA18" s="100"/>
      <c r="KB18" s="100"/>
      <c r="KC18" s="100"/>
      <c r="KD18" s="100"/>
      <c r="KE18" s="100"/>
      <c r="KF18" s="100"/>
      <c r="KG18" s="100"/>
      <c r="KH18" s="100"/>
      <c r="KI18" s="100"/>
      <c r="KJ18" s="100"/>
      <c r="KK18" s="100"/>
      <c r="KL18" s="100"/>
      <c r="KM18" s="100"/>
      <c r="KN18" s="100"/>
      <c r="KO18" s="100"/>
      <c r="KP18" s="100"/>
      <c r="KQ18" s="100"/>
      <c r="KR18" s="100"/>
      <c r="KS18" s="100"/>
      <c r="KT18" s="100"/>
      <c r="KU18" s="100"/>
      <c r="KV18" s="100"/>
      <c r="KW18" s="100"/>
      <c r="KX18" s="100"/>
      <c r="KY18" s="100"/>
      <c r="KZ18" s="100"/>
      <c r="LA18" s="100"/>
      <c r="LB18" s="100"/>
      <c r="LC18" s="100"/>
      <c r="LD18" s="100"/>
      <c r="LE18" s="100"/>
      <c r="LF18" s="100"/>
      <c r="LG18" s="100"/>
      <c r="LH18" s="100"/>
      <c r="LI18" s="100"/>
      <c r="LJ18" s="100"/>
      <c r="LK18" s="100"/>
      <c r="LL18" s="100"/>
      <c r="LM18" s="100"/>
      <c r="LN18" s="100"/>
      <c r="LO18" s="100"/>
      <c r="LP18" s="100"/>
      <c r="LQ18" s="100"/>
      <c r="LR18" s="100"/>
      <c r="LS18" s="100"/>
      <c r="LT18" s="100"/>
      <c r="LU18" s="100"/>
      <c r="LV18" s="100"/>
      <c r="LW18" s="100"/>
      <c r="LX18" s="100"/>
      <c r="LY18" s="100"/>
      <c r="LZ18" s="100"/>
      <c r="MA18" s="100"/>
      <c r="MB18" s="100"/>
      <c r="MC18" s="100"/>
      <c r="MD18" s="100"/>
      <c r="ME18" s="100"/>
      <c r="MF18" s="100"/>
      <c r="MG18" s="100"/>
      <c r="MH18" s="100"/>
      <c r="MI18" s="100"/>
      <c r="MJ18" s="100"/>
      <c r="MK18" s="100"/>
      <c r="ML18" s="100"/>
      <c r="MM18" s="100"/>
      <c r="MN18" s="100"/>
      <c r="MO18" s="100"/>
      <c r="MP18" s="100"/>
      <c r="MQ18" s="100"/>
      <c r="MR18" s="100"/>
      <c r="MS18" s="100"/>
      <c r="MT18" s="100"/>
      <c r="MU18" s="100"/>
      <c r="MV18" s="100"/>
      <c r="MW18" s="100"/>
      <c r="MX18" s="100"/>
      <c r="MY18" s="100"/>
      <c r="MZ18" s="100"/>
      <c r="NA18" s="100"/>
      <c r="NB18" s="100"/>
      <c r="NC18" s="100"/>
      <c r="ND18" s="100"/>
      <c r="NE18" s="100"/>
      <c r="NF18" s="100"/>
      <c r="NG18" s="100"/>
      <c r="NH18" s="100"/>
      <c r="NI18" s="100"/>
      <c r="NJ18" s="100"/>
      <c r="NK18" s="100"/>
      <c r="NL18" s="100"/>
      <c r="NM18" s="100"/>
      <c r="NN18" s="100"/>
      <c r="NO18" s="100"/>
      <c r="NP18" s="100"/>
      <c r="NQ18" s="100"/>
      <c r="NR18" s="100"/>
      <c r="NS18" s="100"/>
      <c r="NT18" s="100"/>
      <c r="NU18" s="100"/>
      <c r="NV18" s="100"/>
      <c r="NW18" s="100"/>
      <c r="NX18" s="100"/>
      <c r="NY18" s="100"/>
      <c r="NZ18" s="100"/>
      <c r="OA18" s="100"/>
      <c r="OB18" s="100"/>
      <c r="OC18" s="100"/>
      <c r="OD18" s="100"/>
      <c r="OE18" s="100"/>
      <c r="OF18" s="100"/>
      <c r="OG18" s="100"/>
      <c r="OH18" s="100"/>
      <c r="OI18" s="100"/>
      <c r="OJ18" s="100"/>
      <c r="OK18" s="100"/>
      <c r="OL18" s="100"/>
      <c r="OM18" s="100"/>
      <c r="ON18" s="100"/>
      <c r="OO18" s="100"/>
      <c r="OP18" s="100"/>
      <c r="OQ18" s="100"/>
      <c r="OR18" s="100"/>
      <c r="OS18" s="100"/>
      <c r="OT18" s="100"/>
      <c r="OU18" s="100"/>
      <c r="OV18" s="100"/>
      <c r="OW18" s="100"/>
      <c r="OX18" s="100"/>
      <c r="OY18" s="100"/>
      <c r="OZ18" s="100"/>
      <c r="PA18" s="100"/>
      <c r="PB18" s="100"/>
      <c r="PC18" s="100"/>
      <c r="PD18" s="100"/>
      <c r="PE18" s="100"/>
      <c r="PF18" s="100"/>
      <c r="PG18" s="100"/>
      <c r="PH18" s="100"/>
      <c r="PI18" s="100"/>
      <c r="PJ18" s="100"/>
      <c r="PK18" s="100"/>
      <c r="PL18" s="100"/>
      <c r="PM18" s="100"/>
      <c r="PN18" s="100"/>
      <c r="PO18" s="100"/>
      <c r="PP18" s="100"/>
      <c r="PQ18" s="100"/>
      <c r="PR18" s="100"/>
      <c r="PS18" s="100"/>
      <c r="PT18" s="100"/>
      <c r="PU18" s="100"/>
      <c r="PV18" s="100"/>
      <c r="PW18" s="100"/>
      <c r="PX18" s="100"/>
      <c r="PY18" s="100"/>
      <c r="PZ18" s="100"/>
      <c r="QA18" s="100"/>
      <c r="QB18" s="100"/>
      <c r="QC18" s="100"/>
      <c r="QD18" s="100"/>
      <c r="QE18" s="100"/>
      <c r="QF18" s="100"/>
      <c r="QG18" s="100"/>
      <c r="QH18" s="100"/>
      <c r="QI18" s="100"/>
      <c r="QJ18" s="100"/>
      <c r="QK18" s="100"/>
      <c r="QL18" s="100"/>
      <c r="QM18" s="100"/>
      <c r="QN18" s="100"/>
      <c r="QO18" s="100"/>
      <c r="QP18" s="100"/>
      <c r="QQ18" s="100"/>
      <c r="QR18" s="100"/>
      <c r="QS18" s="100"/>
      <c r="QT18" s="100"/>
      <c r="QU18" s="100"/>
      <c r="QV18" s="100"/>
      <c r="QW18" s="100"/>
      <c r="QX18" s="100"/>
      <c r="QY18" s="23">
        <f t="shared" si="0"/>
        <v>30</v>
      </c>
      <c r="QZ18" s="47" t="s">
        <v>36</v>
      </c>
      <c r="RA18" s="97">
        <v>1479.24</v>
      </c>
      <c r="RB18" s="63">
        <f>RE18</f>
        <v>1479.24</v>
      </c>
      <c r="RC18" s="63">
        <v>953.40000000000009</v>
      </c>
      <c r="RD18" s="97">
        <f t="shared" si="1"/>
        <v>0</v>
      </c>
      <c r="RE18" s="107">
        <v>1479.24</v>
      </c>
      <c r="RF18" s="107"/>
      <c r="RG18" s="83">
        <f t="shared" si="2"/>
        <v>1.5515418502202643</v>
      </c>
      <c r="RH18" s="116" t="s">
        <v>541</v>
      </c>
    </row>
    <row r="19" spans="1:476" s="5" customFormat="1" ht="12.75" customHeight="1" x14ac:dyDescent="0.25">
      <c r="A19" s="48">
        <v>44946</v>
      </c>
      <c r="B19" s="90" t="s">
        <v>278</v>
      </c>
      <c r="C19" s="98"/>
      <c r="D19" s="98"/>
      <c r="E19" s="99"/>
      <c r="F19" s="99"/>
      <c r="G19" s="99"/>
      <c r="H19" s="99"/>
      <c r="I19" s="99"/>
      <c r="J19" s="99"/>
      <c r="K19" s="99"/>
      <c r="L19" s="99"/>
      <c r="M19" s="99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>
        <v>20</v>
      </c>
      <c r="BP19" s="100"/>
      <c r="BQ19" s="100"/>
      <c r="BR19" s="100"/>
      <c r="BS19" s="100">
        <v>20</v>
      </c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>
        <v>10</v>
      </c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  <c r="IX19" s="100"/>
      <c r="IY19" s="100"/>
      <c r="IZ19" s="100"/>
      <c r="JA19" s="100"/>
      <c r="JB19" s="100"/>
      <c r="JC19" s="100"/>
      <c r="JD19" s="100"/>
      <c r="JE19" s="100"/>
      <c r="JF19" s="100"/>
      <c r="JG19" s="100"/>
      <c r="JH19" s="100"/>
      <c r="JI19" s="100"/>
      <c r="JJ19" s="100"/>
      <c r="JK19" s="100"/>
      <c r="JL19" s="100"/>
      <c r="JM19" s="100"/>
      <c r="JN19" s="100"/>
      <c r="JO19" s="100"/>
      <c r="JP19" s="100"/>
      <c r="JQ19" s="100"/>
      <c r="JR19" s="100"/>
      <c r="JS19" s="100"/>
      <c r="JT19" s="100"/>
      <c r="JU19" s="100"/>
      <c r="JV19" s="100"/>
      <c r="JW19" s="100"/>
      <c r="JX19" s="100"/>
      <c r="JY19" s="100"/>
      <c r="JZ19" s="100"/>
      <c r="KA19" s="100"/>
      <c r="KB19" s="100"/>
      <c r="KC19" s="100"/>
      <c r="KD19" s="100"/>
      <c r="KE19" s="100"/>
      <c r="KF19" s="100"/>
      <c r="KG19" s="100"/>
      <c r="KH19" s="100"/>
      <c r="KI19" s="100"/>
      <c r="KJ19" s="100"/>
      <c r="KK19" s="100"/>
      <c r="KL19" s="100"/>
      <c r="KM19" s="100"/>
      <c r="KN19" s="100"/>
      <c r="KO19" s="100"/>
      <c r="KP19" s="100"/>
      <c r="KQ19" s="100"/>
      <c r="KR19" s="100"/>
      <c r="KS19" s="100"/>
      <c r="KT19" s="100"/>
      <c r="KU19" s="100"/>
      <c r="KV19" s="100"/>
      <c r="KW19" s="100"/>
      <c r="KX19" s="100"/>
      <c r="KY19" s="100"/>
      <c r="KZ19" s="100"/>
      <c r="LA19" s="100"/>
      <c r="LB19" s="100"/>
      <c r="LC19" s="100"/>
      <c r="LD19" s="100"/>
      <c r="LE19" s="100">
        <v>60</v>
      </c>
      <c r="LF19" s="100"/>
      <c r="LG19" s="100"/>
      <c r="LH19" s="100"/>
      <c r="LI19" s="100"/>
      <c r="LJ19" s="100"/>
      <c r="LK19" s="100"/>
      <c r="LL19" s="100"/>
      <c r="LM19" s="100"/>
      <c r="LN19" s="100"/>
      <c r="LO19" s="100"/>
      <c r="LP19" s="100"/>
      <c r="LQ19" s="100"/>
      <c r="LR19" s="100"/>
      <c r="LS19" s="100"/>
      <c r="LT19" s="100"/>
      <c r="LU19" s="100"/>
      <c r="LV19" s="100"/>
      <c r="LW19" s="100"/>
      <c r="LX19" s="100"/>
      <c r="LY19" s="100"/>
      <c r="LZ19" s="100"/>
      <c r="MA19" s="100"/>
      <c r="MB19" s="100"/>
      <c r="MC19" s="100"/>
      <c r="MD19" s="100"/>
      <c r="ME19" s="100"/>
      <c r="MF19" s="100"/>
      <c r="MG19" s="100"/>
      <c r="MH19" s="100"/>
      <c r="MI19" s="100"/>
      <c r="MJ19" s="100"/>
      <c r="MK19" s="100"/>
      <c r="ML19" s="100"/>
      <c r="MM19" s="100"/>
      <c r="MN19" s="100"/>
      <c r="MO19" s="100"/>
      <c r="MP19" s="100"/>
      <c r="MQ19" s="100"/>
      <c r="MR19" s="100"/>
      <c r="MS19" s="100"/>
      <c r="MT19" s="100"/>
      <c r="MU19" s="100"/>
      <c r="MV19" s="100"/>
      <c r="MW19" s="100"/>
      <c r="MX19" s="100"/>
      <c r="MY19" s="100"/>
      <c r="MZ19" s="100"/>
      <c r="NA19" s="100"/>
      <c r="NB19" s="100"/>
      <c r="NC19" s="100"/>
      <c r="ND19" s="100"/>
      <c r="NE19" s="100"/>
      <c r="NF19" s="100"/>
      <c r="NG19" s="100"/>
      <c r="NH19" s="100"/>
      <c r="NI19" s="100"/>
      <c r="NJ19" s="100"/>
      <c r="NK19" s="100"/>
      <c r="NL19" s="100"/>
      <c r="NM19" s="100"/>
      <c r="NN19" s="100"/>
      <c r="NO19" s="100"/>
      <c r="NP19" s="100"/>
      <c r="NQ19" s="100"/>
      <c r="NR19" s="100"/>
      <c r="NS19" s="100"/>
      <c r="NT19" s="100"/>
      <c r="NU19" s="100"/>
      <c r="NV19" s="100"/>
      <c r="NW19" s="100"/>
      <c r="NX19" s="100"/>
      <c r="NY19" s="100"/>
      <c r="NZ19" s="100"/>
      <c r="OA19" s="100"/>
      <c r="OB19" s="100"/>
      <c r="OC19" s="100"/>
      <c r="OD19" s="100"/>
      <c r="OE19" s="100"/>
      <c r="OF19" s="100"/>
      <c r="OG19" s="100"/>
      <c r="OH19" s="100"/>
      <c r="OI19" s="100"/>
      <c r="OJ19" s="100"/>
      <c r="OK19" s="100"/>
      <c r="OL19" s="100"/>
      <c r="OM19" s="100"/>
      <c r="ON19" s="100"/>
      <c r="OO19" s="100"/>
      <c r="OP19" s="100"/>
      <c r="OQ19" s="100"/>
      <c r="OR19" s="100"/>
      <c r="OS19" s="100"/>
      <c r="OT19" s="100"/>
      <c r="OU19" s="100"/>
      <c r="OV19" s="100"/>
      <c r="OW19" s="100"/>
      <c r="OX19" s="100"/>
      <c r="OY19" s="100"/>
      <c r="OZ19" s="100"/>
      <c r="PA19" s="100"/>
      <c r="PB19" s="100"/>
      <c r="PC19" s="100"/>
      <c r="PD19" s="100"/>
      <c r="PE19" s="100"/>
      <c r="PF19" s="100"/>
      <c r="PG19" s="100"/>
      <c r="PH19" s="100"/>
      <c r="PI19" s="100"/>
      <c r="PJ19" s="100"/>
      <c r="PK19" s="100"/>
      <c r="PL19" s="100"/>
      <c r="PM19" s="100"/>
      <c r="PN19" s="100"/>
      <c r="PO19" s="100"/>
      <c r="PP19" s="100"/>
      <c r="PQ19" s="100"/>
      <c r="PR19" s="100"/>
      <c r="PS19" s="100"/>
      <c r="PT19" s="100"/>
      <c r="PU19" s="100"/>
      <c r="PV19" s="100"/>
      <c r="PW19" s="100"/>
      <c r="PX19" s="100"/>
      <c r="PY19" s="100"/>
      <c r="PZ19" s="100"/>
      <c r="QA19" s="100"/>
      <c r="QB19" s="100"/>
      <c r="QC19" s="100"/>
      <c r="QD19" s="100"/>
      <c r="QE19" s="100"/>
      <c r="QF19" s="100"/>
      <c r="QG19" s="100"/>
      <c r="QH19" s="100"/>
      <c r="QI19" s="100"/>
      <c r="QJ19" s="100"/>
      <c r="QK19" s="100"/>
      <c r="QL19" s="100"/>
      <c r="QM19" s="100"/>
      <c r="QN19" s="100"/>
      <c r="QO19" s="100"/>
      <c r="QP19" s="100"/>
      <c r="QQ19" s="100"/>
      <c r="QR19" s="100"/>
      <c r="QS19" s="100"/>
      <c r="QT19" s="100"/>
      <c r="QU19" s="100"/>
      <c r="QV19" s="100"/>
      <c r="QW19" s="100"/>
      <c r="QX19" s="100"/>
      <c r="QY19" s="23">
        <f t="shared" si="0"/>
        <v>110</v>
      </c>
      <c r="QZ19" s="47" t="s">
        <v>36</v>
      </c>
      <c r="RA19" s="97">
        <f>4983.86-12.21</f>
        <v>4971.6499999999996</v>
      </c>
      <c r="RB19" s="63">
        <f>RE19+RF19</f>
        <v>4971.6499999999996</v>
      </c>
      <c r="RC19" s="63">
        <f>4311/1.2</f>
        <v>3592.5</v>
      </c>
      <c r="RD19" s="97">
        <f t="shared" si="1"/>
        <v>0</v>
      </c>
      <c r="RE19" s="107"/>
      <c r="RF19" s="107">
        <v>4971.6499999999996</v>
      </c>
      <c r="RG19" s="83">
        <f t="shared" si="2"/>
        <v>1.3838970076548363</v>
      </c>
      <c r="RH19" s="116" t="s">
        <v>542</v>
      </c>
    </row>
    <row r="20" spans="1:476" s="5" customFormat="1" ht="12.75" customHeight="1" x14ac:dyDescent="0.25">
      <c r="A20" s="48">
        <v>44946</v>
      </c>
      <c r="B20" s="81" t="s">
        <v>444</v>
      </c>
      <c r="C20" s="98"/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  <c r="IW20" s="100"/>
      <c r="IX20" s="100"/>
      <c r="IY20" s="100"/>
      <c r="IZ20" s="100"/>
      <c r="JA20" s="100"/>
      <c r="JB20" s="100"/>
      <c r="JC20" s="100"/>
      <c r="JD20" s="100"/>
      <c r="JE20" s="100"/>
      <c r="JF20" s="100"/>
      <c r="JG20" s="100"/>
      <c r="JH20" s="100"/>
      <c r="JI20" s="100"/>
      <c r="JJ20" s="100"/>
      <c r="JK20" s="100"/>
      <c r="JL20" s="100"/>
      <c r="JM20" s="100"/>
      <c r="JN20" s="100"/>
      <c r="JO20" s="100"/>
      <c r="JP20" s="100"/>
      <c r="JQ20" s="100"/>
      <c r="JR20" s="100"/>
      <c r="JS20" s="100"/>
      <c r="JT20" s="100"/>
      <c r="JU20" s="100"/>
      <c r="JV20" s="100"/>
      <c r="JW20" s="100"/>
      <c r="JX20" s="100"/>
      <c r="JY20" s="100"/>
      <c r="JZ20" s="100"/>
      <c r="KA20" s="100"/>
      <c r="KB20" s="100"/>
      <c r="KC20" s="100"/>
      <c r="KD20" s="100"/>
      <c r="KE20" s="100"/>
      <c r="KF20" s="100"/>
      <c r="KG20" s="100"/>
      <c r="KH20" s="100"/>
      <c r="KI20" s="100"/>
      <c r="KJ20" s="100"/>
      <c r="KK20" s="100"/>
      <c r="KL20" s="100"/>
      <c r="KM20" s="100"/>
      <c r="KN20" s="100"/>
      <c r="KO20" s="100"/>
      <c r="KP20" s="100"/>
      <c r="KQ20" s="100"/>
      <c r="KR20" s="100"/>
      <c r="KS20" s="100"/>
      <c r="KT20" s="100"/>
      <c r="KU20" s="100"/>
      <c r="KV20" s="100"/>
      <c r="KW20" s="100"/>
      <c r="KX20" s="100"/>
      <c r="KY20" s="100"/>
      <c r="KZ20" s="100"/>
      <c r="LA20" s="100"/>
      <c r="LB20" s="100"/>
      <c r="LC20" s="100"/>
      <c r="LD20" s="100"/>
      <c r="LE20" s="100"/>
      <c r="LF20" s="100"/>
      <c r="LG20" s="100"/>
      <c r="LH20" s="100"/>
      <c r="LI20" s="100"/>
      <c r="LJ20" s="100"/>
      <c r="LK20" s="100"/>
      <c r="LL20" s="100"/>
      <c r="LM20" s="100"/>
      <c r="LN20" s="100"/>
      <c r="LO20" s="100"/>
      <c r="LP20" s="100"/>
      <c r="LQ20" s="100"/>
      <c r="LR20" s="100"/>
      <c r="LS20" s="100"/>
      <c r="LT20" s="100"/>
      <c r="LU20" s="100"/>
      <c r="LV20" s="100"/>
      <c r="LW20" s="100"/>
      <c r="LX20" s="100"/>
      <c r="LY20" s="100"/>
      <c r="LZ20" s="100"/>
      <c r="MA20" s="100"/>
      <c r="MB20" s="100"/>
      <c r="MC20" s="100"/>
      <c r="MD20" s="100"/>
      <c r="ME20" s="100"/>
      <c r="MF20" s="100"/>
      <c r="MG20" s="100"/>
      <c r="MH20" s="100"/>
      <c r="MI20" s="100"/>
      <c r="MJ20" s="100"/>
      <c r="MK20" s="100"/>
      <c r="ML20" s="100"/>
      <c r="MM20" s="100"/>
      <c r="MN20" s="100"/>
      <c r="MO20" s="100"/>
      <c r="MP20" s="100"/>
      <c r="MQ20" s="100"/>
      <c r="MR20" s="100"/>
      <c r="MS20" s="100"/>
      <c r="MT20" s="100"/>
      <c r="MU20" s="100"/>
      <c r="MV20" s="100"/>
      <c r="MW20" s="100"/>
      <c r="MX20" s="100"/>
      <c r="MY20" s="100"/>
      <c r="MZ20" s="100"/>
      <c r="NA20" s="100"/>
      <c r="NB20" s="100"/>
      <c r="NC20" s="100"/>
      <c r="ND20" s="100"/>
      <c r="NE20" s="100"/>
      <c r="NF20" s="100"/>
      <c r="NG20" s="100"/>
      <c r="NH20" s="100"/>
      <c r="NI20" s="100"/>
      <c r="NJ20" s="100"/>
      <c r="NK20" s="100"/>
      <c r="NL20" s="100"/>
      <c r="NM20" s="100"/>
      <c r="NN20" s="100"/>
      <c r="NO20" s="100"/>
      <c r="NP20" s="100"/>
      <c r="NQ20" s="100"/>
      <c r="NR20" s="100"/>
      <c r="NS20" s="100"/>
      <c r="NT20" s="100"/>
      <c r="NU20" s="100"/>
      <c r="NV20" s="100"/>
      <c r="NW20" s="100"/>
      <c r="NX20" s="100"/>
      <c r="NY20" s="100"/>
      <c r="NZ20" s="100"/>
      <c r="OA20" s="100"/>
      <c r="OB20" s="100"/>
      <c r="OC20" s="100"/>
      <c r="OD20" s="100"/>
      <c r="OE20" s="100"/>
      <c r="OF20" s="100"/>
      <c r="OG20" s="100"/>
      <c r="OH20" s="100"/>
      <c r="OI20" s="100"/>
      <c r="OJ20" s="100"/>
      <c r="OK20" s="100"/>
      <c r="OL20" s="100"/>
      <c r="OM20" s="100"/>
      <c r="ON20" s="100"/>
      <c r="OO20" s="100"/>
      <c r="OP20" s="100"/>
      <c r="OQ20" s="100"/>
      <c r="OR20" s="100"/>
      <c r="OS20" s="100"/>
      <c r="OT20" s="100"/>
      <c r="OU20" s="100"/>
      <c r="OV20" s="100"/>
      <c r="OW20" s="100"/>
      <c r="OX20" s="100"/>
      <c r="OY20" s="100"/>
      <c r="OZ20" s="100"/>
      <c r="PA20" s="100"/>
      <c r="PB20" s="100"/>
      <c r="PC20" s="100"/>
      <c r="PD20" s="100"/>
      <c r="PE20" s="100"/>
      <c r="PF20" s="100"/>
      <c r="PG20" s="100"/>
      <c r="PH20" s="100"/>
      <c r="PI20" s="100"/>
      <c r="PJ20" s="100"/>
      <c r="PK20" s="100"/>
      <c r="PL20" s="100"/>
      <c r="PM20" s="100"/>
      <c r="PN20" s="100"/>
      <c r="PO20" s="100"/>
      <c r="PP20" s="100"/>
      <c r="PQ20" s="100"/>
      <c r="PR20" s="100"/>
      <c r="PS20" s="100"/>
      <c r="PT20" s="100"/>
      <c r="PU20" s="100"/>
      <c r="PV20" s="100"/>
      <c r="PW20" s="100">
        <v>108</v>
      </c>
      <c r="PX20" s="100"/>
      <c r="PY20" s="100"/>
      <c r="PZ20" s="100"/>
      <c r="QA20" s="100"/>
      <c r="QB20" s="100"/>
      <c r="QC20" s="100"/>
      <c r="QD20" s="100"/>
      <c r="QE20" s="100"/>
      <c r="QF20" s="100"/>
      <c r="QG20" s="100"/>
      <c r="QH20" s="100"/>
      <c r="QI20" s="100"/>
      <c r="QJ20" s="100"/>
      <c r="QK20" s="100"/>
      <c r="QL20" s="100"/>
      <c r="QM20" s="100"/>
      <c r="QN20" s="100"/>
      <c r="QO20" s="100"/>
      <c r="QP20" s="100"/>
      <c r="QQ20" s="100"/>
      <c r="QR20" s="100"/>
      <c r="QS20" s="100"/>
      <c r="QT20" s="100"/>
      <c r="QU20" s="100"/>
      <c r="QV20" s="100"/>
      <c r="QW20" s="100"/>
      <c r="QX20" s="100"/>
      <c r="QY20" s="23">
        <f t="shared" si="0"/>
        <v>108</v>
      </c>
      <c r="QZ20" s="47" t="s">
        <v>69</v>
      </c>
      <c r="RA20" s="97">
        <v>21214.22</v>
      </c>
      <c r="RB20" s="63">
        <f>RE20</f>
        <v>21214.22</v>
      </c>
      <c r="RC20" s="63">
        <v>15541.2</v>
      </c>
      <c r="RD20" s="97">
        <f t="shared" si="1"/>
        <v>0</v>
      </c>
      <c r="RE20" s="107">
        <v>21214.22</v>
      </c>
      <c r="RF20" s="107"/>
      <c r="RG20" s="83">
        <f t="shared" si="2"/>
        <v>1.3650310143360873</v>
      </c>
      <c r="RH20" s="116" t="s">
        <v>520</v>
      </c>
    </row>
    <row r="21" spans="1:476" s="5" customFormat="1" ht="12.75" customHeight="1" x14ac:dyDescent="0.25">
      <c r="A21" s="48">
        <v>44949</v>
      </c>
      <c r="B21" s="90" t="s">
        <v>88</v>
      </c>
      <c r="C21" s="98"/>
      <c r="D21" s="98"/>
      <c r="E21" s="99"/>
      <c r="F21" s="99"/>
      <c r="G21" s="99"/>
      <c r="H21" s="99"/>
      <c r="I21" s="99"/>
      <c r="J21" s="99"/>
      <c r="K21" s="99"/>
      <c r="L21" s="99"/>
      <c r="M21" s="99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>
        <v>10</v>
      </c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>
        <v>10</v>
      </c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  <c r="IW21" s="100"/>
      <c r="IX21" s="100"/>
      <c r="IY21" s="100"/>
      <c r="IZ21" s="100"/>
      <c r="JA21" s="100"/>
      <c r="JB21" s="100"/>
      <c r="JC21" s="100"/>
      <c r="JD21" s="100"/>
      <c r="JE21" s="100"/>
      <c r="JF21" s="100"/>
      <c r="JG21" s="100"/>
      <c r="JH21" s="100"/>
      <c r="JI21" s="100"/>
      <c r="JJ21" s="100"/>
      <c r="JK21" s="100"/>
      <c r="JL21" s="100"/>
      <c r="JM21" s="100"/>
      <c r="JN21" s="100"/>
      <c r="JO21" s="100"/>
      <c r="JP21" s="100"/>
      <c r="JQ21" s="100"/>
      <c r="JR21" s="100"/>
      <c r="JS21" s="100"/>
      <c r="JT21" s="100"/>
      <c r="JU21" s="100"/>
      <c r="JV21" s="100"/>
      <c r="JW21" s="100"/>
      <c r="JX21" s="100"/>
      <c r="JY21" s="100"/>
      <c r="JZ21" s="100"/>
      <c r="KA21" s="100"/>
      <c r="KB21" s="100"/>
      <c r="KC21" s="100"/>
      <c r="KD21" s="100"/>
      <c r="KE21" s="100"/>
      <c r="KF21" s="100"/>
      <c r="KG21" s="100"/>
      <c r="KH21" s="100"/>
      <c r="KI21" s="100"/>
      <c r="KJ21" s="100"/>
      <c r="KK21" s="100"/>
      <c r="KL21" s="100"/>
      <c r="KM21" s="100"/>
      <c r="KN21" s="100"/>
      <c r="KO21" s="100"/>
      <c r="KP21" s="100"/>
      <c r="KQ21" s="100"/>
      <c r="KR21" s="100"/>
      <c r="KS21" s="100"/>
      <c r="KT21" s="100"/>
      <c r="KU21" s="100"/>
      <c r="KV21" s="100"/>
      <c r="KW21" s="100"/>
      <c r="KX21" s="100"/>
      <c r="KY21" s="100"/>
      <c r="KZ21" s="100"/>
      <c r="LA21" s="100"/>
      <c r="LB21" s="100"/>
      <c r="LC21" s="100"/>
      <c r="LD21" s="100"/>
      <c r="LE21" s="100"/>
      <c r="LF21" s="100"/>
      <c r="LG21" s="100"/>
      <c r="LH21" s="100"/>
      <c r="LI21" s="100"/>
      <c r="LJ21" s="100"/>
      <c r="LK21" s="100"/>
      <c r="LL21" s="100"/>
      <c r="LM21" s="100"/>
      <c r="LN21" s="100"/>
      <c r="LO21" s="100"/>
      <c r="LP21" s="100"/>
      <c r="LQ21" s="100"/>
      <c r="LR21" s="100"/>
      <c r="LS21" s="100"/>
      <c r="LT21" s="100"/>
      <c r="LU21" s="100"/>
      <c r="LV21" s="100"/>
      <c r="LW21" s="100"/>
      <c r="LX21" s="100"/>
      <c r="LY21" s="100"/>
      <c r="LZ21" s="100"/>
      <c r="MA21" s="100"/>
      <c r="MB21" s="100"/>
      <c r="MC21" s="100"/>
      <c r="MD21" s="100"/>
      <c r="ME21" s="100"/>
      <c r="MF21" s="100"/>
      <c r="MG21" s="100"/>
      <c r="MH21" s="100"/>
      <c r="MI21" s="100"/>
      <c r="MJ21" s="100"/>
      <c r="MK21" s="100"/>
      <c r="ML21" s="100"/>
      <c r="MM21" s="100"/>
      <c r="MN21" s="100"/>
      <c r="MO21" s="100"/>
      <c r="MP21" s="100"/>
      <c r="MQ21" s="100"/>
      <c r="MR21" s="100"/>
      <c r="MS21" s="100"/>
      <c r="MT21" s="100"/>
      <c r="MU21" s="100"/>
      <c r="MV21" s="100"/>
      <c r="MW21" s="100"/>
      <c r="MX21" s="100"/>
      <c r="MY21" s="100"/>
      <c r="MZ21" s="100"/>
      <c r="NA21" s="100"/>
      <c r="NB21" s="100"/>
      <c r="NC21" s="100"/>
      <c r="ND21" s="100"/>
      <c r="NE21" s="100"/>
      <c r="NF21" s="100"/>
      <c r="NG21" s="100"/>
      <c r="NH21" s="100"/>
      <c r="NI21" s="100"/>
      <c r="NJ21" s="100"/>
      <c r="NK21" s="100"/>
      <c r="NL21" s="100"/>
      <c r="NM21" s="100"/>
      <c r="NN21" s="100"/>
      <c r="NO21" s="100"/>
      <c r="NP21" s="100"/>
      <c r="NQ21" s="100"/>
      <c r="NR21" s="100"/>
      <c r="NS21" s="100"/>
      <c r="NT21" s="100"/>
      <c r="NU21" s="100"/>
      <c r="NV21" s="100"/>
      <c r="NW21" s="100"/>
      <c r="NX21" s="100"/>
      <c r="NY21" s="100"/>
      <c r="NZ21" s="100"/>
      <c r="OA21" s="100"/>
      <c r="OB21" s="100"/>
      <c r="OC21" s="100"/>
      <c r="OD21" s="100"/>
      <c r="OE21" s="100"/>
      <c r="OF21" s="100"/>
      <c r="OG21" s="100"/>
      <c r="OH21" s="100"/>
      <c r="OI21" s="100"/>
      <c r="OJ21" s="100"/>
      <c r="OK21" s="100"/>
      <c r="OL21" s="100"/>
      <c r="OM21" s="100"/>
      <c r="ON21" s="100"/>
      <c r="OO21" s="100"/>
      <c r="OP21" s="100"/>
      <c r="OQ21" s="100"/>
      <c r="OR21" s="100"/>
      <c r="OS21" s="100"/>
      <c r="OT21" s="100"/>
      <c r="OU21" s="100"/>
      <c r="OV21" s="100"/>
      <c r="OW21" s="100"/>
      <c r="OX21" s="100"/>
      <c r="OY21" s="100"/>
      <c r="OZ21" s="100"/>
      <c r="PA21" s="100"/>
      <c r="PB21" s="100"/>
      <c r="PC21" s="100"/>
      <c r="PD21" s="100"/>
      <c r="PE21" s="100"/>
      <c r="PF21" s="100"/>
      <c r="PG21" s="100"/>
      <c r="PH21" s="100"/>
      <c r="PI21" s="100"/>
      <c r="PJ21" s="100"/>
      <c r="PK21" s="100"/>
      <c r="PL21" s="100"/>
      <c r="PM21" s="100"/>
      <c r="PN21" s="100"/>
      <c r="PO21" s="100"/>
      <c r="PP21" s="100"/>
      <c r="PQ21" s="100"/>
      <c r="PR21" s="100"/>
      <c r="PS21" s="100"/>
      <c r="PT21" s="100"/>
      <c r="PU21" s="100"/>
      <c r="PV21" s="100"/>
      <c r="PW21" s="100"/>
      <c r="PX21" s="100"/>
      <c r="PY21" s="100"/>
      <c r="PZ21" s="100"/>
      <c r="QA21" s="100"/>
      <c r="QB21" s="100"/>
      <c r="QC21" s="100"/>
      <c r="QD21" s="100"/>
      <c r="QE21" s="100"/>
      <c r="QF21" s="100"/>
      <c r="QG21" s="100"/>
      <c r="QH21" s="100"/>
      <c r="QI21" s="100"/>
      <c r="QJ21" s="100"/>
      <c r="QK21" s="100"/>
      <c r="QL21" s="100"/>
      <c r="QM21" s="100"/>
      <c r="QN21" s="100"/>
      <c r="QO21" s="100"/>
      <c r="QP21" s="100"/>
      <c r="QQ21" s="100"/>
      <c r="QR21" s="100"/>
      <c r="QS21" s="100"/>
      <c r="QT21" s="100"/>
      <c r="QU21" s="100"/>
      <c r="QV21" s="100"/>
      <c r="QW21" s="100"/>
      <c r="QX21" s="100"/>
      <c r="QY21" s="23">
        <f t="shared" si="0"/>
        <v>20</v>
      </c>
      <c r="QZ21" s="47" t="s">
        <v>36</v>
      </c>
      <c r="RA21" s="97">
        <v>1335.71</v>
      </c>
      <c r="RB21" s="63">
        <f>RE21+RF21</f>
        <v>0</v>
      </c>
      <c r="RC21" s="63">
        <v>816</v>
      </c>
      <c r="RD21" s="97">
        <f t="shared" si="1"/>
        <v>1335.71</v>
      </c>
      <c r="RE21" s="107"/>
      <c r="RF21" s="107"/>
      <c r="RG21" s="83">
        <f t="shared" si="2"/>
        <v>1.6368995098039216</v>
      </c>
      <c r="RH21" s="116" t="s">
        <v>543</v>
      </c>
    </row>
    <row r="22" spans="1:476" s="5" customFormat="1" ht="12.75" customHeight="1" x14ac:dyDescent="0.25">
      <c r="A22" s="48">
        <v>44950</v>
      </c>
      <c r="B22" s="90" t="s">
        <v>30</v>
      </c>
      <c r="C22" s="98"/>
      <c r="D22" s="98"/>
      <c r="E22" s="99"/>
      <c r="F22" s="99"/>
      <c r="G22" s="99"/>
      <c r="H22" s="99"/>
      <c r="I22" s="99"/>
      <c r="J22" s="99"/>
      <c r="K22" s="99"/>
      <c r="L22" s="99"/>
      <c r="M22" s="99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>
        <v>20</v>
      </c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>
        <v>200</v>
      </c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00"/>
      <c r="GG22" s="100"/>
      <c r="GH22" s="100"/>
      <c r="GI22" s="100"/>
      <c r="GJ22" s="100"/>
      <c r="GK22" s="100"/>
      <c r="GL22" s="100"/>
      <c r="GM22" s="100"/>
      <c r="GN22" s="100"/>
      <c r="GO22" s="100"/>
      <c r="GP22" s="100"/>
      <c r="GQ22" s="100"/>
      <c r="GR22" s="100"/>
      <c r="GS22" s="100"/>
      <c r="GT22" s="100"/>
      <c r="GU22" s="100"/>
      <c r="GV22" s="100"/>
      <c r="GW22" s="100"/>
      <c r="GX22" s="100"/>
      <c r="GY22" s="100"/>
      <c r="GZ22" s="10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00"/>
      <c r="HL22" s="100"/>
      <c r="HM22" s="100"/>
      <c r="HN22" s="100"/>
      <c r="HO22" s="100"/>
      <c r="HP22" s="100"/>
      <c r="HQ22" s="100"/>
      <c r="HR22" s="100"/>
      <c r="HS22" s="100"/>
      <c r="HT22" s="100"/>
      <c r="HU22" s="100"/>
      <c r="HV22" s="100"/>
      <c r="HW22" s="100"/>
      <c r="HX22" s="100"/>
      <c r="HY22" s="100"/>
      <c r="HZ22" s="100"/>
      <c r="IA22" s="100"/>
      <c r="IB22" s="100"/>
      <c r="IC22" s="100"/>
      <c r="ID22" s="100"/>
      <c r="IE22" s="100"/>
      <c r="IF22" s="100"/>
      <c r="IG22" s="100"/>
      <c r="IH22" s="100"/>
      <c r="II22" s="100"/>
      <c r="IJ22" s="100"/>
      <c r="IK22" s="100"/>
      <c r="IL22" s="100"/>
      <c r="IM22" s="100"/>
      <c r="IN22" s="100"/>
      <c r="IO22" s="100"/>
      <c r="IP22" s="100"/>
      <c r="IQ22" s="100"/>
      <c r="IR22" s="100"/>
      <c r="IS22" s="100"/>
      <c r="IT22" s="100"/>
      <c r="IU22" s="100"/>
      <c r="IV22" s="100"/>
      <c r="IW22" s="100"/>
      <c r="IX22" s="100"/>
      <c r="IY22" s="100"/>
      <c r="IZ22" s="100"/>
      <c r="JA22" s="100"/>
      <c r="JB22" s="100"/>
      <c r="JC22" s="100"/>
      <c r="JD22" s="100"/>
      <c r="JE22" s="100"/>
      <c r="JF22" s="100"/>
      <c r="JG22" s="100"/>
      <c r="JH22" s="100"/>
      <c r="JI22" s="100"/>
      <c r="JJ22" s="100"/>
      <c r="JK22" s="100"/>
      <c r="JL22" s="100"/>
      <c r="JM22" s="100"/>
      <c r="JN22" s="100"/>
      <c r="JO22" s="100"/>
      <c r="JP22" s="100"/>
      <c r="JQ22" s="100"/>
      <c r="JR22" s="100"/>
      <c r="JS22" s="100"/>
      <c r="JT22" s="100"/>
      <c r="JU22" s="100"/>
      <c r="JV22" s="100"/>
      <c r="JW22" s="100"/>
      <c r="JX22" s="100"/>
      <c r="JY22" s="100"/>
      <c r="JZ22" s="100"/>
      <c r="KA22" s="100"/>
      <c r="KB22" s="100"/>
      <c r="KC22" s="100"/>
      <c r="KD22" s="100"/>
      <c r="KE22" s="100"/>
      <c r="KF22" s="100"/>
      <c r="KG22" s="100"/>
      <c r="KH22" s="100"/>
      <c r="KI22" s="100"/>
      <c r="KJ22" s="100"/>
      <c r="KK22" s="100"/>
      <c r="KL22" s="100"/>
      <c r="KM22" s="100"/>
      <c r="KN22" s="100"/>
      <c r="KO22" s="100"/>
      <c r="KP22" s="100"/>
      <c r="KQ22" s="100"/>
      <c r="KR22" s="100"/>
      <c r="KS22" s="100"/>
      <c r="KT22" s="100"/>
      <c r="KU22" s="100"/>
      <c r="KV22" s="100"/>
      <c r="KW22" s="100"/>
      <c r="KX22" s="100"/>
      <c r="KY22" s="100"/>
      <c r="KZ22" s="100"/>
      <c r="LA22" s="100"/>
      <c r="LB22" s="100"/>
      <c r="LC22" s="100">
        <v>40</v>
      </c>
      <c r="LD22" s="100"/>
      <c r="LE22" s="100"/>
      <c r="LF22" s="100"/>
      <c r="LG22" s="100"/>
      <c r="LH22" s="100"/>
      <c r="LI22" s="100"/>
      <c r="LJ22" s="100"/>
      <c r="LK22" s="100"/>
      <c r="LL22" s="100"/>
      <c r="LM22" s="100"/>
      <c r="LN22" s="100"/>
      <c r="LO22" s="100"/>
      <c r="LP22" s="100"/>
      <c r="LQ22" s="100"/>
      <c r="LR22" s="100"/>
      <c r="LS22" s="100"/>
      <c r="LT22" s="100"/>
      <c r="LU22" s="100"/>
      <c r="LV22" s="100"/>
      <c r="LW22" s="100"/>
      <c r="LX22" s="100"/>
      <c r="LY22" s="100"/>
      <c r="LZ22" s="100"/>
      <c r="MA22" s="100"/>
      <c r="MB22" s="100"/>
      <c r="MC22" s="100"/>
      <c r="MD22" s="100"/>
      <c r="ME22" s="100"/>
      <c r="MF22" s="100"/>
      <c r="MG22" s="100"/>
      <c r="MH22" s="100"/>
      <c r="MI22" s="100"/>
      <c r="MJ22" s="100"/>
      <c r="MK22" s="100"/>
      <c r="ML22" s="100"/>
      <c r="MM22" s="100"/>
      <c r="MN22" s="100"/>
      <c r="MO22" s="100"/>
      <c r="MP22" s="100"/>
      <c r="MQ22" s="100"/>
      <c r="MR22" s="100"/>
      <c r="MS22" s="100"/>
      <c r="MT22" s="100"/>
      <c r="MU22" s="100"/>
      <c r="MV22" s="100"/>
      <c r="MW22" s="100"/>
      <c r="MX22" s="100"/>
      <c r="MY22" s="100"/>
      <c r="MZ22" s="100"/>
      <c r="NA22" s="100"/>
      <c r="NB22" s="100"/>
      <c r="NC22" s="100"/>
      <c r="ND22" s="100"/>
      <c r="NE22" s="100"/>
      <c r="NF22" s="100"/>
      <c r="NG22" s="100"/>
      <c r="NH22" s="100"/>
      <c r="NI22" s="100"/>
      <c r="NJ22" s="100"/>
      <c r="NK22" s="100"/>
      <c r="NL22" s="100"/>
      <c r="NM22" s="100"/>
      <c r="NN22" s="100"/>
      <c r="NO22" s="100"/>
      <c r="NP22" s="100"/>
      <c r="NQ22" s="100"/>
      <c r="NR22" s="100"/>
      <c r="NS22" s="100"/>
      <c r="NT22" s="100"/>
      <c r="NU22" s="100"/>
      <c r="NV22" s="100"/>
      <c r="NW22" s="100"/>
      <c r="NX22" s="100"/>
      <c r="NY22" s="100"/>
      <c r="NZ22" s="100"/>
      <c r="OA22" s="100"/>
      <c r="OB22" s="100"/>
      <c r="OC22" s="100"/>
      <c r="OD22" s="100"/>
      <c r="OE22" s="100"/>
      <c r="OF22" s="100"/>
      <c r="OG22" s="100"/>
      <c r="OH22" s="100"/>
      <c r="OI22" s="100"/>
      <c r="OJ22" s="100"/>
      <c r="OK22" s="100"/>
      <c r="OL22" s="100"/>
      <c r="OM22" s="100"/>
      <c r="ON22" s="100"/>
      <c r="OO22" s="100"/>
      <c r="OP22" s="100"/>
      <c r="OQ22" s="100"/>
      <c r="OR22" s="100"/>
      <c r="OS22" s="100"/>
      <c r="OT22" s="100"/>
      <c r="OU22" s="100"/>
      <c r="OV22" s="100"/>
      <c r="OW22" s="100"/>
      <c r="OX22" s="100"/>
      <c r="OY22" s="100"/>
      <c r="OZ22" s="100"/>
      <c r="PA22" s="100"/>
      <c r="PB22" s="100"/>
      <c r="PC22" s="100"/>
      <c r="PD22" s="100"/>
      <c r="PE22" s="100"/>
      <c r="PF22" s="100"/>
      <c r="PG22" s="100"/>
      <c r="PH22" s="100"/>
      <c r="PI22" s="100"/>
      <c r="PJ22" s="100"/>
      <c r="PK22" s="100"/>
      <c r="PL22" s="100"/>
      <c r="PM22" s="100"/>
      <c r="PN22" s="100"/>
      <c r="PO22" s="100"/>
      <c r="PP22" s="100"/>
      <c r="PQ22" s="100"/>
      <c r="PR22" s="100"/>
      <c r="PS22" s="100"/>
      <c r="PT22" s="100"/>
      <c r="PU22" s="100"/>
      <c r="PV22" s="100"/>
      <c r="PW22" s="100"/>
      <c r="PX22" s="100"/>
      <c r="PY22" s="100"/>
      <c r="PZ22" s="100"/>
      <c r="QA22" s="100"/>
      <c r="QB22" s="100"/>
      <c r="QC22" s="100"/>
      <c r="QD22" s="100"/>
      <c r="QE22" s="100"/>
      <c r="QF22" s="100"/>
      <c r="QG22" s="100"/>
      <c r="QH22" s="100"/>
      <c r="QI22" s="100"/>
      <c r="QJ22" s="100">
        <v>75</v>
      </c>
      <c r="QK22" s="100"/>
      <c r="QL22" s="100"/>
      <c r="QM22" s="100"/>
      <c r="QN22" s="100"/>
      <c r="QO22" s="100"/>
      <c r="QP22" s="100"/>
      <c r="QQ22" s="100"/>
      <c r="QR22" s="100"/>
      <c r="QS22" s="100"/>
      <c r="QT22" s="100"/>
      <c r="QU22" s="100"/>
      <c r="QV22" s="100"/>
      <c r="QW22" s="100"/>
      <c r="QX22" s="100"/>
      <c r="QY22" s="23">
        <f t="shared" si="0"/>
        <v>335</v>
      </c>
      <c r="QZ22" s="47" t="s">
        <v>36</v>
      </c>
      <c r="RA22" s="97">
        <v>21303.42</v>
      </c>
      <c r="RB22" s="63">
        <f>RE22+RF22</f>
        <v>0</v>
      </c>
      <c r="RC22" s="63">
        <v>13039.65</v>
      </c>
      <c r="RD22" s="97">
        <f t="shared" si="1"/>
        <v>21303.42</v>
      </c>
      <c r="RE22" s="107"/>
      <c r="RF22" s="107"/>
      <c r="RG22" s="83">
        <f t="shared" si="2"/>
        <v>1.6337417031898862</v>
      </c>
      <c r="RH22" s="116" t="s">
        <v>548</v>
      </c>
    </row>
    <row r="23" spans="1:476" s="5" customFormat="1" ht="12.75" customHeight="1" x14ac:dyDescent="0.25">
      <c r="A23" s="48">
        <v>44950</v>
      </c>
      <c r="B23" s="81" t="s">
        <v>533</v>
      </c>
      <c r="C23" s="98"/>
      <c r="D23" s="98"/>
      <c r="E23" s="99"/>
      <c r="F23" s="99"/>
      <c r="G23" s="99"/>
      <c r="H23" s="99"/>
      <c r="I23" s="99"/>
      <c r="J23" s="99"/>
      <c r="K23" s="99"/>
      <c r="L23" s="99"/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>
        <v>10</v>
      </c>
      <c r="DV23" s="100"/>
      <c r="DW23" s="100"/>
      <c r="DX23" s="100"/>
      <c r="DY23" s="100"/>
      <c r="DZ23" s="100"/>
      <c r="EA23" s="100"/>
      <c r="EB23" s="100">
        <v>22</v>
      </c>
      <c r="EC23" s="100"/>
      <c r="ED23" s="100"/>
      <c r="EE23" s="100"/>
      <c r="EF23" s="100"/>
      <c r="EG23" s="100"/>
      <c r="EH23" s="100">
        <v>5</v>
      </c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>
        <v>27</v>
      </c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0"/>
      <c r="GV23" s="100"/>
      <c r="GW23" s="100"/>
      <c r="GX23" s="100"/>
      <c r="GY23" s="100"/>
      <c r="GZ23" s="10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00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00"/>
      <c r="HX23" s="100"/>
      <c r="HY23" s="100"/>
      <c r="HZ23" s="100"/>
      <c r="IA23" s="100"/>
      <c r="IB23" s="100"/>
      <c r="IC23" s="100"/>
      <c r="ID23" s="100"/>
      <c r="IE23" s="100"/>
      <c r="IF23" s="100"/>
      <c r="IG23" s="100"/>
      <c r="IH23" s="100"/>
      <c r="II23" s="100"/>
      <c r="IJ23" s="100"/>
      <c r="IK23" s="100"/>
      <c r="IL23" s="100"/>
      <c r="IM23" s="100"/>
      <c r="IN23" s="100"/>
      <c r="IO23" s="100"/>
      <c r="IP23" s="100"/>
      <c r="IQ23" s="100"/>
      <c r="IR23" s="100"/>
      <c r="IS23" s="100"/>
      <c r="IT23" s="100"/>
      <c r="IU23" s="100"/>
      <c r="IV23" s="100"/>
      <c r="IW23" s="100"/>
      <c r="IX23" s="100"/>
      <c r="IY23" s="100"/>
      <c r="IZ23" s="100"/>
      <c r="JA23" s="100"/>
      <c r="JB23" s="100"/>
      <c r="JC23" s="100"/>
      <c r="JD23" s="100"/>
      <c r="JE23" s="100"/>
      <c r="JF23" s="100"/>
      <c r="JG23" s="100"/>
      <c r="JH23" s="100"/>
      <c r="JI23" s="100"/>
      <c r="JJ23" s="100"/>
      <c r="JK23" s="100"/>
      <c r="JL23" s="100"/>
      <c r="JM23" s="100"/>
      <c r="JN23" s="100"/>
      <c r="JO23" s="100"/>
      <c r="JP23" s="100"/>
      <c r="JQ23" s="100"/>
      <c r="JR23" s="100"/>
      <c r="JS23" s="100"/>
      <c r="JT23" s="100"/>
      <c r="JU23" s="100"/>
      <c r="JV23" s="100"/>
      <c r="JW23" s="100"/>
      <c r="JX23" s="100"/>
      <c r="JY23" s="100"/>
      <c r="JZ23" s="100"/>
      <c r="KA23" s="100"/>
      <c r="KB23" s="100"/>
      <c r="KC23" s="100"/>
      <c r="KD23" s="100"/>
      <c r="KE23" s="100"/>
      <c r="KF23" s="100"/>
      <c r="KG23" s="100"/>
      <c r="KH23" s="100"/>
      <c r="KI23" s="100"/>
      <c r="KJ23" s="100"/>
      <c r="KK23" s="100"/>
      <c r="KL23" s="100"/>
      <c r="KM23" s="100"/>
      <c r="KN23" s="100"/>
      <c r="KO23" s="100"/>
      <c r="KP23" s="100"/>
      <c r="KQ23" s="100"/>
      <c r="KR23" s="100"/>
      <c r="KS23" s="100"/>
      <c r="KT23" s="100"/>
      <c r="KU23" s="100"/>
      <c r="KV23" s="100"/>
      <c r="KW23" s="100"/>
      <c r="KX23" s="100"/>
      <c r="KY23" s="100"/>
      <c r="KZ23" s="100"/>
      <c r="LA23" s="100"/>
      <c r="LB23" s="100"/>
      <c r="LC23" s="100"/>
      <c r="LD23" s="100"/>
      <c r="LE23" s="100"/>
      <c r="LF23" s="100"/>
      <c r="LG23" s="100"/>
      <c r="LH23" s="100"/>
      <c r="LI23" s="100"/>
      <c r="LJ23" s="100"/>
      <c r="LK23" s="100"/>
      <c r="LL23" s="100"/>
      <c r="LM23" s="100"/>
      <c r="LN23" s="100"/>
      <c r="LO23" s="100"/>
      <c r="LP23" s="100"/>
      <c r="LQ23" s="100"/>
      <c r="LR23" s="100"/>
      <c r="LS23" s="100"/>
      <c r="LT23" s="100"/>
      <c r="LU23" s="100"/>
      <c r="LV23" s="100"/>
      <c r="LW23" s="100"/>
      <c r="LX23" s="100"/>
      <c r="LY23" s="100"/>
      <c r="LZ23" s="100"/>
      <c r="MA23" s="100"/>
      <c r="MB23" s="100"/>
      <c r="MC23" s="100"/>
      <c r="MD23" s="100"/>
      <c r="ME23" s="100"/>
      <c r="MF23" s="100"/>
      <c r="MG23" s="100"/>
      <c r="MH23" s="100"/>
      <c r="MI23" s="100"/>
      <c r="MJ23" s="100"/>
      <c r="MK23" s="100"/>
      <c r="ML23" s="100"/>
      <c r="MM23" s="100"/>
      <c r="MN23" s="100"/>
      <c r="MO23" s="100"/>
      <c r="MP23" s="100"/>
      <c r="MQ23" s="100"/>
      <c r="MR23" s="100"/>
      <c r="MS23" s="100"/>
      <c r="MT23" s="100"/>
      <c r="MU23" s="100"/>
      <c r="MV23" s="100"/>
      <c r="MW23" s="100"/>
      <c r="MX23" s="100"/>
      <c r="MY23" s="100"/>
      <c r="MZ23" s="100"/>
      <c r="NA23" s="100"/>
      <c r="NB23" s="100"/>
      <c r="NC23" s="100"/>
      <c r="ND23" s="100"/>
      <c r="NE23" s="100"/>
      <c r="NF23" s="100"/>
      <c r="NG23" s="100"/>
      <c r="NH23" s="100"/>
      <c r="NI23" s="100"/>
      <c r="NJ23" s="100"/>
      <c r="NK23" s="100"/>
      <c r="NL23" s="100"/>
      <c r="NM23" s="100"/>
      <c r="NN23" s="100"/>
      <c r="NO23" s="100"/>
      <c r="NP23" s="100"/>
      <c r="NQ23" s="100"/>
      <c r="NR23" s="100"/>
      <c r="NS23" s="100"/>
      <c r="NT23" s="100"/>
      <c r="NU23" s="100"/>
      <c r="NV23" s="100"/>
      <c r="NW23" s="100"/>
      <c r="NX23" s="100"/>
      <c r="NY23" s="100"/>
      <c r="NZ23" s="100"/>
      <c r="OA23" s="100"/>
      <c r="OB23" s="100"/>
      <c r="OC23" s="100"/>
      <c r="OD23" s="100"/>
      <c r="OE23" s="100"/>
      <c r="OF23" s="100"/>
      <c r="OG23" s="100"/>
      <c r="OH23" s="100"/>
      <c r="OI23" s="100"/>
      <c r="OJ23" s="100"/>
      <c r="OK23" s="100"/>
      <c r="OL23" s="100"/>
      <c r="OM23" s="100"/>
      <c r="ON23" s="100"/>
      <c r="OO23" s="100"/>
      <c r="OP23" s="100"/>
      <c r="OQ23" s="100"/>
      <c r="OR23" s="100"/>
      <c r="OS23" s="100"/>
      <c r="OT23" s="100"/>
      <c r="OU23" s="100"/>
      <c r="OV23" s="100"/>
      <c r="OW23" s="100"/>
      <c r="OX23" s="100"/>
      <c r="OY23" s="100"/>
      <c r="OZ23" s="100"/>
      <c r="PA23" s="100"/>
      <c r="PB23" s="100"/>
      <c r="PC23" s="100"/>
      <c r="PD23" s="100"/>
      <c r="PE23" s="100"/>
      <c r="PF23" s="100"/>
      <c r="PG23" s="100"/>
      <c r="PH23" s="100"/>
      <c r="PI23" s="100"/>
      <c r="PJ23" s="100"/>
      <c r="PK23" s="100"/>
      <c r="PL23" s="100"/>
      <c r="PM23" s="100"/>
      <c r="PN23" s="100"/>
      <c r="PO23" s="100"/>
      <c r="PP23" s="100"/>
      <c r="PQ23" s="100"/>
      <c r="PR23" s="100"/>
      <c r="PS23" s="100"/>
      <c r="PT23" s="100"/>
      <c r="PU23" s="100"/>
      <c r="PV23" s="100"/>
      <c r="PW23" s="100"/>
      <c r="PX23" s="100"/>
      <c r="PY23" s="100"/>
      <c r="PZ23" s="100"/>
      <c r="QA23" s="100"/>
      <c r="QB23" s="100"/>
      <c r="QC23" s="100"/>
      <c r="QD23" s="100"/>
      <c r="QE23" s="100"/>
      <c r="QF23" s="100"/>
      <c r="QG23" s="100"/>
      <c r="QH23" s="100"/>
      <c r="QI23" s="100"/>
      <c r="QJ23" s="100"/>
      <c r="QK23" s="100"/>
      <c r="QL23" s="100"/>
      <c r="QM23" s="100"/>
      <c r="QN23" s="100"/>
      <c r="QO23" s="100"/>
      <c r="QP23" s="100"/>
      <c r="QQ23" s="100"/>
      <c r="QR23" s="100"/>
      <c r="QS23" s="100"/>
      <c r="QT23" s="100"/>
      <c r="QU23" s="100"/>
      <c r="QV23" s="100"/>
      <c r="QW23" s="100"/>
      <c r="QX23" s="100"/>
      <c r="QY23" s="23">
        <f t="shared" si="0"/>
        <v>64</v>
      </c>
      <c r="QZ23" s="47" t="s">
        <v>36</v>
      </c>
      <c r="RA23" s="97">
        <v>3552.12</v>
      </c>
      <c r="RB23" s="63">
        <f>RE23</f>
        <v>3552.12</v>
      </c>
      <c r="RC23" s="63">
        <v>2079.31</v>
      </c>
      <c r="RD23" s="97">
        <f t="shared" si="1"/>
        <v>0</v>
      </c>
      <c r="RE23" s="107">
        <v>3552.12</v>
      </c>
      <c r="RF23" s="107"/>
      <c r="RG23" s="83">
        <f t="shared" si="2"/>
        <v>1.7083167012133833</v>
      </c>
      <c r="RH23" s="116"/>
    </row>
    <row r="24" spans="1:476" s="5" customFormat="1" ht="12.75" customHeight="1" x14ac:dyDescent="0.25">
      <c r="A24" s="48">
        <v>44950</v>
      </c>
      <c r="B24" s="90" t="s">
        <v>75</v>
      </c>
      <c r="C24" s="98"/>
      <c r="D24" s="98"/>
      <c r="E24" s="99"/>
      <c r="F24" s="99"/>
      <c r="G24" s="99"/>
      <c r="H24" s="99"/>
      <c r="I24" s="99"/>
      <c r="J24" s="99"/>
      <c r="K24" s="99"/>
      <c r="L24" s="99"/>
      <c r="M24" s="99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  <c r="IX24" s="100"/>
      <c r="IY24" s="100"/>
      <c r="IZ24" s="100"/>
      <c r="JA24" s="100"/>
      <c r="JB24" s="100"/>
      <c r="JC24" s="100"/>
      <c r="JD24" s="100"/>
      <c r="JE24" s="100"/>
      <c r="JF24" s="100"/>
      <c r="JG24" s="100"/>
      <c r="JH24" s="100"/>
      <c r="JI24" s="100"/>
      <c r="JJ24" s="100"/>
      <c r="JK24" s="100"/>
      <c r="JL24" s="100"/>
      <c r="JM24" s="100"/>
      <c r="JN24" s="100"/>
      <c r="JO24" s="100"/>
      <c r="JP24" s="100"/>
      <c r="JQ24" s="100"/>
      <c r="JR24" s="100"/>
      <c r="JS24" s="100"/>
      <c r="JT24" s="100"/>
      <c r="JU24" s="100"/>
      <c r="JV24" s="100"/>
      <c r="JW24" s="100"/>
      <c r="JX24" s="100"/>
      <c r="JY24" s="100"/>
      <c r="JZ24" s="100"/>
      <c r="KA24" s="100"/>
      <c r="KB24" s="100"/>
      <c r="KC24" s="100"/>
      <c r="KD24" s="100"/>
      <c r="KE24" s="100"/>
      <c r="KF24" s="100"/>
      <c r="KG24" s="100"/>
      <c r="KH24" s="100"/>
      <c r="KI24" s="100"/>
      <c r="KJ24" s="100"/>
      <c r="KK24" s="100"/>
      <c r="KL24" s="100"/>
      <c r="KM24" s="100"/>
      <c r="KN24" s="100"/>
      <c r="KO24" s="100"/>
      <c r="KP24" s="100"/>
      <c r="KQ24" s="100"/>
      <c r="KR24" s="100"/>
      <c r="KS24" s="100"/>
      <c r="KT24" s="100"/>
      <c r="KU24" s="100"/>
      <c r="KV24" s="100"/>
      <c r="KW24" s="100"/>
      <c r="KX24" s="100"/>
      <c r="KY24" s="100"/>
      <c r="KZ24" s="100"/>
      <c r="LA24" s="100"/>
      <c r="LB24" s="100"/>
      <c r="LC24" s="100"/>
      <c r="LD24" s="100"/>
      <c r="LE24" s="100"/>
      <c r="LF24" s="100"/>
      <c r="LG24" s="100"/>
      <c r="LH24" s="100"/>
      <c r="LI24" s="100"/>
      <c r="LJ24" s="100"/>
      <c r="LK24" s="100"/>
      <c r="LL24" s="100"/>
      <c r="LM24" s="100"/>
      <c r="LN24" s="100"/>
      <c r="LO24" s="100"/>
      <c r="LP24" s="100"/>
      <c r="LQ24" s="100"/>
      <c r="LR24" s="100"/>
      <c r="LS24" s="100"/>
      <c r="LT24" s="100"/>
      <c r="LU24" s="100"/>
      <c r="LV24" s="100"/>
      <c r="LW24" s="100"/>
      <c r="LX24" s="100"/>
      <c r="LY24" s="100"/>
      <c r="LZ24" s="100"/>
      <c r="MA24" s="100"/>
      <c r="MB24" s="100"/>
      <c r="MC24" s="100"/>
      <c r="MD24" s="100"/>
      <c r="ME24" s="100"/>
      <c r="MF24" s="100"/>
      <c r="MG24" s="100"/>
      <c r="MH24" s="100"/>
      <c r="MI24" s="100"/>
      <c r="MJ24" s="100"/>
      <c r="MK24" s="100"/>
      <c r="ML24" s="100"/>
      <c r="MM24" s="100"/>
      <c r="MN24" s="100"/>
      <c r="MO24" s="100"/>
      <c r="MP24" s="100"/>
      <c r="MQ24" s="100"/>
      <c r="MR24" s="100"/>
      <c r="MS24" s="100"/>
      <c r="MT24" s="100"/>
      <c r="MU24" s="100"/>
      <c r="MV24" s="100"/>
      <c r="MW24" s="100"/>
      <c r="MX24" s="100"/>
      <c r="MY24" s="100"/>
      <c r="MZ24" s="100"/>
      <c r="NA24" s="100"/>
      <c r="NB24" s="100"/>
      <c r="NC24" s="100"/>
      <c r="ND24" s="100"/>
      <c r="NE24" s="100"/>
      <c r="NF24" s="100"/>
      <c r="NG24" s="100"/>
      <c r="NH24" s="100"/>
      <c r="NI24" s="100"/>
      <c r="NJ24" s="100"/>
      <c r="NK24" s="100"/>
      <c r="NL24" s="100"/>
      <c r="NM24" s="100"/>
      <c r="NN24" s="100"/>
      <c r="NO24" s="100"/>
      <c r="NP24" s="100"/>
      <c r="NQ24" s="100"/>
      <c r="NR24" s="100"/>
      <c r="NS24" s="100"/>
      <c r="NT24" s="100"/>
      <c r="NU24" s="100"/>
      <c r="NV24" s="100"/>
      <c r="NW24" s="100"/>
      <c r="NX24" s="100"/>
      <c r="NY24" s="100"/>
      <c r="NZ24" s="100"/>
      <c r="OA24" s="100"/>
      <c r="OB24" s="100"/>
      <c r="OC24" s="100"/>
      <c r="OD24" s="100"/>
      <c r="OE24" s="100"/>
      <c r="OF24" s="100"/>
      <c r="OG24" s="100"/>
      <c r="OH24" s="100"/>
      <c r="OI24" s="100"/>
      <c r="OJ24" s="100"/>
      <c r="OK24" s="100"/>
      <c r="OL24" s="100"/>
      <c r="OM24" s="100"/>
      <c r="ON24" s="100"/>
      <c r="OO24" s="100"/>
      <c r="OP24" s="100"/>
      <c r="OQ24" s="100"/>
      <c r="OR24" s="100"/>
      <c r="OS24" s="100"/>
      <c r="OT24" s="100"/>
      <c r="OU24" s="100"/>
      <c r="OV24" s="100"/>
      <c r="OW24" s="100"/>
      <c r="OX24" s="100"/>
      <c r="OY24" s="100"/>
      <c r="OZ24" s="100"/>
      <c r="PA24" s="100"/>
      <c r="PB24" s="100"/>
      <c r="PC24" s="100"/>
      <c r="PD24" s="100"/>
      <c r="PE24" s="100"/>
      <c r="PF24" s="100"/>
      <c r="PG24" s="100"/>
      <c r="PH24" s="100"/>
      <c r="PI24" s="100"/>
      <c r="PJ24" s="100"/>
      <c r="PK24" s="100"/>
      <c r="PL24" s="100"/>
      <c r="PM24" s="100"/>
      <c r="PN24" s="100"/>
      <c r="PO24" s="100"/>
      <c r="PP24" s="100"/>
      <c r="PQ24" s="100"/>
      <c r="PR24" s="100"/>
      <c r="PS24" s="100"/>
      <c r="PT24" s="100"/>
      <c r="PU24" s="100"/>
      <c r="PV24" s="100"/>
      <c r="PW24" s="100"/>
      <c r="PX24" s="100"/>
      <c r="PY24" s="100"/>
      <c r="PZ24" s="100"/>
      <c r="QA24" s="100"/>
      <c r="QB24" s="100"/>
      <c r="QC24" s="100"/>
      <c r="QD24" s="100"/>
      <c r="QE24" s="100"/>
      <c r="QF24" s="100"/>
      <c r="QG24" s="100"/>
      <c r="QH24" s="100"/>
      <c r="QI24" s="100"/>
      <c r="QJ24" s="100">
        <v>150</v>
      </c>
      <c r="QK24" s="100"/>
      <c r="QL24" s="100"/>
      <c r="QM24" s="100"/>
      <c r="QN24" s="100"/>
      <c r="QO24" s="100"/>
      <c r="QP24" s="100"/>
      <c r="QQ24" s="100"/>
      <c r="QR24" s="100"/>
      <c r="QS24" s="100"/>
      <c r="QT24" s="100"/>
      <c r="QU24" s="100"/>
      <c r="QV24" s="100"/>
      <c r="QW24" s="100"/>
      <c r="QX24" s="100"/>
      <c r="QY24" s="23">
        <f t="shared" si="0"/>
        <v>150</v>
      </c>
      <c r="QZ24" s="47" t="s">
        <v>91</v>
      </c>
      <c r="RA24" s="97">
        <v>8343</v>
      </c>
      <c r="RB24" s="63">
        <f>RE24+RF24</f>
        <v>0</v>
      </c>
      <c r="RC24" s="63">
        <v>5428.5</v>
      </c>
      <c r="RD24" s="97">
        <f t="shared" si="1"/>
        <v>8343</v>
      </c>
      <c r="RE24" s="107"/>
      <c r="RF24" s="107"/>
      <c r="RG24" s="83">
        <f t="shared" si="2"/>
        <v>1.536888643271622</v>
      </c>
      <c r="RH24" s="116"/>
    </row>
    <row r="25" spans="1:476" s="5" customFormat="1" ht="12.75" customHeight="1" x14ac:dyDescent="0.25">
      <c r="A25" s="48">
        <v>44950</v>
      </c>
      <c r="B25" s="81" t="s">
        <v>140</v>
      </c>
      <c r="C25" s="98"/>
      <c r="D25" s="98"/>
      <c r="E25" s="99"/>
      <c r="F25" s="99"/>
      <c r="G25" s="99"/>
      <c r="H25" s="99"/>
      <c r="I25" s="99"/>
      <c r="J25" s="99"/>
      <c r="K25" s="99"/>
      <c r="L25" s="99"/>
      <c r="M25" s="99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>
        <v>0.9</v>
      </c>
      <c r="EH25" s="100">
        <v>10</v>
      </c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>
        <v>10</v>
      </c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  <c r="IX25" s="100"/>
      <c r="IY25" s="100"/>
      <c r="IZ25" s="100"/>
      <c r="JA25" s="100"/>
      <c r="JB25" s="100"/>
      <c r="JC25" s="100"/>
      <c r="JD25" s="100"/>
      <c r="JE25" s="100"/>
      <c r="JF25" s="100"/>
      <c r="JG25" s="100"/>
      <c r="JH25" s="100"/>
      <c r="JI25" s="100"/>
      <c r="JJ25" s="100"/>
      <c r="JK25" s="100"/>
      <c r="JL25" s="100"/>
      <c r="JM25" s="100"/>
      <c r="JN25" s="100"/>
      <c r="JO25" s="100"/>
      <c r="JP25" s="100"/>
      <c r="JQ25" s="100"/>
      <c r="JR25" s="100"/>
      <c r="JS25" s="100"/>
      <c r="JT25" s="100"/>
      <c r="JU25" s="100"/>
      <c r="JV25" s="100"/>
      <c r="JW25" s="100"/>
      <c r="JX25" s="100"/>
      <c r="JY25" s="100"/>
      <c r="JZ25" s="100"/>
      <c r="KA25" s="100"/>
      <c r="KB25" s="100"/>
      <c r="KC25" s="100"/>
      <c r="KD25" s="100"/>
      <c r="KE25" s="100"/>
      <c r="KF25" s="100"/>
      <c r="KG25" s="100"/>
      <c r="KH25" s="100"/>
      <c r="KI25" s="100"/>
      <c r="KJ25" s="100"/>
      <c r="KK25" s="100"/>
      <c r="KL25" s="100"/>
      <c r="KM25" s="100"/>
      <c r="KN25" s="100"/>
      <c r="KO25" s="100"/>
      <c r="KP25" s="100"/>
      <c r="KQ25" s="100"/>
      <c r="KR25" s="100"/>
      <c r="KS25" s="100"/>
      <c r="KT25" s="100"/>
      <c r="KU25" s="100"/>
      <c r="KV25" s="100"/>
      <c r="KW25" s="100"/>
      <c r="KX25" s="100"/>
      <c r="KY25" s="100"/>
      <c r="KZ25" s="100"/>
      <c r="LA25" s="100"/>
      <c r="LB25" s="100"/>
      <c r="LC25" s="100"/>
      <c r="LD25" s="100"/>
      <c r="LE25" s="100"/>
      <c r="LF25" s="100"/>
      <c r="LG25" s="100"/>
      <c r="LH25" s="100"/>
      <c r="LI25" s="100"/>
      <c r="LJ25" s="100"/>
      <c r="LK25" s="100"/>
      <c r="LL25" s="100"/>
      <c r="LM25" s="100"/>
      <c r="LN25" s="100"/>
      <c r="LO25" s="100"/>
      <c r="LP25" s="100"/>
      <c r="LQ25" s="100"/>
      <c r="LR25" s="100"/>
      <c r="LS25" s="100"/>
      <c r="LT25" s="100"/>
      <c r="LU25" s="100"/>
      <c r="LV25" s="100"/>
      <c r="LW25" s="100"/>
      <c r="LX25" s="100"/>
      <c r="LY25" s="100"/>
      <c r="LZ25" s="100"/>
      <c r="MA25" s="100"/>
      <c r="MB25" s="100"/>
      <c r="MC25" s="100"/>
      <c r="MD25" s="100"/>
      <c r="ME25" s="100"/>
      <c r="MF25" s="100"/>
      <c r="MG25" s="100"/>
      <c r="MH25" s="100"/>
      <c r="MI25" s="100"/>
      <c r="MJ25" s="100"/>
      <c r="MK25" s="100"/>
      <c r="ML25" s="100"/>
      <c r="MM25" s="100"/>
      <c r="MN25" s="100"/>
      <c r="MO25" s="100"/>
      <c r="MP25" s="100"/>
      <c r="MQ25" s="100"/>
      <c r="MR25" s="100"/>
      <c r="MS25" s="100"/>
      <c r="MT25" s="100"/>
      <c r="MU25" s="100"/>
      <c r="MV25" s="100"/>
      <c r="MW25" s="100"/>
      <c r="MX25" s="100"/>
      <c r="MY25" s="100"/>
      <c r="MZ25" s="100"/>
      <c r="NA25" s="100"/>
      <c r="NB25" s="100"/>
      <c r="NC25" s="100"/>
      <c r="ND25" s="100"/>
      <c r="NE25" s="100"/>
      <c r="NF25" s="100"/>
      <c r="NG25" s="100"/>
      <c r="NH25" s="100"/>
      <c r="NI25" s="100"/>
      <c r="NJ25" s="100"/>
      <c r="NK25" s="100"/>
      <c r="NL25" s="100"/>
      <c r="NM25" s="100"/>
      <c r="NN25" s="100"/>
      <c r="NO25" s="100"/>
      <c r="NP25" s="100"/>
      <c r="NQ25" s="100"/>
      <c r="NR25" s="100"/>
      <c r="NS25" s="100"/>
      <c r="NT25" s="100"/>
      <c r="NU25" s="100"/>
      <c r="NV25" s="100"/>
      <c r="NW25" s="100"/>
      <c r="NX25" s="100"/>
      <c r="NY25" s="100"/>
      <c r="NZ25" s="100"/>
      <c r="OA25" s="100"/>
      <c r="OB25" s="100"/>
      <c r="OC25" s="100"/>
      <c r="OD25" s="100"/>
      <c r="OE25" s="100"/>
      <c r="OF25" s="100"/>
      <c r="OG25" s="100"/>
      <c r="OH25" s="100"/>
      <c r="OI25" s="100"/>
      <c r="OJ25" s="100"/>
      <c r="OK25" s="100"/>
      <c r="OL25" s="100"/>
      <c r="OM25" s="100"/>
      <c r="ON25" s="100"/>
      <c r="OO25" s="100"/>
      <c r="OP25" s="100"/>
      <c r="OQ25" s="100"/>
      <c r="OR25" s="100"/>
      <c r="OS25" s="100"/>
      <c r="OT25" s="100"/>
      <c r="OU25" s="100"/>
      <c r="OV25" s="100"/>
      <c r="OW25" s="100"/>
      <c r="OX25" s="100"/>
      <c r="OY25" s="100"/>
      <c r="OZ25" s="100"/>
      <c r="PA25" s="100"/>
      <c r="PB25" s="100"/>
      <c r="PC25" s="100"/>
      <c r="PD25" s="100"/>
      <c r="PE25" s="100"/>
      <c r="PF25" s="100"/>
      <c r="PG25" s="100"/>
      <c r="PH25" s="100"/>
      <c r="PI25" s="100"/>
      <c r="PJ25" s="100"/>
      <c r="PK25" s="100"/>
      <c r="PL25" s="100"/>
      <c r="PM25" s="100"/>
      <c r="PN25" s="100"/>
      <c r="PO25" s="100"/>
      <c r="PP25" s="100"/>
      <c r="PQ25" s="100"/>
      <c r="PR25" s="100"/>
      <c r="PS25" s="100"/>
      <c r="PT25" s="100"/>
      <c r="PU25" s="100"/>
      <c r="PV25" s="100"/>
      <c r="PW25" s="100"/>
      <c r="PX25" s="100"/>
      <c r="PY25" s="100"/>
      <c r="PZ25" s="100"/>
      <c r="QA25" s="100"/>
      <c r="QB25" s="100"/>
      <c r="QC25" s="100"/>
      <c r="QD25" s="100"/>
      <c r="QE25" s="100"/>
      <c r="QF25" s="100"/>
      <c r="QG25" s="100"/>
      <c r="QH25" s="100"/>
      <c r="QI25" s="100"/>
      <c r="QJ25" s="100"/>
      <c r="QK25" s="100"/>
      <c r="QL25" s="100"/>
      <c r="QM25" s="100"/>
      <c r="QN25" s="100"/>
      <c r="QO25" s="100"/>
      <c r="QP25" s="100"/>
      <c r="QQ25" s="100"/>
      <c r="QR25" s="100"/>
      <c r="QS25" s="100"/>
      <c r="QT25" s="100"/>
      <c r="QU25" s="100"/>
      <c r="QV25" s="100"/>
      <c r="QW25" s="100"/>
      <c r="QX25" s="100"/>
      <c r="QY25" s="23">
        <f t="shared" si="0"/>
        <v>20.9</v>
      </c>
      <c r="QZ25" s="47" t="s">
        <v>36</v>
      </c>
      <c r="RA25" s="97">
        <v>1209.08</v>
      </c>
      <c r="RB25" s="63">
        <f>RE25+RF25</f>
        <v>0</v>
      </c>
      <c r="RC25" s="63">
        <v>697.18900000000008</v>
      </c>
      <c r="RD25" s="97">
        <f t="shared" si="1"/>
        <v>1209.08</v>
      </c>
      <c r="RE25" s="107"/>
      <c r="RF25" s="107"/>
      <c r="RG25" s="83">
        <f t="shared" si="2"/>
        <v>1.7342212800259325</v>
      </c>
      <c r="RH25" s="116" t="s">
        <v>549</v>
      </c>
    </row>
    <row r="26" spans="1:476" s="5" customFormat="1" ht="12.75" customHeight="1" x14ac:dyDescent="0.25">
      <c r="A26" s="48">
        <v>44950</v>
      </c>
      <c r="B26" s="115" t="s">
        <v>544</v>
      </c>
      <c r="C26" s="98"/>
      <c r="D26" s="98"/>
      <c r="E26" s="99"/>
      <c r="F26" s="99"/>
      <c r="G26" s="99"/>
      <c r="H26" s="99"/>
      <c r="I26" s="99"/>
      <c r="J26" s="99"/>
      <c r="K26" s="99"/>
      <c r="L26" s="99"/>
      <c r="M26" s="99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>
        <v>30</v>
      </c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  <c r="IX26" s="100"/>
      <c r="IY26" s="100"/>
      <c r="IZ26" s="100"/>
      <c r="JA26" s="100"/>
      <c r="JB26" s="100"/>
      <c r="JC26" s="100"/>
      <c r="JD26" s="100"/>
      <c r="JE26" s="100"/>
      <c r="JF26" s="100"/>
      <c r="JG26" s="100"/>
      <c r="JH26" s="100"/>
      <c r="JI26" s="100"/>
      <c r="JJ26" s="100"/>
      <c r="JK26" s="100"/>
      <c r="JL26" s="100"/>
      <c r="JM26" s="100"/>
      <c r="JN26" s="100"/>
      <c r="JO26" s="100"/>
      <c r="JP26" s="100"/>
      <c r="JQ26" s="100"/>
      <c r="JR26" s="100"/>
      <c r="JS26" s="100"/>
      <c r="JT26" s="100"/>
      <c r="JU26" s="100"/>
      <c r="JV26" s="100"/>
      <c r="JW26" s="100"/>
      <c r="JX26" s="100"/>
      <c r="JY26" s="100"/>
      <c r="JZ26" s="100"/>
      <c r="KA26" s="100"/>
      <c r="KB26" s="100"/>
      <c r="KC26" s="100"/>
      <c r="KD26" s="100"/>
      <c r="KE26" s="100"/>
      <c r="KF26" s="100"/>
      <c r="KG26" s="100"/>
      <c r="KH26" s="100"/>
      <c r="KI26" s="100"/>
      <c r="KJ26" s="100"/>
      <c r="KK26" s="100"/>
      <c r="KL26" s="100"/>
      <c r="KM26" s="100"/>
      <c r="KN26" s="100"/>
      <c r="KO26" s="100"/>
      <c r="KP26" s="100"/>
      <c r="KQ26" s="100"/>
      <c r="KR26" s="100"/>
      <c r="KS26" s="100"/>
      <c r="KT26" s="100"/>
      <c r="KU26" s="100"/>
      <c r="KV26" s="100"/>
      <c r="KW26" s="100"/>
      <c r="KX26" s="100"/>
      <c r="KY26" s="100"/>
      <c r="KZ26" s="100"/>
      <c r="LA26" s="100"/>
      <c r="LB26" s="100"/>
      <c r="LC26" s="100"/>
      <c r="LD26" s="100"/>
      <c r="LE26" s="100"/>
      <c r="LF26" s="100"/>
      <c r="LG26" s="100"/>
      <c r="LH26" s="100"/>
      <c r="LI26" s="100"/>
      <c r="LJ26" s="100"/>
      <c r="LK26" s="100"/>
      <c r="LL26" s="100"/>
      <c r="LM26" s="100"/>
      <c r="LN26" s="100"/>
      <c r="LO26" s="100"/>
      <c r="LP26" s="100"/>
      <c r="LQ26" s="100"/>
      <c r="LR26" s="100"/>
      <c r="LS26" s="100"/>
      <c r="LT26" s="100"/>
      <c r="LU26" s="100"/>
      <c r="LV26" s="100"/>
      <c r="LW26" s="100"/>
      <c r="LX26" s="100"/>
      <c r="LY26" s="100"/>
      <c r="LZ26" s="100"/>
      <c r="MA26" s="100"/>
      <c r="MB26" s="100"/>
      <c r="MC26" s="100"/>
      <c r="MD26" s="100"/>
      <c r="ME26" s="100"/>
      <c r="MF26" s="100"/>
      <c r="MG26" s="100"/>
      <c r="MH26" s="100"/>
      <c r="MI26" s="100"/>
      <c r="MJ26" s="100"/>
      <c r="MK26" s="100"/>
      <c r="ML26" s="100"/>
      <c r="MM26" s="100"/>
      <c r="MN26" s="100"/>
      <c r="MO26" s="100"/>
      <c r="MP26" s="100"/>
      <c r="MQ26" s="100"/>
      <c r="MR26" s="100"/>
      <c r="MS26" s="100"/>
      <c r="MT26" s="100"/>
      <c r="MU26" s="100"/>
      <c r="MV26" s="100"/>
      <c r="MW26" s="100"/>
      <c r="MX26" s="100"/>
      <c r="MY26" s="100"/>
      <c r="MZ26" s="100"/>
      <c r="NA26" s="100"/>
      <c r="NB26" s="100"/>
      <c r="NC26" s="100"/>
      <c r="ND26" s="100"/>
      <c r="NE26" s="100"/>
      <c r="NF26" s="100"/>
      <c r="NG26" s="100"/>
      <c r="NH26" s="100"/>
      <c r="NI26" s="100"/>
      <c r="NJ26" s="100"/>
      <c r="NK26" s="100"/>
      <c r="NL26" s="100"/>
      <c r="NM26" s="100"/>
      <c r="NN26" s="100"/>
      <c r="NO26" s="100"/>
      <c r="NP26" s="100"/>
      <c r="NQ26" s="100"/>
      <c r="NR26" s="100"/>
      <c r="NS26" s="100"/>
      <c r="NT26" s="100"/>
      <c r="NU26" s="100"/>
      <c r="NV26" s="100"/>
      <c r="NW26" s="100"/>
      <c r="NX26" s="100"/>
      <c r="NY26" s="100"/>
      <c r="NZ26" s="100"/>
      <c r="OA26" s="100"/>
      <c r="OB26" s="100"/>
      <c r="OC26" s="100"/>
      <c r="OD26" s="100"/>
      <c r="OE26" s="100"/>
      <c r="OF26" s="100"/>
      <c r="OG26" s="100"/>
      <c r="OH26" s="100"/>
      <c r="OI26" s="100"/>
      <c r="OJ26" s="100"/>
      <c r="OK26" s="100"/>
      <c r="OL26" s="100"/>
      <c r="OM26" s="100"/>
      <c r="ON26" s="100"/>
      <c r="OO26" s="100"/>
      <c r="OP26" s="100"/>
      <c r="OQ26" s="100"/>
      <c r="OR26" s="100"/>
      <c r="OS26" s="100"/>
      <c r="OT26" s="100"/>
      <c r="OU26" s="100"/>
      <c r="OV26" s="100"/>
      <c r="OW26" s="100"/>
      <c r="OX26" s="100"/>
      <c r="OY26" s="100"/>
      <c r="OZ26" s="100"/>
      <c r="PA26" s="100"/>
      <c r="PB26" s="100"/>
      <c r="PC26" s="100"/>
      <c r="PD26" s="100"/>
      <c r="PE26" s="100"/>
      <c r="PF26" s="100"/>
      <c r="PG26" s="100"/>
      <c r="PH26" s="100"/>
      <c r="PI26" s="100"/>
      <c r="PJ26" s="100"/>
      <c r="PK26" s="100"/>
      <c r="PL26" s="100"/>
      <c r="PM26" s="100"/>
      <c r="PN26" s="100"/>
      <c r="PO26" s="100"/>
      <c r="PP26" s="100"/>
      <c r="PQ26" s="100"/>
      <c r="PR26" s="100"/>
      <c r="PS26" s="100"/>
      <c r="PT26" s="100"/>
      <c r="PU26" s="100"/>
      <c r="PV26" s="100"/>
      <c r="PW26" s="100"/>
      <c r="PX26" s="100"/>
      <c r="PY26" s="100"/>
      <c r="PZ26" s="100"/>
      <c r="QA26" s="100"/>
      <c r="QB26" s="100"/>
      <c r="QC26" s="100"/>
      <c r="QD26" s="100"/>
      <c r="QE26" s="100"/>
      <c r="QF26" s="100"/>
      <c r="QG26" s="100"/>
      <c r="QH26" s="100"/>
      <c r="QI26" s="100"/>
      <c r="QJ26" s="100"/>
      <c r="QK26" s="100"/>
      <c r="QL26" s="100"/>
      <c r="QM26" s="100"/>
      <c r="QN26" s="100"/>
      <c r="QO26" s="100"/>
      <c r="QP26" s="100"/>
      <c r="QQ26" s="100"/>
      <c r="QR26" s="100"/>
      <c r="QS26" s="100"/>
      <c r="QT26" s="100"/>
      <c r="QU26" s="100"/>
      <c r="QV26" s="100"/>
      <c r="QW26" s="100"/>
      <c r="QX26" s="100"/>
      <c r="QY26" s="23">
        <f t="shared" si="0"/>
        <v>30</v>
      </c>
      <c r="QZ26" s="47" t="s">
        <v>36</v>
      </c>
      <c r="RA26" s="97">
        <v>2233.44</v>
      </c>
      <c r="RB26" s="63">
        <f>RE26</f>
        <v>2233.44</v>
      </c>
      <c r="RC26" s="63">
        <v>1396.2</v>
      </c>
      <c r="RD26" s="97">
        <f t="shared" si="1"/>
        <v>0</v>
      </c>
      <c r="RE26" s="107">
        <v>2233.44</v>
      </c>
      <c r="RF26" s="107"/>
      <c r="RG26" s="83">
        <f t="shared" si="2"/>
        <v>1.5996562097120757</v>
      </c>
      <c r="RH26" s="116"/>
    </row>
    <row r="27" spans="1:476" s="5" customFormat="1" ht="12.75" customHeight="1" x14ac:dyDescent="0.25">
      <c r="A27" s="48">
        <v>44950</v>
      </c>
      <c r="B27" s="81" t="s">
        <v>455</v>
      </c>
      <c r="C27" s="98"/>
      <c r="D27" s="98"/>
      <c r="E27" s="99"/>
      <c r="F27" s="99"/>
      <c r="G27" s="99"/>
      <c r="H27" s="99"/>
      <c r="I27" s="99"/>
      <c r="J27" s="99"/>
      <c r="K27" s="99"/>
      <c r="L27" s="99"/>
      <c r="M27" s="99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  <c r="IX27" s="100"/>
      <c r="IY27" s="100"/>
      <c r="IZ27" s="100"/>
      <c r="JA27" s="100"/>
      <c r="JB27" s="100"/>
      <c r="JC27" s="100"/>
      <c r="JD27" s="100"/>
      <c r="JE27" s="100"/>
      <c r="JF27" s="100"/>
      <c r="JG27" s="100"/>
      <c r="JH27" s="100"/>
      <c r="JI27" s="100"/>
      <c r="JJ27" s="100"/>
      <c r="JK27" s="100"/>
      <c r="JL27" s="100"/>
      <c r="JM27" s="100"/>
      <c r="JN27" s="100"/>
      <c r="JO27" s="100"/>
      <c r="JP27" s="100"/>
      <c r="JQ27" s="100"/>
      <c r="JR27" s="100"/>
      <c r="JS27" s="100"/>
      <c r="JT27" s="100"/>
      <c r="JU27" s="100"/>
      <c r="JV27" s="100"/>
      <c r="JW27" s="100"/>
      <c r="JX27" s="100"/>
      <c r="JY27" s="100"/>
      <c r="JZ27" s="100"/>
      <c r="KA27" s="100"/>
      <c r="KB27" s="100"/>
      <c r="KC27" s="100"/>
      <c r="KD27" s="100"/>
      <c r="KE27" s="100"/>
      <c r="KF27" s="100"/>
      <c r="KG27" s="100"/>
      <c r="KH27" s="100"/>
      <c r="KI27" s="100"/>
      <c r="KJ27" s="100"/>
      <c r="KK27" s="100"/>
      <c r="KL27" s="100"/>
      <c r="KM27" s="100"/>
      <c r="KN27" s="100">
        <v>2</v>
      </c>
      <c r="KO27" s="100"/>
      <c r="KP27" s="100"/>
      <c r="KQ27" s="100"/>
      <c r="KR27" s="100"/>
      <c r="KS27" s="100"/>
      <c r="KT27" s="100"/>
      <c r="KU27" s="100"/>
      <c r="KV27" s="100"/>
      <c r="KW27" s="100"/>
      <c r="KX27" s="100"/>
      <c r="KY27" s="100"/>
      <c r="KZ27" s="100"/>
      <c r="LA27" s="100"/>
      <c r="LB27" s="100"/>
      <c r="LC27" s="100"/>
      <c r="LD27" s="100"/>
      <c r="LE27" s="100"/>
      <c r="LF27" s="100"/>
      <c r="LG27" s="100"/>
      <c r="LH27" s="100"/>
      <c r="LI27" s="100"/>
      <c r="LJ27" s="100"/>
      <c r="LK27" s="100"/>
      <c r="LL27" s="100"/>
      <c r="LM27" s="100"/>
      <c r="LN27" s="100"/>
      <c r="LO27" s="100"/>
      <c r="LP27" s="100"/>
      <c r="LQ27" s="100"/>
      <c r="LR27" s="100"/>
      <c r="LS27" s="100"/>
      <c r="LT27" s="100"/>
      <c r="LU27" s="100"/>
      <c r="LV27" s="100"/>
      <c r="LW27" s="100"/>
      <c r="LX27" s="100"/>
      <c r="LY27" s="100"/>
      <c r="LZ27" s="100"/>
      <c r="MA27" s="100"/>
      <c r="MB27" s="100"/>
      <c r="MC27" s="100"/>
      <c r="MD27" s="100"/>
      <c r="ME27" s="100"/>
      <c r="MF27" s="100"/>
      <c r="MG27" s="100"/>
      <c r="MH27" s="100"/>
      <c r="MI27" s="100"/>
      <c r="MJ27" s="100"/>
      <c r="MK27" s="100"/>
      <c r="ML27" s="100"/>
      <c r="MM27" s="100"/>
      <c r="MN27" s="100"/>
      <c r="MO27" s="100"/>
      <c r="MP27" s="100"/>
      <c r="MQ27" s="100"/>
      <c r="MR27" s="100"/>
      <c r="MS27" s="100"/>
      <c r="MT27" s="100"/>
      <c r="MU27" s="100"/>
      <c r="MV27" s="100"/>
      <c r="MW27" s="100"/>
      <c r="MX27" s="100"/>
      <c r="MY27" s="100"/>
      <c r="MZ27" s="100"/>
      <c r="NA27" s="100"/>
      <c r="NB27" s="100"/>
      <c r="NC27" s="100"/>
      <c r="ND27" s="100"/>
      <c r="NE27" s="100"/>
      <c r="NF27" s="100"/>
      <c r="NG27" s="100"/>
      <c r="NH27" s="100"/>
      <c r="NI27" s="100"/>
      <c r="NJ27" s="100"/>
      <c r="NK27" s="100"/>
      <c r="NL27" s="100"/>
      <c r="NM27" s="100"/>
      <c r="NN27" s="100"/>
      <c r="NO27" s="100"/>
      <c r="NP27" s="100"/>
      <c r="NQ27" s="100"/>
      <c r="NR27" s="100"/>
      <c r="NS27" s="100"/>
      <c r="NT27" s="100"/>
      <c r="NU27" s="100"/>
      <c r="NV27" s="100"/>
      <c r="NW27" s="100"/>
      <c r="NX27" s="100"/>
      <c r="NY27" s="100"/>
      <c r="NZ27" s="100"/>
      <c r="OA27" s="100"/>
      <c r="OB27" s="100"/>
      <c r="OC27" s="100"/>
      <c r="OD27" s="100"/>
      <c r="OE27" s="100"/>
      <c r="OF27" s="100"/>
      <c r="OG27" s="100"/>
      <c r="OH27" s="100"/>
      <c r="OI27" s="100"/>
      <c r="OJ27" s="100"/>
      <c r="OK27" s="100"/>
      <c r="OL27" s="100"/>
      <c r="OM27" s="100"/>
      <c r="ON27" s="100"/>
      <c r="OO27" s="100"/>
      <c r="OP27" s="100"/>
      <c r="OQ27" s="100"/>
      <c r="OR27" s="100"/>
      <c r="OS27" s="100"/>
      <c r="OT27" s="100"/>
      <c r="OU27" s="100"/>
      <c r="OV27" s="100"/>
      <c r="OW27" s="100"/>
      <c r="OX27" s="100"/>
      <c r="OY27" s="100"/>
      <c r="OZ27" s="100"/>
      <c r="PA27" s="100"/>
      <c r="PB27" s="100"/>
      <c r="PC27" s="100"/>
      <c r="PD27" s="100"/>
      <c r="PE27" s="100"/>
      <c r="PF27" s="100"/>
      <c r="PG27" s="100"/>
      <c r="PH27" s="100"/>
      <c r="PI27" s="100"/>
      <c r="PJ27" s="100"/>
      <c r="PK27" s="100"/>
      <c r="PL27" s="100"/>
      <c r="PM27" s="100"/>
      <c r="PN27" s="100"/>
      <c r="PO27" s="100"/>
      <c r="PP27" s="100"/>
      <c r="PQ27" s="100"/>
      <c r="PR27" s="100"/>
      <c r="PS27" s="100"/>
      <c r="PT27" s="100"/>
      <c r="PU27" s="100"/>
      <c r="PV27" s="100"/>
      <c r="PW27" s="100"/>
      <c r="PX27" s="100"/>
      <c r="PY27" s="100"/>
      <c r="PZ27" s="100"/>
      <c r="QA27" s="100"/>
      <c r="QB27" s="100"/>
      <c r="QC27" s="100"/>
      <c r="QD27" s="100"/>
      <c r="QE27" s="100"/>
      <c r="QF27" s="100"/>
      <c r="QG27" s="100"/>
      <c r="QH27" s="100"/>
      <c r="QI27" s="100"/>
      <c r="QJ27" s="100"/>
      <c r="QK27" s="100"/>
      <c r="QL27" s="100"/>
      <c r="QM27" s="100"/>
      <c r="QN27" s="100"/>
      <c r="QO27" s="100"/>
      <c r="QP27" s="100"/>
      <c r="QQ27" s="100"/>
      <c r="QR27" s="100"/>
      <c r="QS27" s="100"/>
      <c r="QT27" s="100"/>
      <c r="QU27" s="100"/>
      <c r="QV27" s="100"/>
      <c r="QW27" s="100"/>
      <c r="QX27" s="100"/>
      <c r="QY27" s="23">
        <f t="shared" si="0"/>
        <v>2</v>
      </c>
      <c r="QZ27" s="47" t="s">
        <v>36</v>
      </c>
      <c r="RA27" s="97">
        <v>178.82</v>
      </c>
      <c r="RB27" s="63">
        <f>RE27</f>
        <v>178.82</v>
      </c>
      <c r="RC27" s="63">
        <v>109.18</v>
      </c>
      <c r="RD27" s="97">
        <f t="shared" si="1"/>
        <v>0</v>
      </c>
      <c r="RE27" s="107">
        <v>178.82</v>
      </c>
      <c r="RF27" s="107"/>
      <c r="RG27" s="83">
        <f t="shared" si="2"/>
        <v>1.6378457592965743</v>
      </c>
      <c r="RH27" s="116" t="s">
        <v>550</v>
      </c>
    </row>
    <row r="28" spans="1:476" s="5" customFormat="1" ht="12.75" customHeight="1" x14ac:dyDescent="0.25">
      <c r="A28" s="48">
        <v>44950</v>
      </c>
      <c r="B28" s="90" t="s">
        <v>545</v>
      </c>
      <c r="C28" s="98"/>
      <c r="D28" s="98"/>
      <c r="E28" s="99"/>
      <c r="F28" s="99"/>
      <c r="G28" s="99"/>
      <c r="H28" s="99"/>
      <c r="I28" s="99"/>
      <c r="J28" s="99"/>
      <c r="K28" s="99"/>
      <c r="L28" s="99"/>
      <c r="M28" s="99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  <c r="IW28" s="100"/>
      <c r="IX28" s="100"/>
      <c r="IY28" s="100"/>
      <c r="IZ28" s="100"/>
      <c r="JA28" s="100"/>
      <c r="JB28" s="100"/>
      <c r="JC28" s="100"/>
      <c r="JD28" s="100"/>
      <c r="JE28" s="100"/>
      <c r="JF28" s="100"/>
      <c r="JG28" s="100"/>
      <c r="JH28" s="100"/>
      <c r="JI28" s="100"/>
      <c r="JJ28" s="100"/>
      <c r="JK28" s="100"/>
      <c r="JL28" s="100"/>
      <c r="JM28" s="100"/>
      <c r="JN28" s="100"/>
      <c r="JO28" s="100"/>
      <c r="JP28" s="100"/>
      <c r="JQ28" s="100"/>
      <c r="JR28" s="100"/>
      <c r="JS28" s="100"/>
      <c r="JT28" s="100"/>
      <c r="JU28" s="100"/>
      <c r="JV28" s="100"/>
      <c r="JW28" s="100"/>
      <c r="JX28" s="100"/>
      <c r="JY28" s="100"/>
      <c r="JZ28" s="100"/>
      <c r="KA28" s="100"/>
      <c r="KB28" s="100"/>
      <c r="KC28" s="100"/>
      <c r="KD28" s="100"/>
      <c r="KE28" s="100"/>
      <c r="KF28" s="100"/>
      <c r="KG28" s="100"/>
      <c r="KH28" s="100"/>
      <c r="KI28" s="100"/>
      <c r="KJ28" s="100"/>
      <c r="KK28" s="100"/>
      <c r="KL28" s="100"/>
      <c r="KM28" s="100"/>
      <c r="KN28" s="100"/>
      <c r="KO28" s="100"/>
      <c r="KP28" s="100"/>
      <c r="KQ28" s="100"/>
      <c r="KR28" s="100"/>
      <c r="KS28" s="100"/>
      <c r="KT28" s="100"/>
      <c r="KU28" s="100"/>
      <c r="KV28" s="100"/>
      <c r="KW28" s="100"/>
      <c r="KX28" s="100"/>
      <c r="KY28" s="100"/>
      <c r="KZ28" s="100"/>
      <c r="LA28" s="100"/>
      <c r="LB28" s="100"/>
      <c r="LC28" s="100"/>
      <c r="LD28" s="100"/>
      <c r="LE28" s="100"/>
      <c r="LF28" s="100"/>
      <c r="LG28" s="100"/>
      <c r="LH28" s="100"/>
      <c r="LI28" s="100"/>
      <c r="LJ28" s="100"/>
      <c r="LK28" s="100"/>
      <c r="LL28" s="100"/>
      <c r="LM28" s="100"/>
      <c r="LN28" s="100"/>
      <c r="LO28" s="100"/>
      <c r="LP28" s="100"/>
      <c r="LQ28" s="100"/>
      <c r="LR28" s="100"/>
      <c r="LS28" s="100"/>
      <c r="LT28" s="100"/>
      <c r="LU28" s="100"/>
      <c r="LV28" s="100"/>
      <c r="LW28" s="100"/>
      <c r="LX28" s="100"/>
      <c r="LY28" s="100"/>
      <c r="LZ28" s="100"/>
      <c r="MA28" s="100"/>
      <c r="MB28" s="100"/>
      <c r="MC28" s="100"/>
      <c r="MD28" s="100"/>
      <c r="ME28" s="100"/>
      <c r="MF28" s="100"/>
      <c r="MG28" s="100"/>
      <c r="MH28" s="100"/>
      <c r="MI28" s="100"/>
      <c r="MJ28" s="100"/>
      <c r="MK28" s="100"/>
      <c r="ML28" s="100"/>
      <c r="MM28" s="100"/>
      <c r="MN28" s="100"/>
      <c r="MO28" s="100"/>
      <c r="MP28" s="100"/>
      <c r="MQ28" s="100"/>
      <c r="MR28" s="100"/>
      <c r="MS28" s="100"/>
      <c r="MT28" s="100"/>
      <c r="MU28" s="100"/>
      <c r="MV28" s="100"/>
      <c r="MW28" s="100"/>
      <c r="MX28" s="100"/>
      <c r="MY28" s="100"/>
      <c r="MZ28" s="100"/>
      <c r="NA28" s="100"/>
      <c r="NB28" s="100"/>
      <c r="NC28" s="100"/>
      <c r="ND28" s="100"/>
      <c r="NE28" s="100"/>
      <c r="NF28" s="100"/>
      <c r="NG28" s="100"/>
      <c r="NH28" s="100"/>
      <c r="NI28" s="100"/>
      <c r="NJ28" s="100"/>
      <c r="NK28" s="100"/>
      <c r="NL28" s="100"/>
      <c r="NM28" s="100"/>
      <c r="NN28" s="100"/>
      <c r="NO28" s="100"/>
      <c r="NP28" s="100"/>
      <c r="NQ28" s="100"/>
      <c r="NR28" s="100"/>
      <c r="NS28" s="100"/>
      <c r="NT28" s="100"/>
      <c r="NU28" s="100"/>
      <c r="NV28" s="100"/>
      <c r="NW28" s="100"/>
      <c r="NX28" s="100"/>
      <c r="NY28" s="100"/>
      <c r="NZ28" s="100"/>
      <c r="OA28" s="100"/>
      <c r="OB28" s="100"/>
      <c r="OC28" s="100"/>
      <c r="OD28" s="100"/>
      <c r="OE28" s="100"/>
      <c r="OF28" s="100"/>
      <c r="OG28" s="100"/>
      <c r="OH28" s="100"/>
      <c r="OI28" s="100"/>
      <c r="OJ28" s="100"/>
      <c r="OK28" s="100"/>
      <c r="OL28" s="100"/>
      <c r="OM28" s="100"/>
      <c r="ON28" s="100"/>
      <c r="OO28" s="100"/>
      <c r="OP28" s="100"/>
      <c r="OQ28" s="100"/>
      <c r="OR28" s="100"/>
      <c r="OS28" s="100"/>
      <c r="OT28" s="100"/>
      <c r="OU28" s="100"/>
      <c r="OV28" s="100"/>
      <c r="OW28" s="100"/>
      <c r="OX28" s="100"/>
      <c r="OY28" s="100"/>
      <c r="OZ28" s="100"/>
      <c r="PA28" s="100"/>
      <c r="PB28" s="100"/>
      <c r="PC28" s="100"/>
      <c r="PD28" s="100"/>
      <c r="PE28" s="100"/>
      <c r="PF28" s="100"/>
      <c r="PG28" s="100"/>
      <c r="PH28" s="100"/>
      <c r="PI28" s="100"/>
      <c r="PJ28" s="100"/>
      <c r="PK28" s="100"/>
      <c r="PL28" s="100"/>
      <c r="PM28" s="100"/>
      <c r="PN28" s="100"/>
      <c r="PO28" s="100"/>
      <c r="PP28" s="100"/>
      <c r="PQ28" s="100"/>
      <c r="PR28" s="100"/>
      <c r="PS28" s="100"/>
      <c r="PT28" s="100"/>
      <c r="PU28" s="100"/>
      <c r="PV28" s="100"/>
      <c r="PW28" s="100"/>
      <c r="PX28" s="100"/>
      <c r="PY28" s="100"/>
      <c r="PZ28" s="100"/>
      <c r="QA28" s="100"/>
      <c r="QB28" s="100"/>
      <c r="QC28" s="100"/>
      <c r="QD28" s="100"/>
      <c r="QE28" s="100"/>
      <c r="QF28" s="100"/>
      <c r="QG28" s="100"/>
      <c r="QH28" s="100"/>
      <c r="QI28" s="100"/>
      <c r="QJ28" s="100"/>
      <c r="QK28" s="100"/>
      <c r="QL28" s="100"/>
      <c r="QM28" s="100"/>
      <c r="QN28" s="100"/>
      <c r="QO28" s="100"/>
      <c r="QP28" s="100"/>
      <c r="QQ28" s="100"/>
      <c r="QR28" s="100"/>
      <c r="QS28" s="100"/>
      <c r="QT28" s="100"/>
      <c r="QU28" s="100">
        <v>3</v>
      </c>
      <c r="QV28" s="100"/>
      <c r="QW28" s="100"/>
      <c r="QX28" s="100"/>
      <c r="QY28" s="23">
        <f t="shared" si="0"/>
        <v>3</v>
      </c>
      <c r="QZ28" s="47" t="s">
        <v>36</v>
      </c>
      <c r="RA28" s="97">
        <v>174.53</v>
      </c>
      <c r="RB28" s="63">
        <f>RE28</f>
        <v>174.53</v>
      </c>
      <c r="RC28" s="63">
        <v>114.03</v>
      </c>
      <c r="RD28" s="97">
        <f t="shared" si="1"/>
        <v>0</v>
      </c>
      <c r="RE28" s="107">
        <v>174.53</v>
      </c>
      <c r="RF28" s="107"/>
      <c r="RG28" s="83">
        <f t="shared" si="2"/>
        <v>1.5305621327720775</v>
      </c>
      <c r="RH28" s="116" t="s">
        <v>539</v>
      </c>
    </row>
    <row r="29" spans="1:476" s="5" customFormat="1" ht="12.75" customHeight="1" x14ac:dyDescent="0.25">
      <c r="A29" s="48">
        <v>44950</v>
      </c>
      <c r="B29" s="115" t="s">
        <v>123</v>
      </c>
      <c r="C29" s="98"/>
      <c r="D29" s="98"/>
      <c r="E29" s="99"/>
      <c r="F29" s="99"/>
      <c r="G29" s="99"/>
      <c r="H29" s="99"/>
      <c r="I29" s="99"/>
      <c r="J29" s="99"/>
      <c r="K29" s="99"/>
      <c r="L29" s="99"/>
      <c r="M29" s="99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  <c r="IU29" s="100"/>
      <c r="IV29" s="100"/>
      <c r="IW29" s="100"/>
      <c r="IX29" s="100"/>
      <c r="IY29" s="100"/>
      <c r="IZ29" s="100"/>
      <c r="JA29" s="100"/>
      <c r="JB29" s="100"/>
      <c r="JC29" s="100"/>
      <c r="JD29" s="100"/>
      <c r="JE29" s="100"/>
      <c r="JF29" s="100"/>
      <c r="JG29" s="100"/>
      <c r="JH29" s="100"/>
      <c r="JI29" s="100"/>
      <c r="JJ29" s="100"/>
      <c r="JK29" s="100"/>
      <c r="JL29" s="100"/>
      <c r="JM29" s="100"/>
      <c r="JN29" s="100"/>
      <c r="JO29" s="100"/>
      <c r="JP29" s="100"/>
      <c r="JQ29" s="100"/>
      <c r="JR29" s="100"/>
      <c r="JS29" s="100"/>
      <c r="JT29" s="100"/>
      <c r="JU29" s="100"/>
      <c r="JV29" s="100"/>
      <c r="JW29" s="100"/>
      <c r="JX29" s="100"/>
      <c r="JY29" s="100"/>
      <c r="JZ29" s="100"/>
      <c r="KA29" s="100"/>
      <c r="KB29" s="100"/>
      <c r="KC29" s="100"/>
      <c r="KD29" s="100"/>
      <c r="KE29" s="100"/>
      <c r="KF29" s="100"/>
      <c r="KG29" s="100"/>
      <c r="KH29" s="100"/>
      <c r="KI29" s="100"/>
      <c r="KJ29" s="100"/>
      <c r="KK29" s="100"/>
      <c r="KL29" s="100"/>
      <c r="KM29" s="100"/>
      <c r="KN29" s="100"/>
      <c r="KO29" s="100"/>
      <c r="KP29" s="100"/>
      <c r="KQ29" s="100"/>
      <c r="KR29" s="100"/>
      <c r="KS29" s="100"/>
      <c r="KT29" s="100"/>
      <c r="KU29" s="100"/>
      <c r="KV29" s="100"/>
      <c r="KW29" s="100"/>
      <c r="KX29" s="100"/>
      <c r="KY29" s="100"/>
      <c r="KZ29" s="100"/>
      <c r="LA29" s="100"/>
      <c r="LB29" s="100"/>
      <c r="LC29" s="100"/>
      <c r="LD29" s="100"/>
      <c r="LE29" s="100"/>
      <c r="LF29" s="100"/>
      <c r="LG29" s="100"/>
      <c r="LH29" s="100"/>
      <c r="LI29" s="100"/>
      <c r="LJ29" s="100"/>
      <c r="LK29" s="100"/>
      <c r="LL29" s="100"/>
      <c r="LM29" s="100"/>
      <c r="LN29" s="100"/>
      <c r="LO29" s="100"/>
      <c r="LP29" s="100"/>
      <c r="LQ29" s="100"/>
      <c r="LR29" s="100"/>
      <c r="LS29" s="100"/>
      <c r="LT29" s="100"/>
      <c r="LU29" s="100"/>
      <c r="LV29" s="100"/>
      <c r="LW29" s="100"/>
      <c r="LX29" s="100"/>
      <c r="LY29" s="100"/>
      <c r="LZ29" s="100"/>
      <c r="MA29" s="100"/>
      <c r="MB29" s="100"/>
      <c r="MC29" s="100"/>
      <c r="MD29" s="100"/>
      <c r="ME29" s="100"/>
      <c r="MF29" s="100"/>
      <c r="MG29" s="100"/>
      <c r="MH29" s="100"/>
      <c r="MI29" s="100"/>
      <c r="MJ29" s="100"/>
      <c r="MK29" s="100"/>
      <c r="ML29" s="100"/>
      <c r="MM29" s="100"/>
      <c r="MN29" s="100"/>
      <c r="MO29" s="100"/>
      <c r="MP29" s="100"/>
      <c r="MQ29" s="100"/>
      <c r="MR29" s="100"/>
      <c r="MS29" s="100"/>
      <c r="MT29" s="100"/>
      <c r="MU29" s="100"/>
      <c r="MV29" s="100"/>
      <c r="MW29" s="100"/>
      <c r="MX29" s="100"/>
      <c r="MY29" s="100"/>
      <c r="MZ29" s="100"/>
      <c r="NA29" s="100"/>
      <c r="NB29" s="100"/>
      <c r="NC29" s="100"/>
      <c r="ND29" s="100"/>
      <c r="NE29" s="100"/>
      <c r="NF29" s="100"/>
      <c r="NG29" s="100"/>
      <c r="NH29" s="100"/>
      <c r="NI29" s="100"/>
      <c r="NJ29" s="100"/>
      <c r="NK29" s="100"/>
      <c r="NL29" s="100"/>
      <c r="NM29" s="100"/>
      <c r="NN29" s="100"/>
      <c r="NO29" s="100"/>
      <c r="NP29" s="100"/>
      <c r="NQ29" s="100"/>
      <c r="NR29" s="100"/>
      <c r="NS29" s="100"/>
      <c r="NT29" s="100"/>
      <c r="NU29" s="100"/>
      <c r="NV29" s="100"/>
      <c r="NW29" s="100"/>
      <c r="NX29" s="100"/>
      <c r="NY29" s="100"/>
      <c r="NZ29" s="100"/>
      <c r="OA29" s="100"/>
      <c r="OB29" s="100"/>
      <c r="OC29" s="100"/>
      <c r="OD29" s="100"/>
      <c r="OE29" s="100"/>
      <c r="OF29" s="100"/>
      <c r="OG29" s="100"/>
      <c r="OH29" s="100"/>
      <c r="OI29" s="100"/>
      <c r="OJ29" s="100"/>
      <c r="OK29" s="100"/>
      <c r="OL29" s="100"/>
      <c r="OM29" s="100"/>
      <c r="ON29" s="100"/>
      <c r="OO29" s="100"/>
      <c r="OP29" s="100"/>
      <c r="OQ29" s="100"/>
      <c r="OR29" s="100"/>
      <c r="OS29" s="100"/>
      <c r="OT29" s="100"/>
      <c r="OU29" s="100"/>
      <c r="OV29" s="100"/>
      <c r="OW29" s="100"/>
      <c r="OX29" s="100"/>
      <c r="OY29" s="100"/>
      <c r="OZ29" s="100"/>
      <c r="PA29" s="100"/>
      <c r="PB29" s="100"/>
      <c r="PC29" s="100"/>
      <c r="PD29" s="100"/>
      <c r="PE29" s="100"/>
      <c r="PF29" s="100"/>
      <c r="PG29" s="100"/>
      <c r="PH29" s="100"/>
      <c r="PI29" s="100"/>
      <c r="PJ29" s="100"/>
      <c r="PK29" s="100"/>
      <c r="PL29" s="100"/>
      <c r="PM29" s="100"/>
      <c r="PN29" s="100"/>
      <c r="PO29" s="100"/>
      <c r="PP29" s="100"/>
      <c r="PQ29" s="100"/>
      <c r="PR29" s="100"/>
      <c r="PS29" s="100"/>
      <c r="PT29" s="100"/>
      <c r="PU29" s="100"/>
      <c r="PV29" s="100"/>
      <c r="PW29" s="100"/>
      <c r="PX29" s="100"/>
      <c r="PY29" s="100"/>
      <c r="PZ29" s="100"/>
      <c r="QA29" s="100"/>
      <c r="QB29" s="100"/>
      <c r="QC29" s="100"/>
      <c r="QD29" s="100"/>
      <c r="QE29" s="100"/>
      <c r="QF29" s="100"/>
      <c r="QG29" s="100"/>
      <c r="QH29" s="100"/>
      <c r="QI29" s="100"/>
      <c r="QJ29" s="100"/>
      <c r="QK29" s="100"/>
      <c r="QL29" s="100"/>
      <c r="QM29" s="100"/>
      <c r="QN29" s="100"/>
      <c r="QO29" s="100"/>
      <c r="QP29" s="100"/>
      <c r="QQ29" s="100"/>
      <c r="QR29" s="100"/>
      <c r="QS29" s="100"/>
      <c r="QT29" s="100"/>
      <c r="QU29" s="100"/>
      <c r="QV29" s="100">
        <v>2</v>
      </c>
      <c r="QW29" s="100"/>
      <c r="QX29" s="100"/>
      <c r="QY29" s="23">
        <f t="shared" si="0"/>
        <v>2</v>
      </c>
      <c r="QZ29" s="47" t="s">
        <v>36</v>
      </c>
      <c r="RA29" s="97">
        <v>167.52</v>
      </c>
      <c r="RB29" s="63">
        <f>RE29+RF29</f>
        <v>167.52</v>
      </c>
      <c r="RC29" s="63">
        <v>109.72</v>
      </c>
      <c r="RD29" s="97">
        <f t="shared" si="1"/>
        <v>0</v>
      </c>
      <c r="RE29" s="107"/>
      <c r="RF29" s="107">
        <v>167.52</v>
      </c>
      <c r="RG29" s="83">
        <f t="shared" si="2"/>
        <v>1.5267954794021146</v>
      </c>
      <c r="RH29" s="116"/>
    </row>
    <row r="30" spans="1:476" s="5" customFormat="1" ht="12.75" customHeight="1" x14ac:dyDescent="0.25">
      <c r="A30" s="48">
        <v>44950</v>
      </c>
      <c r="B30" s="81" t="s">
        <v>534</v>
      </c>
      <c r="C30" s="98"/>
      <c r="D30" s="98"/>
      <c r="E30" s="99"/>
      <c r="F30" s="99"/>
      <c r="G30" s="99"/>
      <c r="H30" s="99"/>
      <c r="I30" s="99"/>
      <c r="J30" s="99"/>
      <c r="K30" s="99"/>
      <c r="L30" s="99"/>
      <c r="M30" s="99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>
        <v>20</v>
      </c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0"/>
      <c r="HF30" s="100"/>
      <c r="HG30" s="100"/>
      <c r="HH30" s="100"/>
      <c r="HI30" s="100"/>
      <c r="HJ30" s="100"/>
      <c r="HK30" s="100"/>
      <c r="HL30" s="100"/>
      <c r="HM30" s="100"/>
      <c r="HN30" s="100"/>
      <c r="HO30" s="100"/>
      <c r="HP30" s="100"/>
      <c r="HQ30" s="100"/>
      <c r="HR30" s="100"/>
      <c r="HS30" s="100"/>
      <c r="HT30" s="100"/>
      <c r="HU30" s="100"/>
      <c r="HV30" s="100"/>
      <c r="HW30" s="100"/>
      <c r="HX30" s="100"/>
      <c r="HY30" s="100"/>
      <c r="HZ30" s="100"/>
      <c r="IA30" s="100"/>
      <c r="IB30" s="100"/>
      <c r="IC30" s="100"/>
      <c r="ID30" s="100"/>
      <c r="IE30" s="100"/>
      <c r="IF30" s="100"/>
      <c r="IG30" s="100"/>
      <c r="IH30" s="100"/>
      <c r="II30" s="100"/>
      <c r="IJ30" s="100"/>
      <c r="IK30" s="100"/>
      <c r="IL30" s="100"/>
      <c r="IM30" s="100"/>
      <c r="IN30" s="100"/>
      <c r="IO30" s="100"/>
      <c r="IP30" s="100"/>
      <c r="IQ30" s="100"/>
      <c r="IR30" s="100"/>
      <c r="IS30" s="100"/>
      <c r="IT30" s="100"/>
      <c r="IU30" s="100"/>
      <c r="IV30" s="100"/>
      <c r="IW30" s="100"/>
      <c r="IX30" s="100"/>
      <c r="IY30" s="100"/>
      <c r="IZ30" s="100"/>
      <c r="JA30" s="100"/>
      <c r="JB30" s="100"/>
      <c r="JC30" s="100"/>
      <c r="JD30" s="100"/>
      <c r="JE30" s="100"/>
      <c r="JF30" s="100"/>
      <c r="JG30" s="100"/>
      <c r="JH30" s="100"/>
      <c r="JI30" s="100"/>
      <c r="JJ30" s="100"/>
      <c r="JK30" s="100"/>
      <c r="JL30" s="100"/>
      <c r="JM30" s="100"/>
      <c r="JN30" s="100"/>
      <c r="JO30" s="100"/>
      <c r="JP30" s="100"/>
      <c r="JQ30" s="100"/>
      <c r="JR30" s="100"/>
      <c r="JS30" s="100"/>
      <c r="JT30" s="100"/>
      <c r="JU30" s="100"/>
      <c r="JV30" s="100"/>
      <c r="JW30" s="100"/>
      <c r="JX30" s="100"/>
      <c r="JY30" s="100"/>
      <c r="JZ30" s="100"/>
      <c r="KA30" s="100"/>
      <c r="KB30" s="100"/>
      <c r="KC30" s="100"/>
      <c r="KD30" s="100"/>
      <c r="KE30" s="100"/>
      <c r="KF30" s="100"/>
      <c r="KG30" s="100"/>
      <c r="KH30" s="100"/>
      <c r="KI30" s="100"/>
      <c r="KJ30" s="100"/>
      <c r="KK30" s="100"/>
      <c r="KL30" s="100"/>
      <c r="KM30" s="100"/>
      <c r="KN30" s="100"/>
      <c r="KO30" s="100"/>
      <c r="KP30" s="100"/>
      <c r="KQ30" s="100"/>
      <c r="KR30" s="100"/>
      <c r="KS30" s="100"/>
      <c r="KT30" s="100"/>
      <c r="KU30" s="100"/>
      <c r="KV30" s="100"/>
      <c r="KW30" s="100"/>
      <c r="KX30" s="100"/>
      <c r="KY30" s="100"/>
      <c r="KZ30" s="100"/>
      <c r="LA30" s="100"/>
      <c r="LB30" s="100"/>
      <c r="LC30" s="100"/>
      <c r="LD30" s="100"/>
      <c r="LE30" s="100"/>
      <c r="LF30" s="100"/>
      <c r="LG30" s="100"/>
      <c r="LH30" s="100"/>
      <c r="LI30" s="100"/>
      <c r="LJ30" s="100"/>
      <c r="LK30" s="100"/>
      <c r="LL30" s="100"/>
      <c r="LM30" s="100"/>
      <c r="LN30" s="100"/>
      <c r="LO30" s="100"/>
      <c r="LP30" s="100"/>
      <c r="LQ30" s="100"/>
      <c r="LR30" s="100"/>
      <c r="LS30" s="100"/>
      <c r="LT30" s="100"/>
      <c r="LU30" s="100"/>
      <c r="LV30" s="100"/>
      <c r="LW30" s="100"/>
      <c r="LX30" s="100"/>
      <c r="LY30" s="100"/>
      <c r="LZ30" s="100"/>
      <c r="MA30" s="100"/>
      <c r="MB30" s="100"/>
      <c r="MC30" s="100"/>
      <c r="MD30" s="100"/>
      <c r="ME30" s="100"/>
      <c r="MF30" s="100"/>
      <c r="MG30" s="100"/>
      <c r="MH30" s="100"/>
      <c r="MI30" s="100"/>
      <c r="MJ30" s="100"/>
      <c r="MK30" s="100"/>
      <c r="ML30" s="100"/>
      <c r="MM30" s="100"/>
      <c r="MN30" s="100"/>
      <c r="MO30" s="100"/>
      <c r="MP30" s="100"/>
      <c r="MQ30" s="100"/>
      <c r="MR30" s="100"/>
      <c r="MS30" s="100"/>
      <c r="MT30" s="100"/>
      <c r="MU30" s="100"/>
      <c r="MV30" s="100"/>
      <c r="MW30" s="100"/>
      <c r="MX30" s="100"/>
      <c r="MY30" s="100"/>
      <c r="MZ30" s="100"/>
      <c r="NA30" s="100"/>
      <c r="NB30" s="100"/>
      <c r="NC30" s="100"/>
      <c r="ND30" s="100"/>
      <c r="NE30" s="100"/>
      <c r="NF30" s="100"/>
      <c r="NG30" s="100"/>
      <c r="NH30" s="100"/>
      <c r="NI30" s="100"/>
      <c r="NJ30" s="100"/>
      <c r="NK30" s="100"/>
      <c r="NL30" s="100"/>
      <c r="NM30" s="100"/>
      <c r="NN30" s="100"/>
      <c r="NO30" s="100"/>
      <c r="NP30" s="100"/>
      <c r="NQ30" s="100"/>
      <c r="NR30" s="100"/>
      <c r="NS30" s="100"/>
      <c r="NT30" s="100"/>
      <c r="NU30" s="100"/>
      <c r="NV30" s="100"/>
      <c r="NW30" s="100"/>
      <c r="NX30" s="100"/>
      <c r="NY30" s="100"/>
      <c r="NZ30" s="100"/>
      <c r="OA30" s="100"/>
      <c r="OB30" s="100"/>
      <c r="OC30" s="100"/>
      <c r="OD30" s="100"/>
      <c r="OE30" s="100"/>
      <c r="OF30" s="100"/>
      <c r="OG30" s="100"/>
      <c r="OH30" s="100"/>
      <c r="OI30" s="100"/>
      <c r="OJ30" s="100"/>
      <c r="OK30" s="100"/>
      <c r="OL30" s="100"/>
      <c r="OM30" s="100"/>
      <c r="ON30" s="100"/>
      <c r="OO30" s="100"/>
      <c r="OP30" s="100"/>
      <c r="OQ30" s="100"/>
      <c r="OR30" s="100"/>
      <c r="OS30" s="100"/>
      <c r="OT30" s="100"/>
      <c r="OU30" s="100"/>
      <c r="OV30" s="100"/>
      <c r="OW30" s="100"/>
      <c r="OX30" s="100"/>
      <c r="OY30" s="100"/>
      <c r="OZ30" s="100"/>
      <c r="PA30" s="100"/>
      <c r="PB30" s="100"/>
      <c r="PC30" s="100"/>
      <c r="PD30" s="100"/>
      <c r="PE30" s="100"/>
      <c r="PF30" s="100"/>
      <c r="PG30" s="100"/>
      <c r="PH30" s="100"/>
      <c r="PI30" s="100"/>
      <c r="PJ30" s="100"/>
      <c r="PK30" s="100"/>
      <c r="PL30" s="100"/>
      <c r="PM30" s="100"/>
      <c r="PN30" s="100"/>
      <c r="PO30" s="100"/>
      <c r="PP30" s="100"/>
      <c r="PQ30" s="100"/>
      <c r="PR30" s="100"/>
      <c r="PS30" s="100"/>
      <c r="PT30" s="100"/>
      <c r="PU30" s="100"/>
      <c r="PV30" s="100"/>
      <c r="PW30" s="100"/>
      <c r="PX30" s="100"/>
      <c r="PY30" s="100"/>
      <c r="PZ30" s="100"/>
      <c r="QA30" s="100"/>
      <c r="QB30" s="100"/>
      <c r="QC30" s="100"/>
      <c r="QD30" s="100"/>
      <c r="QE30" s="100"/>
      <c r="QF30" s="100"/>
      <c r="QG30" s="100"/>
      <c r="QH30" s="100"/>
      <c r="QI30" s="100"/>
      <c r="QJ30" s="100"/>
      <c r="QK30" s="100"/>
      <c r="QL30" s="100"/>
      <c r="QM30" s="100"/>
      <c r="QN30" s="100"/>
      <c r="QO30" s="100"/>
      <c r="QP30" s="100"/>
      <c r="QQ30" s="100"/>
      <c r="QR30" s="100"/>
      <c r="QS30" s="100"/>
      <c r="QT30" s="100"/>
      <c r="QU30" s="100"/>
      <c r="QV30" s="100"/>
      <c r="QW30" s="100"/>
      <c r="QX30" s="100"/>
      <c r="QY30" s="23">
        <f t="shared" si="0"/>
        <v>20</v>
      </c>
      <c r="QZ30" s="47" t="s">
        <v>36</v>
      </c>
      <c r="RA30" s="97">
        <v>1080</v>
      </c>
      <c r="RB30" s="63">
        <f>RE30</f>
        <v>1080</v>
      </c>
      <c r="RC30" s="63">
        <v>632.79999999999995</v>
      </c>
      <c r="RD30" s="97">
        <f t="shared" si="1"/>
        <v>0</v>
      </c>
      <c r="RE30" s="107">
        <v>1080</v>
      </c>
      <c r="RF30" s="107"/>
      <c r="RG30" s="83">
        <f t="shared" si="2"/>
        <v>1.706700379266751</v>
      </c>
      <c r="RH30" s="116"/>
    </row>
    <row r="31" spans="1:476" s="5" customFormat="1" ht="12.75" customHeight="1" x14ac:dyDescent="0.25">
      <c r="A31" s="48">
        <v>44951</v>
      </c>
      <c r="B31" s="90" t="s">
        <v>456</v>
      </c>
      <c r="C31" s="98"/>
      <c r="D31" s="98"/>
      <c r="E31" s="99"/>
      <c r="F31" s="99"/>
      <c r="G31" s="99"/>
      <c r="H31" s="99"/>
      <c r="I31" s="99"/>
      <c r="J31" s="99"/>
      <c r="K31" s="99"/>
      <c r="L31" s="99"/>
      <c r="M31" s="99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>
        <v>15</v>
      </c>
      <c r="GY31" s="100"/>
      <c r="GZ31" s="10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X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N31" s="100"/>
      <c r="IO31" s="100"/>
      <c r="IP31" s="100"/>
      <c r="IQ31" s="100"/>
      <c r="IR31" s="100"/>
      <c r="IS31" s="100"/>
      <c r="IT31" s="100"/>
      <c r="IU31" s="100"/>
      <c r="IV31" s="100"/>
      <c r="IW31" s="100"/>
      <c r="IX31" s="100"/>
      <c r="IY31" s="100"/>
      <c r="IZ31" s="100"/>
      <c r="JA31" s="100"/>
      <c r="JB31" s="100"/>
      <c r="JC31" s="100"/>
      <c r="JD31" s="100"/>
      <c r="JE31" s="100"/>
      <c r="JF31" s="100"/>
      <c r="JG31" s="100"/>
      <c r="JH31" s="100"/>
      <c r="JI31" s="100"/>
      <c r="JJ31" s="100"/>
      <c r="JK31" s="100"/>
      <c r="JL31" s="100"/>
      <c r="JM31" s="100"/>
      <c r="JN31" s="100"/>
      <c r="JO31" s="100"/>
      <c r="JP31" s="100"/>
      <c r="JQ31" s="100"/>
      <c r="JR31" s="100"/>
      <c r="JS31" s="100"/>
      <c r="JT31" s="100"/>
      <c r="JU31" s="100"/>
      <c r="JV31" s="100"/>
      <c r="JW31" s="100"/>
      <c r="JX31" s="100"/>
      <c r="JY31" s="100"/>
      <c r="JZ31" s="100"/>
      <c r="KA31" s="100"/>
      <c r="KB31" s="100"/>
      <c r="KC31" s="100"/>
      <c r="KD31" s="100"/>
      <c r="KE31" s="100"/>
      <c r="KF31" s="100"/>
      <c r="KG31" s="100"/>
      <c r="KH31" s="100"/>
      <c r="KI31" s="100"/>
      <c r="KJ31" s="100"/>
      <c r="KK31" s="100"/>
      <c r="KL31" s="100"/>
      <c r="KM31" s="100"/>
      <c r="KN31" s="100"/>
      <c r="KO31" s="100"/>
      <c r="KP31" s="100"/>
      <c r="KQ31" s="100"/>
      <c r="KR31" s="100"/>
      <c r="KS31" s="100"/>
      <c r="KT31" s="100"/>
      <c r="KU31" s="100"/>
      <c r="KV31" s="100"/>
      <c r="KW31" s="100"/>
      <c r="KX31" s="100"/>
      <c r="KY31" s="100"/>
      <c r="KZ31" s="100"/>
      <c r="LA31" s="100"/>
      <c r="LB31" s="100"/>
      <c r="LC31" s="100"/>
      <c r="LD31" s="100"/>
      <c r="LE31" s="100"/>
      <c r="LF31" s="100"/>
      <c r="LG31" s="100"/>
      <c r="LH31" s="100"/>
      <c r="LI31" s="100"/>
      <c r="LJ31" s="100"/>
      <c r="LK31" s="100"/>
      <c r="LL31" s="100"/>
      <c r="LM31" s="100"/>
      <c r="LN31" s="100"/>
      <c r="LO31" s="100"/>
      <c r="LP31" s="100"/>
      <c r="LQ31" s="100"/>
      <c r="LR31" s="100"/>
      <c r="LS31" s="100"/>
      <c r="LT31" s="100"/>
      <c r="LU31" s="100"/>
      <c r="LV31" s="100"/>
      <c r="LW31" s="100"/>
      <c r="LX31" s="100"/>
      <c r="LY31" s="100"/>
      <c r="LZ31" s="100"/>
      <c r="MA31" s="100"/>
      <c r="MB31" s="100"/>
      <c r="MC31" s="100"/>
      <c r="MD31" s="100"/>
      <c r="ME31" s="100"/>
      <c r="MF31" s="100"/>
      <c r="MG31" s="100"/>
      <c r="MH31" s="100"/>
      <c r="MI31" s="100"/>
      <c r="MJ31" s="100"/>
      <c r="MK31" s="100"/>
      <c r="ML31" s="100"/>
      <c r="MM31" s="100"/>
      <c r="MN31" s="100"/>
      <c r="MO31" s="100"/>
      <c r="MP31" s="100"/>
      <c r="MQ31" s="100"/>
      <c r="MR31" s="100"/>
      <c r="MS31" s="100"/>
      <c r="MT31" s="100"/>
      <c r="MU31" s="100"/>
      <c r="MV31" s="100"/>
      <c r="MW31" s="100"/>
      <c r="MX31" s="100"/>
      <c r="MY31" s="100"/>
      <c r="MZ31" s="100"/>
      <c r="NA31" s="100"/>
      <c r="NB31" s="100"/>
      <c r="NC31" s="100"/>
      <c r="ND31" s="100"/>
      <c r="NE31" s="100"/>
      <c r="NF31" s="100"/>
      <c r="NG31" s="100"/>
      <c r="NH31" s="100"/>
      <c r="NI31" s="100"/>
      <c r="NJ31" s="100"/>
      <c r="NK31" s="100"/>
      <c r="NL31" s="100"/>
      <c r="NM31" s="100"/>
      <c r="NN31" s="100"/>
      <c r="NO31" s="100"/>
      <c r="NP31" s="100"/>
      <c r="NQ31" s="100"/>
      <c r="NR31" s="100"/>
      <c r="NS31" s="100"/>
      <c r="NT31" s="100"/>
      <c r="NU31" s="100"/>
      <c r="NV31" s="100"/>
      <c r="NW31" s="100"/>
      <c r="NX31" s="100"/>
      <c r="NY31" s="100"/>
      <c r="NZ31" s="100"/>
      <c r="OA31" s="100"/>
      <c r="OB31" s="100"/>
      <c r="OC31" s="100"/>
      <c r="OD31" s="100"/>
      <c r="OE31" s="100"/>
      <c r="OF31" s="100"/>
      <c r="OG31" s="100"/>
      <c r="OH31" s="100"/>
      <c r="OI31" s="100"/>
      <c r="OJ31" s="100"/>
      <c r="OK31" s="100"/>
      <c r="OL31" s="100"/>
      <c r="OM31" s="100"/>
      <c r="ON31" s="100"/>
      <c r="OO31" s="100"/>
      <c r="OP31" s="100"/>
      <c r="OQ31" s="100"/>
      <c r="OR31" s="100"/>
      <c r="OS31" s="100"/>
      <c r="OT31" s="100"/>
      <c r="OU31" s="100"/>
      <c r="OV31" s="100"/>
      <c r="OW31" s="100"/>
      <c r="OX31" s="100"/>
      <c r="OY31" s="100"/>
      <c r="OZ31" s="100"/>
      <c r="PA31" s="100"/>
      <c r="PB31" s="100"/>
      <c r="PC31" s="100"/>
      <c r="PD31" s="100"/>
      <c r="PE31" s="100"/>
      <c r="PF31" s="100"/>
      <c r="PG31" s="100"/>
      <c r="PH31" s="100"/>
      <c r="PI31" s="100"/>
      <c r="PJ31" s="100"/>
      <c r="PK31" s="100"/>
      <c r="PL31" s="100"/>
      <c r="PM31" s="100"/>
      <c r="PN31" s="100"/>
      <c r="PO31" s="100"/>
      <c r="PP31" s="100"/>
      <c r="PQ31" s="100"/>
      <c r="PR31" s="100"/>
      <c r="PS31" s="100"/>
      <c r="PT31" s="100"/>
      <c r="PU31" s="100"/>
      <c r="PV31" s="100"/>
      <c r="PW31" s="100"/>
      <c r="PX31" s="100"/>
      <c r="PY31" s="100"/>
      <c r="PZ31" s="100"/>
      <c r="QA31" s="100"/>
      <c r="QB31" s="100"/>
      <c r="QC31" s="100"/>
      <c r="QD31" s="100"/>
      <c r="QE31" s="100"/>
      <c r="QF31" s="100"/>
      <c r="QG31" s="100"/>
      <c r="QH31" s="100"/>
      <c r="QI31" s="100"/>
      <c r="QJ31" s="100"/>
      <c r="QK31" s="100"/>
      <c r="QL31" s="100"/>
      <c r="QM31" s="100"/>
      <c r="QN31" s="100"/>
      <c r="QO31" s="100"/>
      <c r="QP31" s="100"/>
      <c r="QQ31" s="100"/>
      <c r="QR31" s="100"/>
      <c r="QS31" s="100"/>
      <c r="QT31" s="100"/>
      <c r="QU31" s="100"/>
      <c r="QV31" s="100"/>
      <c r="QW31" s="100"/>
      <c r="QX31" s="100"/>
      <c r="QY31" s="23">
        <f t="shared" si="0"/>
        <v>15</v>
      </c>
      <c r="QZ31" s="47" t="s">
        <v>36</v>
      </c>
      <c r="RA31" s="97">
        <v>1913.04</v>
      </c>
      <c r="RB31" s="63">
        <f>RE31</f>
        <v>1913.04</v>
      </c>
      <c r="RC31" s="63">
        <v>1188.1499999999999</v>
      </c>
      <c r="RD31" s="97">
        <f t="shared" si="1"/>
        <v>0</v>
      </c>
      <c r="RE31" s="107">
        <v>1913.04</v>
      </c>
      <c r="RF31" s="107"/>
      <c r="RG31" s="83">
        <f t="shared" si="2"/>
        <v>1.6100997348819595</v>
      </c>
      <c r="RH31" s="116" t="s">
        <v>542</v>
      </c>
    </row>
    <row r="32" spans="1:476" s="5" customFormat="1" ht="12.75" customHeight="1" x14ac:dyDescent="0.25">
      <c r="A32" s="48">
        <v>44951</v>
      </c>
      <c r="B32" s="81" t="s">
        <v>546</v>
      </c>
      <c r="C32" s="98"/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100"/>
      <c r="O32" s="100"/>
      <c r="P32" s="100"/>
      <c r="Q32" s="100"/>
      <c r="R32" s="100">
        <v>1</v>
      </c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  <c r="IX32" s="100"/>
      <c r="IY32" s="100"/>
      <c r="IZ32" s="100"/>
      <c r="JA32" s="100"/>
      <c r="JB32" s="100"/>
      <c r="JC32" s="100"/>
      <c r="JD32" s="100"/>
      <c r="JE32" s="100"/>
      <c r="JF32" s="100"/>
      <c r="JG32" s="100"/>
      <c r="JH32" s="100"/>
      <c r="JI32" s="100"/>
      <c r="JJ32" s="100"/>
      <c r="JK32" s="100"/>
      <c r="JL32" s="100"/>
      <c r="JM32" s="100"/>
      <c r="JN32" s="100"/>
      <c r="JO32" s="100"/>
      <c r="JP32" s="100"/>
      <c r="JQ32" s="100"/>
      <c r="JR32" s="100"/>
      <c r="JS32" s="100"/>
      <c r="JT32" s="100"/>
      <c r="JU32" s="100"/>
      <c r="JV32" s="100"/>
      <c r="JW32" s="100"/>
      <c r="JX32" s="100"/>
      <c r="JY32" s="100"/>
      <c r="JZ32" s="100"/>
      <c r="KA32" s="100"/>
      <c r="KB32" s="100"/>
      <c r="KC32" s="100"/>
      <c r="KD32" s="100"/>
      <c r="KE32" s="100"/>
      <c r="KF32" s="100"/>
      <c r="KG32" s="100"/>
      <c r="KH32" s="100"/>
      <c r="KI32" s="100"/>
      <c r="KJ32" s="100"/>
      <c r="KK32" s="100"/>
      <c r="KL32" s="100"/>
      <c r="KM32" s="100"/>
      <c r="KN32" s="100"/>
      <c r="KO32" s="100"/>
      <c r="KP32" s="100"/>
      <c r="KQ32" s="100"/>
      <c r="KR32" s="100"/>
      <c r="KS32" s="100"/>
      <c r="KT32" s="100"/>
      <c r="KU32" s="100"/>
      <c r="KV32" s="100"/>
      <c r="KW32" s="100"/>
      <c r="KX32" s="100"/>
      <c r="KY32" s="100"/>
      <c r="KZ32" s="100"/>
      <c r="LA32" s="100"/>
      <c r="LB32" s="100"/>
      <c r="LC32" s="100"/>
      <c r="LD32" s="100"/>
      <c r="LE32" s="100"/>
      <c r="LF32" s="100"/>
      <c r="LG32" s="100"/>
      <c r="LH32" s="100"/>
      <c r="LI32" s="100"/>
      <c r="LJ32" s="100"/>
      <c r="LK32" s="100"/>
      <c r="LL32" s="100"/>
      <c r="LM32" s="100"/>
      <c r="LN32" s="100"/>
      <c r="LO32" s="100"/>
      <c r="LP32" s="100"/>
      <c r="LQ32" s="100"/>
      <c r="LR32" s="100"/>
      <c r="LS32" s="100"/>
      <c r="LT32" s="100"/>
      <c r="LU32" s="100"/>
      <c r="LV32" s="100"/>
      <c r="LW32" s="100"/>
      <c r="LX32" s="100"/>
      <c r="LY32" s="100"/>
      <c r="LZ32" s="100"/>
      <c r="MA32" s="100"/>
      <c r="MB32" s="100"/>
      <c r="MC32" s="100"/>
      <c r="MD32" s="100"/>
      <c r="ME32" s="100"/>
      <c r="MF32" s="100"/>
      <c r="MG32" s="100"/>
      <c r="MH32" s="100"/>
      <c r="MI32" s="100"/>
      <c r="MJ32" s="100"/>
      <c r="MK32" s="100"/>
      <c r="ML32" s="100"/>
      <c r="MM32" s="100"/>
      <c r="MN32" s="100"/>
      <c r="MO32" s="100"/>
      <c r="MP32" s="100"/>
      <c r="MQ32" s="100"/>
      <c r="MR32" s="100"/>
      <c r="MS32" s="100"/>
      <c r="MT32" s="100"/>
      <c r="MU32" s="100"/>
      <c r="MV32" s="100"/>
      <c r="MW32" s="100"/>
      <c r="MX32" s="100"/>
      <c r="MY32" s="100"/>
      <c r="MZ32" s="100"/>
      <c r="NA32" s="100"/>
      <c r="NB32" s="100"/>
      <c r="NC32" s="100"/>
      <c r="ND32" s="100"/>
      <c r="NE32" s="100"/>
      <c r="NF32" s="100"/>
      <c r="NG32" s="100"/>
      <c r="NH32" s="100"/>
      <c r="NI32" s="100"/>
      <c r="NJ32" s="100"/>
      <c r="NK32" s="100"/>
      <c r="NL32" s="100"/>
      <c r="NM32" s="100"/>
      <c r="NN32" s="100"/>
      <c r="NO32" s="100"/>
      <c r="NP32" s="100"/>
      <c r="NQ32" s="100"/>
      <c r="NR32" s="100"/>
      <c r="NS32" s="100"/>
      <c r="NT32" s="100"/>
      <c r="NU32" s="100"/>
      <c r="NV32" s="100"/>
      <c r="NW32" s="100"/>
      <c r="NX32" s="100"/>
      <c r="NY32" s="100"/>
      <c r="NZ32" s="100"/>
      <c r="OA32" s="100"/>
      <c r="OB32" s="100"/>
      <c r="OC32" s="100"/>
      <c r="OD32" s="100"/>
      <c r="OE32" s="100"/>
      <c r="OF32" s="100"/>
      <c r="OG32" s="100"/>
      <c r="OH32" s="100"/>
      <c r="OI32" s="100"/>
      <c r="OJ32" s="100"/>
      <c r="OK32" s="100"/>
      <c r="OL32" s="100"/>
      <c r="OM32" s="100"/>
      <c r="ON32" s="100"/>
      <c r="OO32" s="100"/>
      <c r="OP32" s="100"/>
      <c r="OQ32" s="100"/>
      <c r="OR32" s="100"/>
      <c r="OS32" s="100"/>
      <c r="OT32" s="100"/>
      <c r="OU32" s="100"/>
      <c r="OV32" s="100"/>
      <c r="OW32" s="100"/>
      <c r="OX32" s="100"/>
      <c r="OY32" s="100"/>
      <c r="OZ32" s="100"/>
      <c r="PA32" s="100"/>
      <c r="PB32" s="100"/>
      <c r="PC32" s="100"/>
      <c r="PD32" s="100"/>
      <c r="PE32" s="100"/>
      <c r="PF32" s="100"/>
      <c r="PG32" s="100"/>
      <c r="PH32" s="100"/>
      <c r="PI32" s="100"/>
      <c r="PJ32" s="100"/>
      <c r="PK32" s="100"/>
      <c r="PL32" s="100"/>
      <c r="PM32" s="100"/>
      <c r="PN32" s="100"/>
      <c r="PO32" s="100"/>
      <c r="PP32" s="100"/>
      <c r="PQ32" s="100"/>
      <c r="PR32" s="100"/>
      <c r="PS32" s="100"/>
      <c r="PT32" s="100"/>
      <c r="PU32" s="100"/>
      <c r="PV32" s="100"/>
      <c r="PW32" s="100"/>
      <c r="PX32" s="100"/>
      <c r="PY32" s="100"/>
      <c r="PZ32" s="100"/>
      <c r="QA32" s="100"/>
      <c r="QB32" s="100"/>
      <c r="QC32" s="100"/>
      <c r="QD32" s="100"/>
      <c r="QE32" s="100"/>
      <c r="QF32" s="100"/>
      <c r="QG32" s="100"/>
      <c r="QH32" s="100"/>
      <c r="QI32" s="100"/>
      <c r="QJ32" s="100"/>
      <c r="QK32" s="100"/>
      <c r="QL32" s="100"/>
      <c r="QM32" s="100"/>
      <c r="QN32" s="100"/>
      <c r="QO32" s="100"/>
      <c r="QP32" s="100"/>
      <c r="QQ32" s="100"/>
      <c r="QR32" s="100"/>
      <c r="QS32" s="100"/>
      <c r="QT32" s="100"/>
      <c r="QU32" s="100"/>
      <c r="QV32" s="100"/>
      <c r="QW32" s="100"/>
      <c r="QX32" s="100"/>
      <c r="QY32" s="23">
        <f t="shared" si="0"/>
        <v>1</v>
      </c>
      <c r="QZ32" s="47" t="s">
        <v>36</v>
      </c>
      <c r="RA32" s="97">
        <v>52.8</v>
      </c>
      <c r="RB32" s="63">
        <f>RE32</f>
        <v>52.8</v>
      </c>
      <c r="RC32" s="63">
        <v>31.64</v>
      </c>
      <c r="RD32" s="97">
        <f t="shared" si="1"/>
        <v>0</v>
      </c>
      <c r="RE32" s="107">
        <v>52.8</v>
      </c>
      <c r="RF32" s="107"/>
      <c r="RG32" s="83">
        <f t="shared" si="2"/>
        <v>1.6687737041719342</v>
      </c>
      <c r="RH32" s="116"/>
    </row>
    <row r="33" spans="1:476" s="5" customFormat="1" ht="12.75" customHeight="1" x14ac:dyDescent="0.25">
      <c r="A33" s="48">
        <v>44951</v>
      </c>
      <c r="B33" s="81" t="s">
        <v>551</v>
      </c>
      <c r="C33" s="98"/>
      <c r="D33" s="98"/>
      <c r="E33" s="99"/>
      <c r="F33" s="99"/>
      <c r="G33" s="99"/>
      <c r="H33" s="99"/>
      <c r="I33" s="99"/>
      <c r="J33" s="99"/>
      <c r="K33" s="99"/>
      <c r="L33" s="99"/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>
        <v>10</v>
      </c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  <c r="KK33" s="100"/>
      <c r="KL33" s="100"/>
      <c r="KM33" s="100"/>
      <c r="KN33" s="100"/>
      <c r="KO33" s="100"/>
      <c r="KP33" s="100"/>
      <c r="KQ33" s="100"/>
      <c r="KR33" s="100"/>
      <c r="KS33" s="100"/>
      <c r="KT33" s="100"/>
      <c r="KU33" s="100"/>
      <c r="KV33" s="100"/>
      <c r="KW33" s="100"/>
      <c r="KX33" s="100"/>
      <c r="KY33" s="100"/>
      <c r="KZ33" s="100"/>
      <c r="LA33" s="100"/>
      <c r="LB33" s="100"/>
      <c r="LC33" s="100"/>
      <c r="LD33" s="100"/>
      <c r="LE33" s="100"/>
      <c r="LF33" s="100"/>
      <c r="LG33" s="100"/>
      <c r="LH33" s="100"/>
      <c r="LI33" s="100"/>
      <c r="LJ33" s="100"/>
      <c r="LK33" s="100"/>
      <c r="LL33" s="100"/>
      <c r="LM33" s="100"/>
      <c r="LN33" s="100"/>
      <c r="LO33" s="100"/>
      <c r="LP33" s="100"/>
      <c r="LQ33" s="100"/>
      <c r="LR33" s="100"/>
      <c r="LS33" s="100"/>
      <c r="LT33" s="100"/>
      <c r="LU33" s="100"/>
      <c r="LV33" s="100"/>
      <c r="LW33" s="100"/>
      <c r="LX33" s="100"/>
      <c r="LY33" s="100"/>
      <c r="LZ33" s="100"/>
      <c r="MA33" s="100"/>
      <c r="MB33" s="100"/>
      <c r="MC33" s="100"/>
      <c r="MD33" s="100"/>
      <c r="ME33" s="100"/>
      <c r="MF33" s="100"/>
      <c r="MG33" s="100"/>
      <c r="MH33" s="100"/>
      <c r="MI33" s="100"/>
      <c r="MJ33" s="100"/>
      <c r="MK33" s="100"/>
      <c r="ML33" s="100"/>
      <c r="MM33" s="100"/>
      <c r="MN33" s="100"/>
      <c r="MO33" s="100"/>
      <c r="MP33" s="100"/>
      <c r="MQ33" s="100"/>
      <c r="MR33" s="100"/>
      <c r="MS33" s="100"/>
      <c r="MT33" s="100"/>
      <c r="MU33" s="100"/>
      <c r="MV33" s="100"/>
      <c r="MW33" s="100"/>
      <c r="MX33" s="100"/>
      <c r="MY33" s="100"/>
      <c r="MZ33" s="100"/>
      <c r="NA33" s="100"/>
      <c r="NB33" s="100"/>
      <c r="NC33" s="100"/>
      <c r="ND33" s="100"/>
      <c r="NE33" s="100"/>
      <c r="NF33" s="100"/>
      <c r="NG33" s="100"/>
      <c r="NH33" s="100"/>
      <c r="NI33" s="100"/>
      <c r="NJ33" s="100"/>
      <c r="NK33" s="100"/>
      <c r="NL33" s="100"/>
      <c r="NM33" s="100"/>
      <c r="NN33" s="100"/>
      <c r="NO33" s="100"/>
      <c r="NP33" s="100"/>
      <c r="NQ33" s="100"/>
      <c r="NR33" s="100"/>
      <c r="NS33" s="100"/>
      <c r="NT33" s="100"/>
      <c r="NU33" s="100"/>
      <c r="NV33" s="100"/>
      <c r="NW33" s="100"/>
      <c r="NX33" s="100"/>
      <c r="NY33" s="100"/>
      <c r="NZ33" s="100"/>
      <c r="OA33" s="100"/>
      <c r="OB33" s="100"/>
      <c r="OC33" s="100"/>
      <c r="OD33" s="100"/>
      <c r="OE33" s="100"/>
      <c r="OF33" s="100"/>
      <c r="OG33" s="100"/>
      <c r="OH33" s="100"/>
      <c r="OI33" s="100"/>
      <c r="OJ33" s="100"/>
      <c r="OK33" s="100"/>
      <c r="OL33" s="100"/>
      <c r="OM33" s="100"/>
      <c r="ON33" s="100"/>
      <c r="OO33" s="100"/>
      <c r="OP33" s="100"/>
      <c r="OQ33" s="100"/>
      <c r="OR33" s="100"/>
      <c r="OS33" s="100"/>
      <c r="OT33" s="100"/>
      <c r="OU33" s="100"/>
      <c r="OV33" s="100"/>
      <c r="OW33" s="100"/>
      <c r="OX33" s="100"/>
      <c r="OY33" s="100"/>
      <c r="OZ33" s="100"/>
      <c r="PA33" s="100"/>
      <c r="PB33" s="100"/>
      <c r="PC33" s="100"/>
      <c r="PD33" s="100"/>
      <c r="PE33" s="100"/>
      <c r="PF33" s="100"/>
      <c r="PG33" s="100"/>
      <c r="PH33" s="100"/>
      <c r="PI33" s="100"/>
      <c r="PJ33" s="100"/>
      <c r="PK33" s="100"/>
      <c r="PL33" s="100"/>
      <c r="PM33" s="100"/>
      <c r="PN33" s="100"/>
      <c r="PO33" s="100"/>
      <c r="PP33" s="100"/>
      <c r="PQ33" s="100"/>
      <c r="PR33" s="100"/>
      <c r="PS33" s="100"/>
      <c r="PT33" s="100"/>
      <c r="PU33" s="100"/>
      <c r="PV33" s="100"/>
      <c r="PW33" s="100"/>
      <c r="PX33" s="100"/>
      <c r="PY33" s="100"/>
      <c r="PZ33" s="100"/>
      <c r="QA33" s="100"/>
      <c r="QB33" s="100"/>
      <c r="QC33" s="100"/>
      <c r="QD33" s="100"/>
      <c r="QE33" s="100"/>
      <c r="QF33" s="100"/>
      <c r="QG33" s="100"/>
      <c r="QH33" s="100"/>
      <c r="QI33" s="100"/>
      <c r="QJ33" s="100"/>
      <c r="QK33" s="100"/>
      <c r="QL33" s="100"/>
      <c r="QM33" s="100"/>
      <c r="QN33" s="100"/>
      <c r="QO33" s="100"/>
      <c r="QP33" s="100"/>
      <c r="QQ33" s="100"/>
      <c r="QR33" s="100"/>
      <c r="QS33" s="100"/>
      <c r="QT33" s="100"/>
      <c r="QU33" s="100"/>
      <c r="QV33" s="100"/>
      <c r="QW33" s="100"/>
      <c r="QX33" s="100"/>
      <c r="QY33" s="23">
        <f t="shared" si="0"/>
        <v>10</v>
      </c>
      <c r="QZ33" s="47" t="s">
        <v>36</v>
      </c>
      <c r="RA33" s="97">
        <v>583.20000000000005</v>
      </c>
      <c r="RB33" s="63">
        <f>RE33</f>
        <v>583.20000000000005</v>
      </c>
      <c r="RC33" s="63">
        <v>337.8</v>
      </c>
      <c r="RD33" s="97">
        <f t="shared" si="1"/>
        <v>0</v>
      </c>
      <c r="RE33" s="107">
        <v>583.20000000000005</v>
      </c>
      <c r="RF33" s="107"/>
      <c r="RG33" s="83">
        <f t="shared" si="2"/>
        <v>1.7264653641207817</v>
      </c>
      <c r="RH33" s="116"/>
    </row>
    <row r="34" spans="1:476" s="5" customFormat="1" ht="12.75" customHeight="1" x14ac:dyDescent="0.25">
      <c r="A34" s="48">
        <v>44952</v>
      </c>
      <c r="B34" s="90" t="s">
        <v>397</v>
      </c>
      <c r="C34" s="98"/>
      <c r="D34" s="98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  <c r="IX34" s="100"/>
      <c r="IY34" s="100"/>
      <c r="IZ34" s="100"/>
      <c r="JA34" s="100"/>
      <c r="JB34" s="100"/>
      <c r="JC34" s="100"/>
      <c r="JD34" s="100"/>
      <c r="JE34" s="100"/>
      <c r="JF34" s="100"/>
      <c r="JG34" s="100"/>
      <c r="JH34" s="100"/>
      <c r="JI34" s="100"/>
      <c r="JJ34" s="100"/>
      <c r="JK34" s="100"/>
      <c r="JL34" s="100"/>
      <c r="JM34" s="100"/>
      <c r="JN34" s="100"/>
      <c r="JO34" s="100"/>
      <c r="JP34" s="100"/>
      <c r="JQ34" s="100"/>
      <c r="JR34" s="100"/>
      <c r="JS34" s="100"/>
      <c r="JT34" s="100"/>
      <c r="JU34" s="100"/>
      <c r="JV34" s="100"/>
      <c r="JW34" s="100"/>
      <c r="JX34" s="100"/>
      <c r="JY34" s="100"/>
      <c r="JZ34" s="100"/>
      <c r="KA34" s="100"/>
      <c r="KB34" s="100"/>
      <c r="KC34" s="100"/>
      <c r="KD34" s="100"/>
      <c r="KE34" s="100"/>
      <c r="KF34" s="100"/>
      <c r="KG34" s="100"/>
      <c r="KH34" s="100"/>
      <c r="KI34" s="100"/>
      <c r="KJ34" s="100"/>
      <c r="KK34" s="100"/>
      <c r="KL34" s="100"/>
      <c r="KM34" s="100"/>
      <c r="KN34" s="100"/>
      <c r="KO34" s="100"/>
      <c r="KP34" s="100"/>
      <c r="KQ34" s="100"/>
      <c r="KR34" s="100"/>
      <c r="KS34" s="100"/>
      <c r="KT34" s="100"/>
      <c r="KU34" s="100"/>
      <c r="KV34" s="100"/>
      <c r="KW34" s="100"/>
      <c r="KX34" s="100"/>
      <c r="KY34" s="100"/>
      <c r="KZ34" s="100"/>
      <c r="LA34" s="100"/>
      <c r="LB34" s="100"/>
      <c r="LC34" s="100"/>
      <c r="LD34" s="100"/>
      <c r="LE34" s="100"/>
      <c r="LF34" s="100"/>
      <c r="LG34" s="100"/>
      <c r="LH34" s="100"/>
      <c r="LI34" s="100"/>
      <c r="LJ34" s="100"/>
      <c r="LK34" s="100"/>
      <c r="LL34" s="100"/>
      <c r="LM34" s="100"/>
      <c r="LN34" s="100"/>
      <c r="LO34" s="100"/>
      <c r="LP34" s="100"/>
      <c r="LQ34" s="100"/>
      <c r="LR34" s="100"/>
      <c r="LS34" s="100"/>
      <c r="LT34" s="100"/>
      <c r="LU34" s="100"/>
      <c r="LV34" s="100"/>
      <c r="LW34" s="100"/>
      <c r="LX34" s="100"/>
      <c r="LY34" s="100"/>
      <c r="LZ34" s="100"/>
      <c r="MA34" s="100"/>
      <c r="MB34" s="100"/>
      <c r="MC34" s="100"/>
      <c r="MD34" s="100"/>
      <c r="ME34" s="100"/>
      <c r="MF34" s="100"/>
      <c r="MG34" s="100"/>
      <c r="MH34" s="100"/>
      <c r="MI34" s="100"/>
      <c r="MJ34" s="100"/>
      <c r="MK34" s="100"/>
      <c r="ML34" s="100"/>
      <c r="MM34" s="100"/>
      <c r="MN34" s="100"/>
      <c r="MO34" s="100"/>
      <c r="MP34" s="100"/>
      <c r="MQ34" s="100"/>
      <c r="MR34" s="100"/>
      <c r="MS34" s="100"/>
      <c r="MT34" s="100"/>
      <c r="MU34" s="100"/>
      <c r="MV34" s="100"/>
      <c r="MW34" s="100"/>
      <c r="MX34" s="100"/>
      <c r="MY34" s="100"/>
      <c r="MZ34" s="100"/>
      <c r="NA34" s="100"/>
      <c r="NB34" s="100"/>
      <c r="NC34" s="100"/>
      <c r="ND34" s="100"/>
      <c r="NE34" s="100"/>
      <c r="NF34" s="100"/>
      <c r="NG34" s="100"/>
      <c r="NH34" s="100"/>
      <c r="NI34" s="100"/>
      <c r="NJ34" s="100"/>
      <c r="NK34" s="100"/>
      <c r="NL34" s="100"/>
      <c r="NM34" s="100"/>
      <c r="NN34" s="100"/>
      <c r="NO34" s="100"/>
      <c r="NP34" s="100"/>
      <c r="NQ34" s="100"/>
      <c r="NR34" s="100"/>
      <c r="NS34" s="100"/>
      <c r="NT34" s="100"/>
      <c r="NU34" s="100"/>
      <c r="NV34" s="100"/>
      <c r="NW34" s="100"/>
      <c r="NX34" s="100"/>
      <c r="NY34" s="100"/>
      <c r="NZ34" s="100"/>
      <c r="OA34" s="100"/>
      <c r="OB34" s="100"/>
      <c r="OC34" s="100"/>
      <c r="OD34" s="100"/>
      <c r="OE34" s="100"/>
      <c r="OF34" s="100"/>
      <c r="OG34" s="100"/>
      <c r="OH34" s="100"/>
      <c r="OI34" s="100"/>
      <c r="OJ34" s="100"/>
      <c r="OK34" s="100"/>
      <c r="OL34" s="100"/>
      <c r="OM34" s="100"/>
      <c r="ON34" s="100"/>
      <c r="OO34" s="100"/>
      <c r="OP34" s="100"/>
      <c r="OQ34" s="100"/>
      <c r="OR34" s="100"/>
      <c r="OS34" s="100"/>
      <c r="OT34" s="100"/>
      <c r="OU34" s="100"/>
      <c r="OV34" s="100"/>
      <c r="OW34" s="100"/>
      <c r="OX34" s="100"/>
      <c r="OY34" s="100"/>
      <c r="OZ34" s="100"/>
      <c r="PA34" s="100"/>
      <c r="PB34" s="100"/>
      <c r="PC34" s="100"/>
      <c r="PD34" s="100"/>
      <c r="PE34" s="100"/>
      <c r="PF34" s="100"/>
      <c r="PG34" s="100"/>
      <c r="PH34" s="100"/>
      <c r="PI34" s="100"/>
      <c r="PJ34" s="100"/>
      <c r="PK34" s="100"/>
      <c r="PL34" s="100"/>
      <c r="PM34" s="100"/>
      <c r="PN34" s="100"/>
      <c r="PO34" s="100"/>
      <c r="PP34" s="100"/>
      <c r="PQ34" s="100"/>
      <c r="PR34" s="100"/>
      <c r="PS34" s="100"/>
      <c r="PT34" s="100"/>
      <c r="PU34" s="100"/>
      <c r="PV34" s="100"/>
      <c r="PW34" s="100"/>
      <c r="PX34" s="100"/>
      <c r="PY34" s="100"/>
      <c r="PZ34" s="100"/>
      <c r="QA34" s="100"/>
      <c r="QB34" s="100"/>
      <c r="QC34" s="100"/>
      <c r="QD34" s="100"/>
      <c r="QE34" s="100"/>
      <c r="QF34" s="100"/>
      <c r="QG34" s="100"/>
      <c r="QH34" s="100"/>
      <c r="QI34" s="100"/>
      <c r="QJ34" s="100"/>
      <c r="QK34" s="100"/>
      <c r="QL34" s="100"/>
      <c r="QM34" s="100"/>
      <c r="QN34" s="100"/>
      <c r="QO34" s="100"/>
      <c r="QP34" s="100">
        <v>1</v>
      </c>
      <c r="QQ34" s="100"/>
      <c r="QR34" s="100"/>
      <c r="QS34" s="100"/>
      <c r="QT34" s="100"/>
      <c r="QU34" s="100"/>
      <c r="QV34" s="100"/>
      <c r="QW34" s="100"/>
      <c r="QX34" s="100"/>
      <c r="QY34" s="23">
        <f t="shared" ref="QY34:QY65" si="3">SUBTOTAL(9,C34:QX34)</f>
        <v>1</v>
      </c>
      <c r="QZ34" s="47" t="s">
        <v>69</v>
      </c>
      <c r="RA34" s="97">
        <v>104.4</v>
      </c>
      <c r="RB34" s="63">
        <f>RE34+RF34</f>
        <v>104.4</v>
      </c>
      <c r="RC34" s="63">
        <v>73.94</v>
      </c>
      <c r="RD34" s="97">
        <f t="shared" ref="RD34:RD51" si="4">RA34-RB34</f>
        <v>0</v>
      </c>
      <c r="RE34" s="107"/>
      <c r="RF34" s="107">
        <v>104.4</v>
      </c>
      <c r="RG34" s="83">
        <f t="shared" ref="RG34:RG51" si="5">RA34/RC34</f>
        <v>1.4119556397078714</v>
      </c>
      <c r="RH34" s="116"/>
    </row>
    <row r="35" spans="1:476" s="5" customFormat="1" ht="12.75" customHeight="1" x14ac:dyDescent="0.25">
      <c r="A35" s="48">
        <v>44953</v>
      </c>
      <c r="B35" s="81" t="s">
        <v>449</v>
      </c>
      <c r="C35" s="98"/>
      <c r="D35" s="98"/>
      <c r="E35" s="99"/>
      <c r="F35" s="99"/>
      <c r="G35" s="99"/>
      <c r="H35" s="99"/>
      <c r="I35" s="99"/>
      <c r="J35" s="99"/>
      <c r="K35" s="99"/>
      <c r="L35" s="99"/>
      <c r="M35" s="99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>
        <v>200</v>
      </c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>
        <v>5</v>
      </c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  <c r="IX35" s="100"/>
      <c r="IY35" s="100"/>
      <c r="IZ35" s="100"/>
      <c r="JA35" s="100"/>
      <c r="JB35" s="100"/>
      <c r="JC35" s="100"/>
      <c r="JD35" s="100"/>
      <c r="JE35" s="100"/>
      <c r="JF35" s="100"/>
      <c r="JG35" s="100"/>
      <c r="JH35" s="100"/>
      <c r="JI35" s="100"/>
      <c r="JJ35" s="100"/>
      <c r="JK35" s="100"/>
      <c r="JL35" s="100"/>
      <c r="JM35" s="100"/>
      <c r="JN35" s="100"/>
      <c r="JO35" s="100"/>
      <c r="JP35" s="100"/>
      <c r="JQ35" s="100"/>
      <c r="JR35" s="100"/>
      <c r="JS35" s="100"/>
      <c r="JT35" s="100"/>
      <c r="JU35" s="100"/>
      <c r="JV35" s="100"/>
      <c r="JW35" s="100"/>
      <c r="JX35" s="100"/>
      <c r="JY35" s="100"/>
      <c r="JZ35" s="100"/>
      <c r="KA35" s="100"/>
      <c r="KB35" s="100"/>
      <c r="KC35" s="100"/>
      <c r="KD35" s="100"/>
      <c r="KE35" s="100"/>
      <c r="KF35" s="100"/>
      <c r="KG35" s="100"/>
      <c r="KH35" s="100"/>
      <c r="KI35" s="100"/>
      <c r="KJ35" s="100"/>
      <c r="KK35" s="100"/>
      <c r="KL35" s="100"/>
      <c r="KM35" s="100"/>
      <c r="KN35" s="100"/>
      <c r="KO35" s="100"/>
      <c r="KP35" s="100"/>
      <c r="KQ35" s="100"/>
      <c r="KR35" s="100"/>
      <c r="KS35" s="100"/>
      <c r="KT35" s="100"/>
      <c r="KU35" s="100"/>
      <c r="KV35" s="100"/>
      <c r="KW35" s="100"/>
      <c r="KX35" s="100"/>
      <c r="KY35" s="100"/>
      <c r="KZ35" s="100"/>
      <c r="LA35" s="100"/>
      <c r="LB35" s="100"/>
      <c r="LC35" s="100"/>
      <c r="LD35" s="100"/>
      <c r="LE35" s="100"/>
      <c r="LF35" s="100"/>
      <c r="LG35" s="100"/>
      <c r="LH35" s="100"/>
      <c r="LI35" s="100"/>
      <c r="LJ35" s="100"/>
      <c r="LK35" s="100"/>
      <c r="LL35" s="100"/>
      <c r="LM35" s="100"/>
      <c r="LN35" s="100"/>
      <c r="LO35" s="100"/>
      <c r="LP35" s="100"/>
      <c r="LQ35" s="100"/>
      <c r="LR35" s="100"/>
      <c r="LS35" s="100"/>
      <c r="LT35" s="100"/>
      <c r="LU35" s="100"/>
      <c r="LV35" s="100"/>
      <c r="LW35" s="100"/>
      <c r="LX35" s="100"/>
      <c r="LY35" s="100"/>
      <c r="LZ35" s="100"/>
      <c r="MA35" s="100"/>
      <c r="MB35" s="100"/>
      <c r="MC35" s="100"/>
      <c r="MD35" s="100"/>
      <c r="ME35" s="100"/>
      <c r="MF35" s="100"/>
      <c r="MG35" s="100"/>
      <c r="MH35" s="100"/>
      <c r="MI35" s="100"/>
      <c r="MJ35" s="100"/>
      <c r="MK35" s="100"/>
      <c r="ML35" s="100"/>
      <c r="MM35" s="100"/>
      <c r="MN35" s="100"/>
      <c r="MO35" s="100"/>
      <c r="MP35" s="100"/>
      <c r="MQ35" s="100"/>
      <c r="MR35" s="100"/>
      <c r="MS35" s="100"/>
      <c r="MT35" s="100"/>
      <c r="MU35" s="100"/>
      <c r="MV35" s="100"/>
      <c r="MW35" s="100"/>
      <c r="MX35" s="100"/>
      <c r="MY35" s="100"/>
      <c r="MZ35" s="100"/>
      <c r="NA35" s="100"/>
      <c r="NB35" s="100"/>
      <c r="NC35" s="100"/>
      <c r="ND35" s="100"/>
      <c r="NE35" s="100"/>
      <c r="NF35" s="100"/>
      <c r="NG35" s="100"/>
      <c r="NH35" s="100"/>
      <c r="NI35" s="100"/>
      <c r="NJ35" s="100"/>
      <c r="NK35" s="100"/>
      <c r="NL35" s="100"/>
      <c r="NM35" s="100"/>
      <c r="NN35" s="100"/>
      <c r="NO35" s="100"/>
      <c r="NP35" s="100"/>
      <c r="NQ35" s="100"/>
      <c r="NR35" s="100"/>
      <c r="NS35" s="100"/>
      <c r="NT35" s="100"/>
      <c r="NU35" s="100"/>
      <c r="NV35" s="100"/>
      <c r="NW35" s="100"/>
      <c r="NX35" s="100"/>
      <c r="NY35" s="100"/>
      <c r="NZ35" s="100"/>
      <c r="OA35" s="100"/>
      <c r="OB35" s="100"/>
      <c r="OC35" s="100"/>
      <c r="OD35" s="100"/>
      <c r="OE35" s="100"/>
      <c r="OF35" s="100"/>
      <c r="OG35" s="100"/>
      <c r="OH35" s="100"/>
      <c r="OI35" s="100"/>
      <c r="OJ35" s="100"/>
      <c r="OK35" s="100"/>
      <c r="OL35" s="100"/>
      <c r="OM35" s="100"/>
      <c r="ON35" s="100"/>
      <c r="OO35" s="100"/>
      <c r="OP35" s="100"/>
      <c r="OQ35" s="100"/>
      <c r="OR35" s="100"/>
      <c r="OS35" s="100"/>
      <c r="OT35" s="100"/>
      <c r="OU35" s="100"/>
      <c r="OV35" s="100"/>
      <c r="OW35" s="100"/>
      <c r="OX35" s="100"/>
      <c r="OY35" s="100"/>
      <c r="OZ35" s="100"/>
      <c r="PA35" s="100"/>
      <c r="PB35" s="100"/>
      <c r="PC35" s="100"/>
      <c r="PD35" s="100"/>
      <c r="PE35" s="100"/>
      <c r="PF35" s="100"/>
      <c r="PG35" s="100"/>
      <c r="PH35" s="100"/>
      <c r="PI35" s="100"/>
      <c r="PJ35" s="100"/>
      <c r="PK35" s="100"/>
      <c r="PL35" s="100"/>
      <c r="PM35" s="100"/>
      <c r="PN35" s="100"/>
      <c r="PO35" s="100"/>
      <c r="PP35" s="100"/>
      <c r="PQ35" s="100"/>
      <c r="PR35" s="100"/>
      <c r="PS35" s="100"/>
      <c r="PT35" s="100"/>
      <c r="PU35" s="100"/>
      <c r="PV35" s="100"/>
      <c r="PW35" s="100"/>
      <c r="PX35" s="100"/>
      <c r="PY35" s="100"/>
      <c r="PZ35" s="100"/>
      <c r="QA35" s="100"/>
      <c r="QB35" s="100"/>
      <c r="QC35" s="100"/>
      <c r="QD35" s="100"/>
      <c r="QE35" s="100"/>
      <c r="QF35" s="100"/>
      <c r="QG35" s="100"/>
      <c r="QH35" s="100"/>
      <c r="QI35" s="100"/>
      <c r="QJ35" s="100"/>
      <c r="QK35" s="100"/>
      <c r="QL35" s="100"/>
      <c r="QM35" s="100"/>
      <c r="QN35" s="100"/>
      <c r="QO35" s="100"/>
      <c r="QP35" s="100"/>
      <c r="QQ35" s="100"/>
      <c r="QR35" s="100"/>
      <c r="QS35" s="100"/>
      <c r="QT35" s="100"/>
      <c r="QU35" s="100"/>
      <c r="QV35" s="100"/>
      <c r="QW35" s="100"/>
      <c r="QX35" s="100"/>
      <c r="QY35" s="23">
        <f t="shared" si="3"/>
        <v>205</v>
      </c>
      <c r="QZ35" s="47" t="s">
        <v>36</v>
      </c>
      <c r="RA35" s="97">
        <v>15294</v>
      </c>
      <c r="RB35" s="63">
        <f>RE35+RF35</f>
        <v>15294</v>
      </c>
      <c r="RC35" s="63">
        <v>8619.35</v>
      </c>
      <c r="RD35" s="97">
        <f t="shared" si="4"/>
        <v>0</v>
      </c>
      <c r="RE35" s="107"/>
      <c r="RF35" s="107">
        <f>2491.5+12802.5</f>
        <v>15294</v>
      </c>
      <c r="RG35" s="83">
        <f t="shared" si="5"/>
        <v>1.7743797386113802</v>
      </c>
      <c r="RH35" s="116"/>
    </row>
    <row r="36" spans="1:476" s="5" customFormat="1" ht="12.75" customHeight="1" x14ac:dyDescent="0.25">
      <c r="A36" s="48">
        <v>44953</v>
      </c>
      <c r="B36" s="81" t="s">
        <v>499</v>
      </c>
      <c r="C36" s="98"/>
      <c r="D36" s="98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>
        <v>0.9</v>
      </c>
      <c r="HQ36" s="100"/>
      <c r="HR36" s="100">
        <v>2.7</v>
      </c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  <c r="IX36" s="100"/>
      <c r="IY36" s="100"/>
      <c r="IZ36" s="100"/>
      <c r="JA36" s="100"/>
      <c r="JB36" s="100"/>
      <c r="JC36" s="100"/>
      <c r="JD36" s="100"/>
      <c r="JE36" s="100"/>
      <c r="JF36" s="100"/>
      <c r="JG36" s="100"/>
      <c r="JH36" s="100"/>
      <c r="JI36" s="100"/>
      <c r="JJ36" s="100"/>
      <c r="JK36" s="100"/>
      <c r="JL36" s="100"/>
      <c r="JM36" s="100"/>
      <c r="JN36" s="100"/>
      <c r="JO36" s="100"/>
      <c r="JP36" s="100"/>
      <c r="JQ36" s="100"/>
      <c r="JR36" s="100"/>
      <c r="JS36" s="100"/>
      <c r="JT36" s="100"/>
      <c r="JU36" s="100"/>
      <c r="JV36" s="100"/>
      <c r="JW36" s="100"/>
      <c r="JX36" s="100"/>
      <c r="JY36" s="100"/>
      <c r="JZ36" s="100"/>
      <c r="KA36" s="100"/>
      <c r="KB36" s="100"/>
      <c r="KC36" s="100"/>
      <c r="KD36" s="100"/>
      <c r="KE36" s="100"/>
      <c r="KF36" s="100"/>
      <c r="KG36" s="100"/>
      <c r="KH36" s="100"/>
      <c r="KI36" s="100"/>
      <c r="KJ36" s="100"/>
      <c r="KK36" s="100"/>
      <c r="KL36" s="100"/>
      <c r="KM36" s="100"/>
      <c r="KN36" s="100"/>
      <c r="KO36" s="100"/>
      <c r="KP36" s="100"/>
      <c r="KQ36" s="100"/>
      <c r="KR36" s="100"/>
      <c r="KS36" s="100"/>
      <c r="KT36" s="100"/>
      <c r="KU36" s="100"/>
      <c r="KV36" s="100"/>
      <c r="KW36" s="100"/>
      <c r="KX36" s="100"/>
      <c r="KY36" s="100"/>
      <c r="KZ36" s="100"/>
      <c r="LA36" s="100"/>
      <c r="LB36" s="100"/>
      <c r="LC36" s="100"/>
      <c r="LD36" s="100"/>
      <c r="LE36" s="100"/>
      <c r="LF36" s="100"/>
      <c r="LG36" s="100"/>
      <c r="LH36" s="100"/>
      <c r="LI36" s="100"/>
      <c r="LJ36" s="100"/>
      <c r="LK36" s="100"/>
      <c r="LL36" s="100"/>
      <c r="LM36" s="100"/>
      <c r="LN36" s="100"/>
      <c r="LO36" s="100"/>
      <c r="LP36" s="100"/>
      <c r="LQ36" s="100"/>
      <c r="LR36" s="100"/>
      <c r="LS36" s="100"/>
      <c r="LT36" s="100"/>
      <c r="LU36" s="100"/>
      <c r="LV36" s="100"/>
      <c r="LW36" s="100"/>
      <c r="LX36" s="100"/>
      <c r="LY36" s="100"/>
      <c r="LZ36" s="100"/>
      <c r="MA36" s="100"/>
      <c r="MB36" s="100"/>
      <c r="MC36" s="100"/>
      <c r="MD36" s="100"/>
      <c r="ME36" s="100"/>
      <c r="MF36" s="100"/>
      <c r="MG36" s="100"/>
      <c r="MH36" s="100"/>
      <c r="MI36" s="100"/>
      <c r="MJ36" s="100"/>
      <c r="MK36" s="100"/>
      <c r="ML36" s="100"/>
      <c r="MM36" s="100"/>
      <c r="MN36" s="100"/>
      <c r="MO36" s="100"/>
      <c r="MP36" s="100"/>
      <c r="MQ36" s="100"/>
      <c r="MR36" s="100"/>
      <c r="MS36" s="100"/>
      <c r="MT36" s="100"/>
      <c r="MU36" s="100"/>
      <c r="MV36" s="100"/>
      <c r="MW36" s="100"/>
      <c r="MX36" s="100"/>
      <c r="MY36" s="100"/>
      <c r="MZ36" s="100"/>
      <c r="NA36" s="100"/>
      <c r="NB36" s="100"/>
      <c r="NC36" s="100"/>
      <c r="ND36" s="100"/>
      <c r="NE36" s="100"/>
      <c r="NF36" s="100"/>
      <c r="NG36" s="100"/>
      <c r="NH36" s="100"/>
      <c r="NI36" s="100"/>
      <c r="NJ36" s="100"/>
      <c r="NK36" s="100"/>
      <c r="NL36" s="100"/>
      <c r="NM36" s="100"/>
      <c r="NN36" s="100"/>
      <c r="NO36" s="100"/>
      <c r="NP36" s="100"/>
      <c r="NQ36" s="100"/>
      <c r="NR36" s="100"/>
      <c r="NS36" s="100"/>
      <c r="NT36" s="100"/>
      <c r="NU36" s="100"/>
      <c r="NV36" s="100"/>
      <c r="NW36" s="100"/>
      <c r="NX36" s="100"/>
      <c r="NY36" s="100"/>
      <c r="NZ36" s="100"/>
      <c r="OA36" s="100"/>
      <c r="OB36" s="100"/>
      <c r="OC36" s="100"/>
      <c r="OD36" s="100"/>
      <c r="OE36" s="100"/>
      <c r="OF36" s="100"/>
      <c r="OG36" s="100"/>
      <c r="OH36" s="100"/>
      <c r="OI36" s="100"/>
      <c r="OJ36" s="100"/>
      <c r="OK36" s="100"/>
      <c r="OL36" s="100"/>
      <c r="OM36" s="100"/>
      <c r="ON36" s="100"/>
      <c r="OO36" s="100"/>
      <c r="OP36" s="100"/>
      <c r="OQ36" s="100"/>
      <c r="OR36" s="100"/>
      <c r="OS36" s="100"/>
      <c r="OT36" s="100"/>
      <c r="OU36" s="100"/>
      <c r="OV36" s="100"/>
      <c r="OW36" s="100"/>
      <c r="OX36" s="100"/>
      <c r="OY36" s="100"/>
      <c r="OZ36" s="100"/>
      <c r="PA36" s="100"/>
      <c r="PB36" s="100"/>
      <c r="PC36" s="100"/>
      <c r="PD36" s="100"/>
      <c r="PE36" s="100"/>
      <c r="PF36" s="100"/>
      <c r="PG36" s="100"/>
      <c r="PH36" s="100"/>
      <c r="PI36" s="100"/>
      <c r="PJ36" s="100"/>
      <c r="PK36" s="100"/>
      <c r="PL36" s="100"/>
      <c r="PM36" s="100"/>
      <c r="PN36" s="100"/>
      <c r="PO36" s="100"/>
      <c r="PP36" s="100"/>
      <c r="PQ36" s="100"/>
      <c r="PR36" s="100"/>
      <c r="PS36" s="100"/>
      <c r="PT36" s="100"/>
      <c r="PU36" s="100"/>
      <c r="PV36" s="100"/>
      <c r="PW36" s="100"/>
      <c r="PX36" s="100"/>
      <c r="PY36" s="100"/>
      <c r="PZ36" s="100"/>
      <c r="QA36" s="100"/>
      <c r="QB36" s="100"/>
      <c r="QC36" s="100"/>
      <c r="QD36" s="100"/>
      <c r="QE36" s="100"/>
      <c r="QF36" s="100"/>
      <c r="QG36" s="100"/>
      <c r="QH36" s="100"/>
      <c r="QI36" s="100"/>
      <c r="QJ36" s="100"/>
      <c r="QK36" s="100"/>
      <c r="QL36" s="100"/>
      <c r="QM36" s="100"/>
      <c r="QN36" s="100"/>
      <c r="QO36" s="100"/>
      <c r="QP36" s="100"/>
      <c r="QQ36" s="100"/>
      <c r="QR36" s="100"/>
      <c r="QS36" s="100"/>
      <c r="QT36" s="100"/>
      <c r="QU36" s="100"/>
      <c r="QV36" s="100"/>
      <c r="QW36" s="100"/>
      <c r="QX36" s="100"/>
      <c r="QY36" s="23">
        <f t="shared" si="3"/>
        <v>3.6</v>
      </c>
      <c r="QZ36" s="47" t="s">
        <v>36</v>
      </c>
      <c r="RA36" s="97">
        <v>414.45</v>
      </c>
      <c r="RB36" s="63">
        <f>RE36</f>
        <v>414.45</v>
      </c>
      <c r="RC36" s="63">
        <v>254.691</v>
      </c>
      <c r="RD36" s="97">
        <f t="shared" si="4"/>
        <v>0</v>
      </c>
      <c r="RE36" s="107">
        <v>414.45</v>
      </c>
      <c r="RF36" s="107"/>
      <c r="RG36" s="83">
        <f t="shared" si="5"/>
        <v>1.6272659811300751</v>
      </c>
      <c r="RH36" s="116"/>
    </row>
    <row r="37" spans="1:476" s="5" customFormat="1" ht="12.75" customHeight="1" x14ac:dyDescent="0.25">
      <c r="A37" s="48">
        <v>44956</v>
      </c>
      <c r="B37" s="81" t="s">
        <v>444</v>
      </c>
      <c r="C37" s="98"/>
      <c r="D37" s="98"/>
      <c r="E37" s="99"/>
      <c r="F37" s="99"/>
      <c r="G37" s="99"/>
      <c r="H37" s="99"/>
      <c r="I37" s="99"/>
      <c r="J37" s="99"/>
      <c r="K37" s="99"/>
      <c r="L37" s="99"/>
      <c r="M37" s="99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  <c r="IX37" s="100"/>
      <c r="IY37" s="100"/>
      <c r="IZ37" s="100"/>
      <c r="JA37" s="100"/>
      <c r="JB37" s="100"/>
      <c r="JC37" s="100"/>
      <c r="JD37" s="100"/>
      <c r="JE37" s="100"/>
      <c r="JF37" s="100"/>
      <c r="JG37" s="100"/>
      <c r="JH37" s="100"/>
      <c r="JI37" s="100"/>
      <c r="JJ37" s="100"/>
      <c r="JK37" s="100"/>
      <c r="JL37" s="100"/>
      <c r="JM37" s="100"/>
      <c r="JN37" s="100"/>
      <c r="JO37" s="100"/>
      <c r="JP37" s="100"/>
      <c r="JQ37" s="100"/>
      <c r="JR37" s="100"/>
      <c r="JS37" s="100"/>
      <c r="JT37" s="100"/>
      <c r="JU37" s="100"/>
      <c r="JV37" s="100">
        <v>10</v>
      </c>
      <c r="JW37" s="100"/>
      <c r="JX37" s="100"/>
      <c r="JY37" s="100"/>
      <c r="JZ37" s="100"/>
      <c r="KA37" s="100"/>
      <c r="KB37" s="100"/>
      <c r="KC37" s="100"/>
      <c r="KD37" s="100"/>
      <c r="KE37" s="100"/>
      <c r="KF37" s="100"/>
      <c r="KG37" s="100"/>
      <c r="KH37" s="100"/>
      <c r="KI37" s="100"/>
      <c r="KJ37" s="100"/>
      <c r="KK37" s="100"/>
      <c r="KL37" s="100"/>
      <c r="KM37" s="100"/>
      <c r="KN37" s="100"/>
      <c r="KO37" s="100"/>
      <c r="KP37" s="100"/>
      <c r="KQ37" s="100"/>
      <c r="KR37" s="100"/>
      <c r="KS37" s="100"/>
      <c r="KT37" s="100"/>
      <c r="KU37" s="100"/>
      <c r="KV37" s="100"/>
      <c r="KW37" s="100"/>
      <c r="KX37" s="100"/>
      <c r="KY37" s="100"/>
      <c r="KZ37" s="100"/>
      <c r="LA37" s="100"/>
      <c r="LB37" s="100"/>
      <c r="LC37" s="100"/>
      <c r="LD37" s="100"/>
      <c r="LE37" s="100"/>
      <c r="LF37" s="100"/>
      <c r="LG37" s="100"/>
      <c r="LH37" s="100"/>
      <c r="LI37" s="100"/>
      <c r="LJ37" s="100"/>
      <c r="LK37" s="100"/>
      <c r="LL37" s="100"/>
      <c r="LM37" s="100"/>
      <c r="LN37" s="100"/>
      <c r="LO37" s="100"/>
      <c r="LP37" s="100"/>
      <c r="LQ37" s="100"/>
      <c r="LR37" s="100"/>
      <c r="LS37" s="100"/>
      <c r="LT37" s="100"/>
      <c r="LU37" s="100"/>
      <c r="LV37" s="100"/>
      <c r="LW37" s="100"/>
      <c r="LX37" s="100"/>
      <c r="LY37" s="100"/>
      <c r="LZ37" s="100"/>
      <c r="MA37" s="100"/>
      <c r="MB37" s="100"/>
      <c r="MC37" s="100"/>
      <c r="MD37" s="100"/>
      <c r="ME37" s="100"/>
      <c r="MF37" s="100"/>
      <c r="MG37" s="100"/>
      <c r="MH37" s="100"/>
      <c r="MI37" s="100"/>
      <c r="MJ37" s="100"/>
      <c r="MK37" s="100"/>
      <c r="ML37" s="100"/>
      <c r="MM37" s="100"/>
      <c r="MN37" s="100"/>
      <c r="MO37" s="100"/>
      <c r="MP37" s="100"/>
      <c r="MQ37" s="100"/>
      <c r="MR37" s="100"/>
      <c r="MS37" s="100"/>
      <c r="MT37" s="100"/>
      <c r="MU37" s="100"/>
      <c r="MV37" s="100"/>
      <c r="MW37" s="100"/>
      <c r="MX37" s="100"/>
      <c r="MY37" s="100"/>
      <c r="MZ37" s="100"/>
      <c r="NA37" s="100"/>
      <c r="NB37" s="100"/>
      <c r="NC37" s="100"/>
      <c r="ND37" s="100"/>
      <c r="NE37" s="100"/>
      <c r="NF37" s="100"/>
      <c r="NG37" s="100"/>
      <c r="NH37" s="100"/>
      <c r="NI37" s="100"/>
      <c r="NJ37" s="100"/>
      <c r="NK37" s="100"/>
      <c r="NL37" s="100"/>
      <c r="NM37" s="100"/>
      <c r="NN37" s="100"/>
      <c r="NO37" s="100"/>
      <c r="NP37" s="100"/>
      <c r="NQ37" s="100"/>
      <c r="NR37" s="100"/>
      <c r="NS37" s="100"/>
      <c r="NT37" s="100"/>
      <c r="NU37" s="100"/>
      <c r="NV37" s="100"/>
      <c r="NW37" s="100"/>
      <c r="NX37" s="100"/>
      <c r="NY37" s="100"/>
      <c r="NZ37" s="100"/>
      <c r="OA37" s="100"/>
      <c r="OB37" s="100"/>
      <c r="OC37" s="100"/>
      <c r="OD37" s="100"/>
      <c r="OE37" s="100"/>
      <c r="OF37" s="100"/>
      <c r="OG37" s="100"/>
      <c r="OH37" s="100"/>
      <c r="OI37" s="100"/>
      <c r="OJ37" s="100"/>
      <c r="OK37" s="100"/>
      <c r="OL37" s="100"/>
      <c r="OM37" s="100"/>
      <c r="ON37" s="100"/>
      <c r="OO37" s="100"/>
      <c r="OP37" s="100"/>
      <c r="OQ37" s="100"/>
      <c r="OR37" s="100"/>
      <c r="OS37" s="100"/>
      <c r="OT37" s="100"/>
      <c r="OU37" s="100"/>
      <c r="OV37" s="100"/>
      <c r="OW37" s="100"/>
      <c r="OX37" s="100"/>
      <c r="OY37" s="100"/>
      <c r="OZ37" s="100"/>
      <c r="PA37" s="100"/>
      <c r="PB37" s="100"/>
      <c r="PC37" s="100"/>
      <c r="PD37" s="100"/>
      <c r="PE37" s="100"/>
      <c r="PF37" s="100"/>
      <c r="PG37" s="100"/>
      <c r="PH37" s="100"/>
      <c r="PI37" s="100"/>
      <c r="PJ37" s="100"/>
      <c r="PK37" s="100"/>
      <c r="PL37" s="100"/>
      <c r="PM37" s="100"/>
      <c r="PN37" s="100"/>
      <c r="PO37" s="100"/>
      <c r="PP37" s="100"/>
      <c r="PQ37" s="100"/>
      <c r="PR37" s="100"/>
      <c r="PS37" s="100"/>
      <c r="PT37" s="100"/>
      <c r="PU37" s="100"/>
      <c r="PV37" s="100"/>
      <c r="PW37" s="100">
        <v>72</v>
      </c>
      <c r="PX37" s="100"/>
      <c r="PY37" s="100"/>
      <c r="PZ37" s="100"/>
      <c r="QA37" s="100"/>
      <c r="QB37" s="100"/>
      <c r="QC37" s="100"/>
      <c r="QD37" s="100"/>
      <c r="QE37" s="100"/>
      <c r="QF37" s="100"/>
      <c r="QG37" s="100"/>
      <c r="QH37" s="100"/>
      <c r="QI37" s="100"/>
      <c r="QJ37" s="100"/>
      <c r="QK37" s="100"/>
      <c r="QL37" s="100"/>
      <c r="QM37" s="100"/>
      <c r="QN37" s="100"/>
      <c r="QO37" s="100"/>
      <c r="QP37" s="100"/>
      <c r="QQ37" s="100"/>
      <c r="QR37" s="100"/>
      <c r="QS37" s="100"/>
      <c r="QT37" s="100"/>
      <c r="QU37" s="100"/>
      <c r="QV37" s="100"/>
      <c r="QW37" s="100"/>
      <c r="QX37" s="100"/>
      <c r="QY37" s="23">
        <f t="shared" si="3"/>
        <v>82</v>
      </c>
      <c r="QZ37" s="47" t="s">
        <v>69</v>
      </c>
      <c r="RA37" s="97">
        <v>14915.02</v>
      </c>
      <c r="RB37" s="63">
        <f>RE37+RF37</f>
        <v>0</v>
      </c>
      <c r="RC37" s="63">
        <v>11011.925000000001</v>
      </c>
      <c r="RD37" s="97">
        <f t="shared" si="4"/>
        <v>14915.02</v>
      </c>
      <c r="RE37" s="107"/>
      <c r="RF37" s="107"/>
      <c r="RG37" s="83">
        <f t="shared" si="5"/>
        <v>1.3544425702136547</v>
      </c>
      <c r="RH37" s="116"/>
    </row>
    <row r="38" spans="1:476" s="5" customFormat="1" ht="12.75" customHeight="1" x14ac:dyDescent="0.25">
      <c r="A38" s="48">
        <v>44956</v>
      </c>
      <c r="B38" s="90" t="s">
        <v>508</v>
      </c>
      <c r="C38" s="98"/>
      <c r="D38" s="98"/>
      <c r="E38" s="99"/>
      <c r="F38" s="99"/>
      <c r="G38" s="99"/>
      <c r="H38" s="99"/>
      <c r="I38" s="99"/>
      <c r="J38" s="99"/>
      <c r="K38" s="99"/>
      <c r="L38" s="99"/>
      <c r="M38" s="99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>
        <v>10</v>
      </c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>
        <v>10</v>
      </c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  <c r="IX38" s="100"/>
      <c r="IY38" s="100"/>
      <c r="IZ38" s="100"/>
      <c r="JA38" s="100"/>
      <c r="JB38" s="100"/>
      <c r="JC38" s="100"/>
      <c r="JD38" s="100"/>
      <c r="JE38" s="100"/>
      <c r="JF38" s="100"/>
      <c r="JG38" s="100"/>
      <c r="JH38" s="100"/>
      <c r="JI38" s="100"/>
      <c r="JJ38" s="100"/>
      <c r="JK38" s="100"/>
      <c r="JL38" s="100"/>
      <c r="JM38" s="100"/>
      <c r="JN38" s="100"/>
      <c r="JO38" s="100"/>
      <c r="JP38" s="100"/>
      <c r="JQ38" s="100"/>
      <c r="JR38" s="100"/>
      <c r="JS38" s="100"/>
      <c r="JT38" s="100"/>
      <c r="JU38" s="100"/>
      <c r="JV38" s="100"/>
      <c r="JW38" s="100"/>
      <c r="JX38" s="100"/>
      <c r="JY38" s="100"/>
      <c r="JZ38" s="100"/>
      <c r="KA38" s="100"/>
      <c r="KB38" s="100"/>
      <c r="KC38" s="100"/>
      <c r="KD38" s="100"/>
      <c r="KE38" s="100"/>
      <c r="KF38" s="100"/>
      <c r="KG38" s="100"/>
      <c r="KH38" s="100"/>
      <c r="KI38" s="100"/>
      <c r="KJ38" s="100"/>
      <c r="KK38" s="100"/>
      <c r="KL38" s="100"/>
      <c r="KM38" s="100"/>
      <c r="KN38" s="100"/>
      <c r="KO38" s="100"/>
      <c r="KP38" s="100"/>
      <c r="KQ38" s="100"/>
      <c r="KR38" s="100"/>
      <c r="KS38" s="100"/>
      <c r="KT38" s="100"/>
      <c r="KU38" s="100"/>
      <c r="KV38" s="100"/>
      <c r="KW38" s="100"/>
      <c r="KX38" s="100"/>
      <c r="KY38" s="100"/>
      <c r="KZ38" s="100"/>
      <c r="LA38" s="100"/>
      <c r="LB38" s="100"/>
      <c r="LC38" s="100"/>
      <c r="LD38" s="100"/>
      <c r="LE38" s="100"/>
      <c r="LF38" s="100"/>
      <c r="LG38" s="100"/>
      <c r="LH38" s="100"/>
      <c r="LI38" s="100"/>
      <c r="LJ38" s="100"/>
      <c r="LK38" s="100"/>
      <c r="LL38" s="100"/>
      <c r="LM38" s="100"/>
      <c r="LN38" s="100"/>
      <c r="LO38" s="100"/>
      <c r="LP38" s="100"/>
      <c r="LQ38" s="100"/>
      <c r="LR38" s="100"/>
      <c r="LS38" s="100"/>
      <c r="LT38" s="100"/>
      <c r="LU38" s="100"/>
      <c r="LV38" s="100"/>
      <c r="LW38" s="100"/>
      <c r="LX38" s="100"/>
      <c r="LY38" s="100"/>
      <c r="LZ38" s="100"/>
      <c r="MA38" s="100"/>
      <c r="MB38" s="100"/>
      <c r="MC38" s="100"/>
      <c r="MD38" s="100"/>
      <c r="ME38" s="100"/>
      <c r="MF38" s="100"/>
      <c r="MG38" s="100"/>
      <c r="MH38" s="100"/>
      <c r="MI38" s="100"/>
      <c r="MJ38" s="100"/>
      <c r="MK38" s="100"/>
      <c r="ML38" s="100"/>
      <c r="MM38" s="100"/>
      <c r="MN38" s="100"/>
      <c r="MO38" s="100"/>
      <c r="MP38" s="100"/>
      <c r="MQ38" s="100"/>
      <c r="MR38" s="100"/>
      <c r="MS38" s="100"/>
      <c r="MT38" s="100"/>
      <c r="MU38" s="100"/>
      <c r="MV38" s="100"/>
      <c r="MW38" s="100"/>
      <c r="MX38" s="100"/>
      <c r="MY38" s="100"/>
      <c r="MZ38" s="100"/>
      <c r="NA38" s="100"/>
      <c r="NB38" s="100"/>
      <c r="NC38" s="100"/>
      <c r="ND38" s="100"/>
      <c r="NE38" s="100"/>
      <c r="NF38" s="100"/>
      <c r="NG38" s="100"/>
      <c r="NH38" s="100"/>
      <c r="NI38" s="100"/>
      <c r="NJ38" s="100"/>
      <c r="NK38" s="100"/>
      <c r="NL38" s="100"/>
      <c r="NM38" s="100"/>
      <c r="NN38" s="100"/>
      <c r="NO38" s="100"/>
      <c r="NP38" s="100"/>
      <c r="NQ38" s="100"/>
      <c r="NR38" s="100"/>
      <c r="NS38" s="100"/>
      <c r="NT38" s="100"/>
      <c r="NU38" s="100"/>
      <c r="NV38" s="100"/>
      <c r="NW38" s="100"/>
      <c r="NX38" s="100"/>
      <c r="NY38" s="100"/>
      <c r="NZ38" s="100"/>
      <c r="OA38" s="100"/>
      <c r="OB38" s="100"/>
      <c r="OC38" s="100"/>
      <c r="OD38" s="100"/>
      <c r="OE38" s="100"/>
      <c r="OF38" s="100"/>
      <c r="OG38" s="100"/>
      <c r="OH38" s="100"/>
      <c r="OI38" s="100"/>
      <c r="OJ38" s="100"/>
      <c r="OK38" s="100"/>
      <c r="OL38" s="100"/>
      <c r="OM38" s="100"/>
      <c r="ON38" s="100"/>
      <c r="OO38" s="100"/>
      <c r="OP38" s="100"/>
      <c r="OQ38" s="100"/>
      <c r="OR38" s="100"/>
      <c r="OS38" s="100"/>
      <c r="OT38" s="100"/>
      <c r="OU38" s="100"/>
      <c r="OV38" s="100"/>
      <c r="OW38" s="100"/>
      <c r="OX38" s="100"/>
      <c r="OY38" s="100"/>
      <c r="OZ38" s="100"/>
      <c r="PA38" s="100"/>
      <c r="PB38" s="100"/>
      <c r="PC38" s="100"/>
      <c r="PD38" s="100"/>
      <c r="PE38" s="100"/>
      <c r="PF38" s="100"/>
      <c r="PG38" s="100"/>
      <c r="PH38" s="100"/>
      <c r="PI38" s="100"/>
      <c r="PJ38" s="100"/>
      <c r="PK38" s="100"/>
      <c r="PL38" s="100"/>
      <c r="PM38" s="100"/>
      <c r="PN38" s="100"/>
      <c r="PO38" s="100"/>
      <c r="PP38" s="100"/>
      <c r="PQ38" s="100"/>
      <c r="PR38" s="100"/>
      <c r="PS38" s="100"/>
      <c r="PT38" s="100"/>
      <c r="PU38" s="100"/>
      <c r="PV38" s="100"/>
      <c r="PW38" s="100"/>
      <c r="PX38" s="100"/>
      <c r="PY38" s="100"/>
      <c r="PZ38" s="100"/>
      <c r="QA38" s="100"/>
      <c r="QB38" s="100"/>
      <c r="QC38" s="100"/>
      <c r="QD38" s="100"/>
      <c r="QE38" s="100"/>
      <c r="QF38" s="100"/>
      <c r="QG38" s="100"/>
      <c r="QH38" s="100"/>
      <c r="QI38" s="100"/>
      <c r="QJ38" s="100"/>
      <c r="QK38" s="100"/>
      <c r="QL38" s="100"/>
      <c r="QM38" s="100"/>
      <c r="QN38" s="100"/>
      <c r="QO38" s="100"/>
      <c r="QP38" s="100"/>
      <c r="QQ38" s="100"/>
      <c r="QR38" s="100"/>
      <c r="QS38" s="100"/>
      <c r="QT38" s="100"/>
      <c r="QU38" s="100"/>
      <c r="QV38" s="100"/>
      <c r="QW38" s="100"/>
      <c r="QX38" s="100"/>
      <c r="QY38" s="23">
        <f t="shared" si="3"/>
        <v>20</v>
      </c>
      <c r="QZ38" s="47" t="s">
        <v>36</v>
      </c>
      <c r="RA38" s="97">
        <v>1299.96</v>
      </c>
      <c r="RB38" s="63">
        <f>RE38</f>
        <v>1299.96</v>
      </c>
      <c r="RC38" s="63">
        <v>866</v>
      </c>
      <c r="RD38" s="97">
        <f t="shared" si="4"/>
        <v>0</v>
      </c>
      <c r="RE38" s="107">
        <f>0.31+1299.65</f>
        <v>1299.96</v>
      </c>
      <c r="RF38" s="107"/>
      <c r="RG38" s="83">
        <f t="shared" si="5"/>
        <v>1.501108545034642</v>
      </c>
      <c r="RH38" s="116" t="s">
        <v>526</v>
      </c>
    </row>
    <row r="39" spans="1:476" s="5" customFormat="1" ht="12.75" customHeight="1" x14ac:dyDescent="0.25">
      <c r="A39" s="48">
        <v>44957</v>
      </c>
      <c r="B39" s="90" t="s">
        <v>335</v>
      </c>
      <c r="C39" s="98"/>
      <c r="D39" s="98"/>
      <c r="E39" s="99"/>
      <c r="F39" s="99"/>
      <c r="G39" s="99"/>
      <c r="H39" s="99"/>
      <c r="I39" s="99"/>
      <c r="J39" s="99"/>
      <c r="K39" s="99"/>
      <c r="L39" s="99"/>
      <c r="M39" s="99"/>
      <c r="N39" s="100"/>
      <c r="O39" s="100"/>
      <c r="P39" s="100"/>
      <c r="Q39" s="100">
        <v>1</v>
      </c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  <c r="IX39" s="100"/>
      <c r="IY39" s="100"/>
      <c r="IZ39" s="100"/>
      <c r="JA39" s="100"/>
      <c r="JB39" s="100"/>
      <c r="JC39" s="100"/>
      <c r="JD39" s="100"/>
      <c r="JE39" s="100"/>
      <c r="JF39" s="100"/>
      <c r="JG39" s="100"/>
      <c r="JH39" s="100"/>
      <c r="JI39" s="100"/>
      <c r="JJ39" s="100"/>
      <c r="JK39" s="100"/>
      <c r="JL39" s="100"/>
      <c r="JM39" s="100"/>
      <c r="JN39" s="100"/>
      <c r="JO39" s="100"/>
      <c r="JP39" s="100"/>
      <c r="JQ39" s="100"/>
      <c r="JR39" s="100"/>
      <c r="JS39" s="100"/>
      <c r="JT39" s="100"/>
      <c r="JU39" s="100"/>
      <c r="JV39" s="100"/>
      <c r="JW39" s="100"/>
      <c r="JX39" s="100"/>
      <c r="JY39" s="100"/>
      <c r="JZ39" s="100"/>
      <c r="KA39" s="100"/>
      <c r="KB39" s="100"/>
      <c r="KC39" s="100"/>
      <c r="KD39" s="100"/>
      <c r="KE39" s="100"/>
      <c r="KF39" s="100"/>
      <c r="KG39" s="100"/>
      <c r="KH39" s="100"/>
      <c r="KI39" s="100"/>
      <c r="KJ39" s="100"/>
      <c r="KK39" s="100"/>
      <c r="KL39" s="100"/>
      <c r="KM39" s="100"/>
      <c r="KN39" s="100"/>
      <c r="KO39" s="100"/>
      <c r="KP39" s="100"/>
      <c r="KQ39" s="100"/>
      <c r="KR39" s="100"/>
      <c r="KS39" s="100"/>
      <c r="KT39" s="100"/>
      <c r="KU39" s="100"/>
      <c r="KV39" s="100"/>
      <c r="KW39" s="100"/>
      <c r="KX39" s="100"/>
      <c r="KY39" s="100"/>
      <c r="KZ39" s="100"/>
      <c r="LA39" s="100"/>
      <c r="LB39" s="100"/>
      <c r="LC39" s="100"/>
      <c r="LD39" s="100"/>
      <c r="LE39" s="100"/>
      <c r="LF39" s="100"/>
      <c r="LG39" s="100"/>
      <c r="LH39" s="100"/>
      <c r="LI39" s="100"/>
      <c r="LJ39" s="100"/>
      <c r="LK39" s="100"/>
      <c r="LL39" s="100"/>
      <c r="LM39" s="100"/>
      <c r="LN39" s="100"/>
      <c r="LO39" s="100"/>
      <c r="LP39" s="100"/>
      <c r="LQ39" s="100"/>
      <c r="LR39" s="100"/>
      <c r="LS39" s="100"/>
      <c r="LT39" s="100"/>
      <c r="LU39" s="100"/>
      <c r="LV39" s="100"/>
      <c r="LW39" s="100"/>
      <c r="LX39" s="100"/>
      <c r="LY39" s="100"/>
      <c r="LZ39" s="100"/>
      <c r="MA39" s="100"/>
      <c r="MB39" s="100"/>
      <c r="MC39" s="100"/>
      <c r="MD39" s="100"/>
      <c r="ME39" s="100"/>
      <c r="MF39" s="100"/>
      <c r="MG39" s="100"/>
      <c r="MH39" s="100"/>
      <c r="MI39" s="100"/>
      <c r="MJ39" s="100"/>
      <c r="MK39" s="100"/>
      <c r="ML39" s="100"/>
      <c r="MM39" s="100"/>
      <c r="MN39" s="100"/>
      <c r="MO39" s="100"/>
      <c r="MP39" s="100"/>
      <c r="MQ39" s="100"/>
      <c r="MR39" s="100"/>
      <c r="MS39" s="100"/>
      <c r="MT39" s="100"/>
      <c r="MU39" s="100"/>
      <c r="MV39" s="100"/>
      <c r="MW39" s="100"/>
      <c r="MX39" s="100"/>
      <c r="MY39" s="100"/>
      <c r="MZ39" s="100"/>
      <c r="NA39" s="100"/>
      <c r="NB39" s="100"/>
      <c r="NC39" s="100"/>
      <c r="ND39" s="100"/>
      <c r="NE39" s="100"/>
      <c r="NF39" s="100"/>
      <c r="NG39" s="100"/>
      <c r="NH39" s="100"/>
      <c r="NI39" s="100"/>
      <c r="NJ39" s="100"/>
      <c r="NK39" s="100"/>
      <c r="NL39" s="100"/>
      <c r="NM39" s="100"/>
      <c r="NN39" s="100"/>
      <c r="NO39" s="100"/>
      <c r="NP39" s="100"/>
      <c r="NQ39" s="100"/>
      <c r="NR39" s="100"/>
      <c r="NS39" s="100"/>
      <c r="NT39" s="100"/>
      <c r="NU39" s="100"/>
      <c r="NV39" s="100"/>
      <c r="NW39" s="100"/>
      <c r="NX39" s="100"/>
      <c r="NY39" s="100"/>
      <c r="NZ39" s="100"/>
      <c r="OA39" s="100"/>
      <c r="OB39" s="100"/>
      <c r="OC39" s="100"/>
      <c r="OD39" s="100"/>
      <c r="OE39" s="100"/>
      <c r="OF39" s="100"/>
      <c r="OG39" s="100"/>
      <c r="OH39" s="100"/>
      <c r="OI39" s="100"/>
      <c r="OJ39" s="100"/>
      <c r="OK39" s="100"/>
      <c r="OL39" s="100"/>
      <c r="OM39" s="100"/>
      <c r="ON39" s="100"/>
      <c r="OO39" s="100"/>
      <c r="OP39" s="100"/>
      <c r="OQ39" s="100"/>
      <c r="OR39" s="100"/>
      <c r="OS39" s="100"/>
      <c r="OT39" s="100"/>
      <c r="OU39" s="100"/>
      <c r="OV39" s="100"/>
      <c r="OW39" s="100"/>
      <c r="OX39" s="100"/>
      <c r="OY39" s="100"/>
      <c r="OZ39" s="100"/>
      <c r="PA39" s="100"/>
      <c r="PB39" s="100"/>
      <c r="PC39" s="100"/>
      <c r="PD39" s="100"/>
      <c r="PE39" s="100"/>
      <c r="PF39" s="100"/>
      <c r="PG39" s="100"/>
      <c r="PH39" s="100"/>
      <c r="PI39" s="100"/>
      <c r="PJ39" s="100"/>
      <c r="PK39" s="100"/>
      <c r="PL39" s="100"/>
      <c r="PM39" s="100"/>
      <c r="PN39" s="100"/>
      <c r="PO39" s="100"/>
      <c r="PP39" s="100"/>
      <c r="PQ39" s="100"/>
      <c r="PR39" s="100"/>
      <c r="PS39" s="100"/>
      <c r="PT39" s="100"/>
      <c r="PU39" s="100"/>
      <c r="PV39" s="100"/>
      <c r="PW39" s="100"/>
      <c r="PX39" s="100"/>
      <c r="PY39" s="100"/>
      <c r="PZ39" s="100"/>
      <c r="QA39" s="100"/>
      <c r="QB39" s="100"/>
      <c r="QC39" s="100"/>
      <c r="QD39" s="100"/>
      <c r="QE39" s="100"/>
      <c r="QF39" s="100"/>
      <c r="QG39" s="100"/>
      <c r="QH39" s="100"/>
      <c r="QI39" s="100"/>
      <c r="QJ39" s="100"/>
      <c r="QK39" s="100"/>
      <c r="QL39" s="100"/>
      <c r="QM39" s="100"/>
      <c r="QN39" s="100"/>
      <c r="QO39" s="100"/>
      <c r="QP39" s="100"/>
      <c r="QQ39" s="100"/>
      <c r="QR39" s="100"/>
      <c r="QS39" s="100"/>
      <c r="QT39" s="100"/>
      <c r="QU39" s="100"/>
      <c r="QV39" s="100"/>
      <c r="QW39" s="100"/>
      <c r="QX39" s="100"/>
      <c r="QY39" s="23">
        <f t="shared" si="3"/>
        <v>1</v>
      </c>
      <c r="QZ39" s="47" t="s">
        <v>36</v>
      </c>
      <c r="RA39" s="97">
        <v>64.959999999999994</v>
      </c>
      <c r="RB39" s="63">
        <f t="shared" ref="RB39:RB48" si="6">RE39+RF39</f>
        <v>64.959999999999994</v>
      </c>
      <c r="RC39" s="63">
        <v>37.83</v>
      </c>
      <c r="RD39" s="97">
        <f t="shared" si="4"/>
        <v>0</v>
      </c>
      <c r="RE39" s="107"/>
      <c r="RF39" s="107">
        <v>64.959999999999994</v>
      </c>
      <c r="RG39" s="83">
        <f t="shared" si="5"/>
        <v>1.7171556965371397</v>
      </c>
      <c r="RH39" s="116" t="s">
        <v>558</v>
      </c>
    </row>
    <row r="40" spans="1:476" s="5" customFormat="1" ht="12.75" customHeight="1" x14ac:dyDescent="0.25">
      <c r="A40" s="48">
        <v>44957</v>
      </c>
      <c r="B40" s="90" t="s">
        <v>388</v>
      </c>
      <c r="C40" s="98"/>
      <c r="D40" s="98"/>
      <c r="E40" s="99"/>
      <c r="F40" s="99"/>
      <c r="G40" s="99"/>
      <c r="H40" s="99"/>
      <c r="I40" s="99"/>
      <c r="J40" s="99"/>
      <c r="K40" s="99"/>
      <c r="L40" s="99"/>
      <c r="M40" s="99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>
        <v>10</v>
      </c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>
        <v>10</v>
      </c>
      <c r="BH40" s="100"/>
      <c r="BI40" s="100"/>
      <c r="BJ40" s="100"/>
      <c r="BK40" s="100"/>
      <c r="BL40" s="100">
        <v>10</v>
      </c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0"/>
      <c r="DN40" s="100"/>
      <c r="DO40" s="100"/>
      <c r="DP40" s="100"/>
      <c r="DQ40" s="100"/>
      <c r="DR40" s="100"/>
      <c r="DS40" s="100"/>
      <c r="DT40" s="100"/>
      <c r="DU40" s="100"/>
      <c r="DV40" s="100"/>
      <c r="DW40" s="100"/>
      <c r="DX40" s="100"/>
      <c r="DY40" s="100"/>
      <c r="DZ40" s="100"/>
      <c r="EA40" s="100"/>
      <c r="EB40" s="100"/>
      <c r="EC40" s="100"/>
      <c r="ED40" s="100"/>
      <c r="EE40" s="100"/>
      <c r="EF40" s="100"/>
      <c r="EG40" s="100"/>
      <c r="EH40" s="100"/>
      <c r="EI40" s="100"/>
      <c r="EJ40" s="100"/>
      <c r="EK40" s="100"/>
      <c r="EL40" s="100"/>
      <c r="EM40" s="100"/>
      <c r="EN40" s="100"/>
      <c r="EO40" s="100"/>
      <c r="EP40" s="100"/>
      <c r="EQ40" s="100"/>
      <c r="ER40" s="100"/>
      <c r="ES40" s="100"/>
      <c r="ET40" s="100"/>
      <c r="EU40" s="100"/>
      <c r="EV40" s="100"/>
      <c r="EW40" s="100"/>
      <c r="EX40" s="100"/>
      <c r="EY40" s="100"/>
      <c r="EZ40" s="100"/>
      <c r="FA40" s="100"/>
      <c r="FB40" s="100"/>
      <c r="FC40" s="100"/>
      <c r="FD40" s="100"/>
      <c r="FE40" s="100"/>
      <c r="FF40" s="100"/>
      <c r="FG40" s="100"/>
      <c r="FH40" s="100"/>
      <c r="FI40" s="100"/>
      <c r="FJ40" s="100"/>
      <c r="FK40" s="100"/>
      <c r="FL40" s="100"/>
      <c r="FM40" s="100"/>
      <c r="FN40" s="100"/>
      <c r="FO40" s="100"/>
      <c r="FP40" s="100"/>
      <c r="FQ40" s="100"/>
      <c r="FR40" s="100"/>
      <c r="FS40" s="100"/>
      <c r="FT40" s="100"/>
      <c r="FU40" s="100"/>
      <c r="FV40" s="100"/>
      <c r="FW40" s="100"/>
      <c r="FX40" s="100"/>
      <c r="FY40" s="100"/>
      <c r="FZ40" s="100"/>
      <c r="GA40" s="100"/>
      <c r="GB40" s="100"/>
      <c r="GC40" s="100"/>
      <c r="GD40" s="100"/>
      <c r="GE40" s="100"/>
      <c r="GF40" s="100"/>
      <c r="GG40" s="100"/>
      <c r="GH40" s="100"/>
      <c r="GI40" s="100"/>
      <c r="GJ40" s="100"/>
      <c r="GK40" s="100"/>
      <c r="GL40" s="100"/>
      <c r="GM40" s="100"/>
      <c r="GN40" s="100"/>
      <c r="GO40" s="100"/>
      <c r="GP40" s="100"/>
      <c r="GQ40" s="100"/>
      <c r="GR40" s="100"/>
      <c r="GS40" s="100"/>
      <c r="GT40" s="100"/>
      <c r="GU40" s="100"/>
      <c r="GV40" s="100"/>
      <c r="GW40" s="100"/>
      <c r="GX40" s="100"/>
      <c r="GY40" s="100"/>
      <c r="GZ40" s="100"/>
      <c r="HA40" s="100"/>
      <c r="HB40" s="100"/>
      <c r="HC40" s="100"/>
      <c r="HD40" s="100"/>
      <c r="HE40" s="100"/>
      <c r="HF40" s="100"/>
      <c r="HG40" s="100"/>
      <c r="HH40" s="100"/>
      <c r="HI40" s="100"/>
      <c r="HJ40" s="100"/>
      <c r="HK40" s="100"/>
      <c r="HL40" s="100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0"/>
      <c r="II40" s="100"/>
      <c r="IJ40" s="100"/>
      <c r="IK40" s="100"/>
      <c r="IL40" s="100"/>
      <c r="IM40" s="100"/>
      <c r="IN40" s="100"/>
      <c r="IO40" s="100"/>
      <c r="IP40" s="100"/>
      <c r="IQ40" s="100"/>
      <c r="IR40" s="100"/>
      <c r="IS40" s="100"/>
      <c r="IT40" s="100"/>
      <c r="IU40" s="100"/>
      <c r="IV40" s="100"/>
      <c r="IW40" s="100"/>
      <c r="IX40" s="100"/>
      <c r="IY40" s="100"/>
      <c r="IZ40" s="100"/>
      <c r="JA40" s="100"/>
      <c r="JB40" s="100"/>
      <c r="JC40" s="100"/>
      <c r="JD40" s="100"/>
      <c r="JE40" s="100"/>
      <c r="JF40" s="100"/>
      <c r="JG40" s="100"/>
      <c r="JH40" s="100"/>
      <c r="JI40" s="100"/>
      <c r="JJ40" s="100"/>
      <c r="JK40" s="100"/>
      <c r="JL40" s="100"/>
      <c r="JM40" s="100"/>
      <c r="JN40" s="100"/>
      <c r="JO40" s="100"/>
      <c r="JP40" s="100"/>
      <c r="JQ40" s="100"/>
      <c r="JR40" s="100"/>
      <c r="JS40" s="100"/>
      <c r="JT40" s="100"/>
      <c r="JU40" s="100"/>
      <c r="JV40" s="100"/>
      <c r="JW40" s="100"/>
      <c r="JX40" s="100"/>
      <c r="JY40" s="100"/>
      <c r="JZ40" s="100"/>
      <c r="KA40" s="100"/>
      <c r="KB40" s="100"/>
      <c r="KC40" s="100"/>
      <c r="KD40" s="100"/>
      <c r="KE40" s="100"/>
      <c r="KF40" s="100"/>
      <c r="KG40" s="100"/>
      <c r="KH40" s="100"/>
      <c r="KI40" s="100"/>
      <c r="KJ40" s="100"/>
      <c r="KK40" s="100"/>
      <c r="KL40" s="100"/>
      <c r="KM40" s="100"/>
      <c r="KN40" s="100"/>
      <c r="KO40" s="100"/>
      <c r="KP40" s="100"/>
      <c r="KQ40" s="100"/>
      <c r="KR40" s="100"/>
      <c r="KS40" s="100"/>
      <c r="KT40" s="100"/>
      <c r="KU40" s="100"/>
      <c r="KV40" s="100"/>
      <c r="KW40" s="100"/>
      <c r="KX40" s="100"/>
      <c r="KY40" s="100"/>
      <c r="KZ40" s="100"/>
      <c r="LA40" s="100"/>
      <c r="LB40" s="100"/>
      <c r="LC40" s="100"/>
      <c r="LD40" s="100"/>
      <c r="LE40" s="100"/>
      <c r="LF40" s="100"/>
      <c r="LG40" s="100"/>
      <c r="LH40" s="100"/>
      <c r="LI40" s="100"/>
      <c r="LJ40" s="100"/>
      <c r="LK40" s="100"/>
      <c r="LL40" s="100"/>
      <c r="LM40" s="100"/>
      <c r="LN40" s="100"/>
      <c r="LO40" s="100"/>
      <c r="LP40" s="100"/>
      <c r="LQ40" s="100"/>
      <c r="LR40" s="100"/>
      <c r="LS40" s="100"/>
      <c r="LT40" s="100"/>
      <c r="LU40" s="100"/>
      <c r="LV40" s="100"/>
      <c r="LW40" s="100"/>
      <c r="LX40" s="100"/>
      <c r="LY40" s="100"/>
      <c r="LZ40" s="100"/>
      <c r="MA40" s="100"/>
      <c r="MB40" s="100"/>
      <c r="MC40" s="100"/>
      <c r="MD40" s="100"/>
      <c r="ME40" s="100"/>
      <c r="MF40" s="100"/>
      <c r="MG40" s="100"/>
      <c r="MH40" s="100"/>
      <c r="MI40" s="100"/>
      <c r="MJ40" s="100"/>
      <c r="MK40" s="100"/>
      <c r="ML40" s="100"/>
      <c r="MM40" s="100"/>
      <c r="MN40" s="100"/>
      <c r="MO40" s="100"/>
      <c r="MP40" s="100"/>
      <c r="MQ40" s="100"/>
      <c r="MR40" s="100"/>
      <c r="MS40" s="100"/>
      <c r="MT40" s="100"/>
      <c r="MU40" s="100"/>
      <c r="MV40" s="100"/>
      <c r="MW40" s="100"/>
      <c r="MX40" s="100"/>
      <c r="MY40" s="100"/>
      <c r="MZ40" s="100"/>
      <c r="NA40" s="100"/>
      <c r="NB40" s="100"/>
      <c r="NC40" s="100"/>
      <c r="ND40" s="100"/>
      <c r="NE40" s="100"/>
      <c r="NF40" s="100"/>
      <c r="NG40" s="100"/>
      <c r="NH40" s="100"/>
      <c r="NI40" s="100"/>
      <c r="NJ40" s="100"/>
      <c r="NK40" s="100"/>
      <c r="NL40" s="100"/>
      <c r="NM40" s="100"/>
      <c r="NN40" s="100"/>
      <c r="NO40" s="100"/>
      <c r="NP40" s="100"/>
      <c r="NQ40" s="100"/>
      <c r="NR40" s="100"/>
      <c r="NS40" s="100"/>
      <c r="NT40" s="100"/>
      <c r="NU40" s="100"/>
      <c r="NV40" s="100"/>
      <c r="NW40" s="100"/>
      <c r="NX40" s="100"/>
      <c r="NY40" s="100"/>
      <c r="NZ40" s="100"/>
      <c r="OA40" s="100"/>
      <c r="OB40" s="100"/>
      <c r="OC40" s="100"/>
      <c r="OD40" s="100"/>
      <c r="OE40" s="100"/>
      <c r="OF40" s="100"/>
      <c r="OG40" s="100"/>
      <c r="OH40" s="100"/>
      <c r="OI40" s="100"/>
      <c r="OJ40" s="100"/>
      <c r="OK40" s="100"/>
      <c r="OL40" s="100"/>
      <c r="OM40" s="100"/>
      <c r="ON40" s="100"/>
      <c r="OO40" s="100"/>
      <c r="OP40" s="100"/>
      <c r="OQ40" s="100"/>
      <c r="OR40" s="100"/>
      <c r="OS40" s="100"/>
      <c r="OT40" s="100"/>
      <c r="OU40" s="100"/>
      <c r="OV40" s="100"/>
      <c r="OW40" s="100"/>
      <c r="OX40" s="100"/>
      <c r="OY40" s="100"/>
      <c r="OZ40" s="100"/>
      <c r="PA40" s="100"/>
      <c r="PB40" s="100"/>
      <c r="PC40" s="100"/>
      <c r="PD40" s="100"/>
      <c r="PE40" s="100"/>
      <c r="PF40" s="100"/>
      <c r="PG40" s="100"/>
      <c r="PH40" s="100"/>
      <c r="PI40" s="100"/>
      <c r="PJ40" s="100"/>
      <c r="PK40" s="100"/>
      <c r="PL40" s="100"/>
      <c r="PM40" s="100"/>
      <c r="PN40" s="100"/>
      <c r="PO40" s="100"/>
      <c r="PP40" s="100"/>
      <c r="PQ40" s="100"/>
      <c r="PR40" s="100"/>
      <c r="PS40" s="100"/>
      <c r="PT40" s="100"/>
      <c r="PU40" s="100"/>
      <c r="PV40" s="100"/>
      <c r="PW40" s="100"/>
      <c r="PX40" s="100"/>
      <c r="PY40" s="100"/>
      <c r="PZ40" s="100"/>
      <c r="QA40" s="100"/>
      <c r="QB40" s="100"/>
      <c r="QC40" s="100"/>
      <c r="QD40" s="100"/>
      <c r="QE40" s="100"/>
      <c r="QF40" s="100"/>
      <c r="QG40" s="100"/>
      <c r="QH40" s="100"/>
      <c r="QI40" s="100"/>
      <c r="QJ40" s="100"/>
      <c r="QK40" s="100"/>
      <c r="QL40" s="100"/>
      <c r="QM40" s="100"/>
      <c r="QN40" s="100"/>
      <c r="QO40" s="100"/>
      <c r="QP40" s="100"/>
      <c r="QQ40" s="100"/>
      <c r="QR40" s="100"/>
      <c r="QS40" s="100"/>
      <c r="QT40" s="100"/>
      <c r="QU40" s="100"/>
      <c r="QV40" s="100"/>
      <c r="QW40" s="100"/>
      <c r="QX40" s="100"/>
      <c r="QY40" s="23">
        <f t="shared" si="3"/>
        <v>30</v>
      </c>
      <c r="QZ40" s="47" t="s">
        <v>36</v>
      </c>
      <c r="RA40" s="97">
        <v>1327.56</v>
      </c>
      <c r="RB40" s="63">
        <f t="shared" si="6"/>
        <v>0</v>
      </c>
      <c r="RC40" s="63">
        <v>834.3</v>
      </c>
      <c r="RD40" s="97">
        <f t="shared" si="4"/>
        <v>1327.56</v>
      </c>
      <c r="RE40" s="107"/>
      <c r="RF40" s="107"/>
      <c r="RG40" s="83">
        <f t="shared" si="5"/>
        <v>1.5912261776339447</v>
      </c>
      <c r="RH40" s="116" t="s">
        <v>558</v>
      </c>
    </row>
    <row r="41" spans="1:476" s="5" customFormat="1" ht="12.75" customHeight="1" x14ac:dyDescent="0.25">
      <c r="A41" s="48">
        <v>44957</v>
      </c>
      <c r="B41" s="81" t="s">
        <v>555</v>
      </c>
      <c r="C41" s="98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0"/>
      <c r="DN41" s="100"/>
      <c r="DO41" s="100"/>
      <c r="DP41" s="100"/>
      <c r="DQ41" s="100"/>
      <c r="DR41" s="100"/>
      <c r="DS41" s="100"/>
      <c r="DT41" s="100"/>
      <c r="DU41" s="100"/>
      <c r="DV41" s="100"/>
      <c r="DW41" s="100"/>
      <c r="DX41" s="100"/>
      <c r="DY41" s="100"/>
      <c r="DZ41" s="100"/>
      <c r="EA41" s="100"/>
      <c r="EB41" s="100"/>
      <c r="EC41" s="100"/>
      <c r="ED41" s="100"/>
      <c r="EE41" s="100"/>
      <c r="EF41" s="100"/>
      <c r="EG41" s="100"/>
      <c r="EH41" s="100"/>
      <c r="EI41" s="100"/>
      <c r="EJ41" s="100"/>
      <c r="EK41" s="100"/>
      <c r="EL41" s="100"/>
      <c r="EM41" s="100"/>
      <c r="EN41" s="100"/>
      <c r="EO41" s="100"/>
      <c r="EP41" s="100"/>
      <c r="EQ41" s="100"/>
      <c r="ER41" s="100"/>
      <c r="ES41" s="100"/>
      <c r="ET41" s="100"/>
      <c r="EU41" s="100"/>
      <c r="EV41" s="100"/>
      <c r="EW41" s="100"/>
      <c r="EX41" s="100"/>
      <c r="EY41" s="100"/>
      <c r="EZ41" s="100"/>
      <c r="FA41" s="100"/>
      <c r="FB41" s="100"/>
      <c r="FC41" s="100"/>
      <c r="FD41" s="100"/>
      <c r="FE41" s="100"/>
      <c r="FF41" s="100"/>
      <c r="FG41" s="100"/>
      <c r="FH41" s="100"/>
      <c r="FI41" s="100"/>
      <c r="FJ41" s="100"/>
      <c r="FK41" s="100"/>
      <c r="FL41" s="100"/>
      <c r="FM41" s="100"/>
      <c r="FN41" s="100"/>
      <c r="FO41" s="100"/>
      <c r="FP41" s="100"/>
      <c r="FQ41" s="100"/>
      <c r="FR41" s="100"/>
      <c r="FS41" s="100"/>
      <c r="FT41" s="100"/>
      <c r="FU41" s="100"/>
      <c r="FV41" s="100"/>
      <c r="FW41" s="100"/>
      <c r="FX41" s="100"/>
      <c r="FY41" s="100"/>
      <c r="FZ41" s="100"/>
      <c r="GA41" s="100"/>
      <c r="GB41" s="100"/>
      <c r="GC41" s="100"/>
      <c r="GD41" s="100"/>
      <c r="GE41" s="100"/>
      <c r="GF41" s="100"/>
      <c r="GG41" s="100"/>
      <c r="GH41" s="100"/>
      <c r="GI41" s="100"/>
      <c r="GJ41" s="100"/>
      <c r="GK41" s="100"/>
      <c r="GL41" s="100"/>
      <c r="GM41" s="100"/>
      <c r="GN41" s="100"/>
      <c r="GO41" s="100"/>
      <c r="GP41" s="100"/>
      <c r="GQ41" s="100"/>
      <c r="GR41" s="100"/>
      <c r="GS41" s="100"/>
      <c r="GT41" s="100"/>
      <c r="GU41" s="100"/>
      <c r="GV41" s="100"/>
      <c r="GW41" s="100"/>
      <c r="GX41" s="100"/>
      <c r="GY41" s="100"/>
      <c r="GZ41" s="100"/>
      <c r="HA41" s="100"/>
      <c r="HB41" s="100"/>
      <c r="HC41" s="100"/>
      <c r="HD41" s="100"/>
      <c r="HE41" s="100"/>
      <c r="HF41" s="100"/>
      <c r="HG41" s="100"/>
      <c r="HH41" s="100"/>
      <c r="HI41" s="100"/>
      <c r="HJ41" s="100"/>
      <c r="HK41" s="100"/>
      <c r="HL41" s="100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0"/>
      <c r="II41" s="100"/>
      <c r="IJ41" s="100"/>
      <c r="IK41" s="100"/>
      <c r="IL41" s="100"/>
      <c r="IM41" s="100"/>
      <c r="IN41" s="100"/>
      <c r="IO41" s="100"/>
      <c r="IP41" s="100"/>
      <c r="IQ41" s="100"/>
      <c r="IR41" s="100"/>
      <c r="IS41" s="100">
        <v>11</v>
      </c>
      <c r="IT41" s="100"/>
      <c r="IU41" s="100"/>
      <c r="IV41" s="100"/>
      <c r="IW41" s="100"/>
      <c r="IX41" s="100"/>
      <c r="IY41" s="100"/>
      <c r="IZ41" s="100"/>
      <c r="JA41" s="100"/>
      <c r="JB41" s="100"/>
      <c r="JC41" s="100"/>
      <c r="JD41" s="100"/>
      <c r="JE41" s="100"/>
      <c r="JF41" s="100"/>
      <c r="JG41" s="100"/>
      <c r="JH41" s="100"/>
      <c r="JI41" s="100"/>
      <c r="JJ41" s="100"/>
      <c r="JK41" s="100"/>
      <c r="JL41" s="100"/>
      <c r="JM41" s="100"/>
      <c r="JN41" s="100"/>
      <c r="JO41" s="100"/>
      <c r="JP41" s="100"/>
      <c r="JQ41" s="100"/>
      <c r="JR41" s="100"/>
      <c r="JS41" s="100"/>
      <c r="JT41" s="100"/>
      <c r="JU41" s="100"/>
      <c r="JV41" s="100"/>
      <c r="JW41" s="100"/>
      <c r="JX41" s="100"/>
      <c r="JY41" s="100"/>
      <c r="JZ41" s="100"/>
      <c r="KA41" s="100"/>
      <c r="KB41" s="100"/>
      <c r="KC41" s="100"/>
      <c r="KD41" s="100"/>
      <c r="KE41" s="100"/>
      <c r="KF41" s="100"/>
      <c r="KG41" s="100"/>
      <c r="KH41" s="100"/>
      <c r="KI41" s="100"/>
      <c r="KJ41" s="100"/>
      <c r="KK41" s="100"/>
      <c r="KL41" s="100"/>
      <c r="KM41" s="100"/>
      <c r="KN41" s="100"/>
      <c r="KO41" s="100"/>
      <c r="KP41" s="100"/>
      <c r="KQ41" s="100"/>
      <c r="KR41" s="100"/>
      <c r="KS41" s="100"/>
      <c r="KT41" s="100"/>
      <c r="KU41" s="100"/>
      <c r="KV41" s="100"/>
      <c r="KW41" s="100"/>
      <c r="KX41" s="100"/>
      <c r="KY41" s="100"/>
      <c r="KZ41" s="100"/>
      <c r="LA41" s="100"/>
      <c r="LB41" s="100"/>
      <c r="LC41" s="100"/>
      <c r="LD41" s="100"/>
      <c r="LE41" s="100"/>
      <c r="LF41" s="100"/>
      <c r="LG41" s="100"/>
      <c r="LH41" s="100"/>
      <c r="LI41" s="100"/>
      <c r="LJ41" s="100"/>
      <c r="LK41" s="100"/>
      <c r="LL41" s="100"/>
      <c r="LM41" s="100"/>
      <c r="LN41" s="100"/>
      <c r="LO41" s="100"/>
      <c r="LP41" s="100"/>
      <c r="LQ41" s="100"/>
      <c r="LR41" s="100"/>
      <c r="LS41" s="100"/>
      <c r="LT41" s="100"/>
      <c r="LU41" s="100"/>
      <c r="LV41" s="100"/>
      <c r="LW41" s="100"/>
      <c r="LX41" s="100"/>
      <c r="LY41" s="100"/>
      <c r="LZ41" s="100"/>
      <c r="MA41" s="100"/>
      <c r="MB41" s="100"/>
      <c r="MC41" s="100"/>
      <c r="MD41" s="100"/>
      <c r="ME41" s="100"/>
      <c r="MF41" s="100"/>
      <c r="MG41" s="100"/>
      <c r="MH41" s="100"/>
      <c r="MI41" s="100"/>
      <c r="MJ41" s="100"/>
      <c r="MK41" s="100"/>
      <c r="ML41" s="100"/>
      <c r="MM41" s="100"/>
      <c r="MN41" s="100"/>
      <c r="MO41" s="100"/>
      <c r="MP41" s="100"/>
      <c r="MQ41" s="100"/>
      <c r="MR41" s="100"/>
      <c r="MS41" s="100"/>
      <c r="MT41" s="100"/>
      <c r="MU41" s="100"/>
      <c r="MV41" s="100"/>
      <c r="MW41" s="100"/>
      <c r="MX41" s="100"/>
      <c r="MY41" s="100"/>
      <c r="MZ41" s="100"/>
      <c r="NA41" s="100"/>
      <c r="NB41" s="100"/>
      <c r="NC41" s="100"/>
      <c r="ND41" s="100"/>
      <c r="NE41" s="100"/>
      <c r="NF41" s="100"/>
      <c r="NG41" s="100"/>
      <c r="NH41" s="100"/>
      <c r="NI41" s="100"/>
      <c r="NJ41" s="100"/>
      <c r="NK41" s="100"/>
      <c r="NL41" s="100"/>
      <c r="NM41" s="100"/>
      <c r="NN41" s="100"/>
      <c r="NO41" s="100"/>
      <c r="NP41" s="100"/>
      <c r="NQ41" s="100"/>
      <c r="NR41" s="100"/>
      <c r="NS41" s="100"/>
      <c r="NT41" s="100"/>
      <c r="NU41" s="100"/>
      <c r="NV41" s="100"/>
      <c r="NW41" s="100"/>
      <c r="NX41" s="100"/>
      <c r="NY41" s="100"/>
      <c r="NZ41" s="100"/>
      <c r="OA41" s="100"/>
      <c r="OB41" s="100"/>
      <c r="OC41" s="100"/>
      <c r="OD41" s="100"/>
      <c r="OE41" s="100"/>
      <c r="OF41" s="100"/>
      <c r="OG41" s="100"/>
      <c r="OH41" s="100"/>
      <c r="OI41" s="100"/>
      <c r="OJ41" s="100"/>
      <c r="OK41" s="100"/>
      <c r="OL41" s="100"/>
      <c r="OM41" s="100"/>
      <c r="ON41" s="100"/>
      <c r="OO41" s="100"/>
      <c r="OP41" s="100"/>
      <c r="OQ41" s="100"/>
      <c r="OR41" s="100"/>
      <c r="OS41" s="100"/>
      <c r="OT41" s="100"/>
      <c r="OU41" s="100"/>
      <c r="OV41" s="100"/>
      <c r="OW41" s="100"/>
      <c r="OX41" s="100"/>
      <c r="OY41" s="100"/>
      <c r="OZ41" s="100"/>
      <c r="PA41" s="100"/>
      <c r="PB41" s="100"/>
      <c r="PC41" s="100"/>
      <c r="PD41" s="100"/>
      <c r="PE41" s="100"/>
      <c r="PF41" s="100"/>
      <c r="PG41" s="100"/>
      <c r="PH41" s="100"/>
      <c r="PI41" s="100"/>
      <c r="PJ41" s="100"/>
      <c r="PK41" s="100"/>
      <c r="PL41" s="100"/>
      <c r="PM41" s="100"/>
      <c r="PN41" s="100"/>
      <c r="PO41" s="100"/>
      <c r="PP41" s="100"/>
      <c r="PQ41" s="100"/>
      <c r="PR41" s="100"/>
      <c r="PS41" s="100"/>
      <c r="PT41" s="100"/>
      <c r="PU41" s="100"/>
      <c r="PV41" s="100"/>
      <c r="PW41" s="100"/>
      <c r="PX41" s="100"/>
      <c r="PY41" s="100"/>
      <c r="PZ41" s="100"/>
      <c r="QA41" s="100"/>
      <c r="QB41" s="100"/>
      <c r="QC41" s="100"/>
      <c r="QD41" s="100"/>
      <c r="QE41" s="100"/>
      <c r="QF41" s="100"/>
      <c r="QG41" s="100"/>
      <c r="QH41" s="100"/>
      <c r="QI41" s="100"/>
      <c r="QJ41" s="100"/>
      <c r="QK41" s="100"/>
      <c r="QL41" s="100"/>
      <c r="QM41" s="100"/>
      <c r="QN41" s="100"/>
      <c r="QO41" s="100"/>
      <c r="QP41" s="100"/>
      <c r="QQ41" s="100"/>
      <c r="QR41" s="100"/>
      <c r="QS41" s="100"/>
      <c r="QT41" s="100"/>
      <c r="QU41" s="100"/>
      <c r="QV41" s="100"/>
      <c r="QW41" s="100"/>
      <c r="QX41" s="100"/>
      <c r="QY41" s="23">
        <f t="shared" si="3"/>
        <v>11</v>
      </c>
      <c r="QZ41" s="47" t="s">
        <v>36</v>
      </c>
      <c r="RA41" s="97">
        <v>495</v>
      </c>
      <c r="RB41" s="63">
        <f t="shared" si="6"/>
        <v>495</v>
      </c>
      <c r="RC41" s="63">
        <v>316.90999999999997</v>
      </c>
      <c r="RD41" s="97">
        <f t="shared" si="4"/>
        <v>0</v>
      </c>
      <c r="RE41" s="107"/>
      <c r="RF41" s="107">
        <v>495</v>
      </c>
      <c r="RG41" s="83">
        <f t="shared" si="5"/>
        <v>1.5619576535925028</v>
      </c>
      <c r="RH41" s="116" t="s">
        <v>558</v>
      </c>
    </row>
    <row r="42" spans="1:476" s="5" customFormat="1" ht="12.75" customHeight="1" x14ac:dyDescent="0.25">
      <c r="A42" s="48">
        <v>44957</v>
      </c>
      <c r="B42" s="90" t="s">
        <v>55</v>
      </c>
      <c r="C42" s="98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DZ42" s="100"/>
      <c r="EA42" s="100"/>
      <c r="EB42" s="100"/>
      <c r="EC42" s="100"/>
      <c r="ED42" s="100"/>
      <c r="EE42" s="100"/>
      <c r="EF42" s="100"/>
      <c r="EG42" s="100"/>
      <c r="EH42" s="100"/>
      <c r="EI42" s="100"/>
      <c r="EJ42" s="100"/>
      <c r="EK42" s="100"/>
      <c r="EL42" s="100"/>
      <c r="EM42" s="100"/>
      <c r="EN42" s="100"/>
      <c r="EO42" s="100"/>
      <c r="EP42" s="100"/>
      <c r="EQ42" s="100"/>
      <c r="ER42" s="100"/>
      <c r="ES42" s="100"/>
      <c r="ET42" s="100"/>
      <c r="EU42" s="100"/>
      <c r="EV42" s="100"/>
      <c r="EW42" s="100"/>
      <c r="EX42" s="100"/>
      <c r="EY42" s="100"/>
      <c r="EZ42" s="100"/>
      <c r="FA42" s="100"/>
      <c r="FB42" s="100"/>
      <c r="FC42" s="100"/>
      <c r="FD42" s="100"/>
      <c r="FE42" s="100"/>
      <c r="FF42" s="100"/>
      <c r="FG42" s="100"/>
      <c r="FH42" s="100"/>
      <c r="FI42" s="100"/>
      <c r="FJ42" s="100"/>
      <c r="FK42" s="100"/>
      <c r="FL42" s="100"/>
      <c r="FM42" s="100"/>
      <c r="FN42" s="100"/>
      <c r="FO42" s="100"/>
      <c r="FP42" s="100"/>
      <c r="FQ42" s="100"/>
      <c r="FR42" s="100"/>
      <c r="FS42" s="100"/>
      <c r="FT42" s="100"/>
      <c r="FU42" s="100"/>
      <c r="FV42" s="100"/>
      <c r="FW42" s="100">
        <v>10</v>
      </c>
      <c r="FX42" s="100"/>
      <c r="FY42" s="100"/>
      <c r="FZ42" s="100"/>
      <c r="GA42" s="100"/>
      <c r="GB42" s="100"/>
      <c r="GC42" s="100"/>
      <c r="GD42" s="100"/>
      <c r="GE42" s="100"/>
      <c r="GF42" s="100"/>
      <c r="GG42" s="100"/>
      <c r="GH42" s="100"/>
      <c r="GI42" s="100"/>
      <c r="GJ42" s="100"/>
      <c r="GK42" s="100"/>
      <c r="GL42" s="100"/>
      <c r="GM42" s="100"/>
      <c r="GN42" s="100"/>
      <c r="GO42" s="100"/>
      <c r="GP42" s="100"/>
      <c r="GQ42" s="100"/>
      <c r="GR42" s="100"/>
      <c r="GS42" s="100"/>
      <c r="GT42" s="100"/>
      <c r="GU42" s="100"/>
      <c r="GV42" s="100"/>
      <c r="GW42" s="100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0"/>
      <c r="HO42" s="100"/>
      <c r="HP42" s="100"/>
      <c r="HQ42" s="100"/>
      <c r="HR42" s="100"/>
      <c r="HS42" s="100"/>
      <c r="HT42" s="100"/>
      <c r="HU42" s="100"/>
      <c r="HV42" s="100"/>
      <c r="HW42" s="100"/>
      <c r="HX42" s="100"/>
      <c r="HY42" s="100"/>
      <c r="HZ42" s="100"/>
      <c r="IA42" s="100"/>
      <c r="IB42" s="100"/>
      <c r="IC42" s="100"/>
      <c r="ID42" s="100"/>
      <c r="IE42" s="100"/>
      <c r="IF42" s="100"/>
      <c r="IG42" s="100"/>
      <c r="IH42" s="100"/>
      <c r="II42" s="100"/>
      <c r="IJ42" s="100"/>
      <c r="IK42" s="100"/>
      <c r="IL42" s="100"/>
      <c r="IM42" s="100"/>
      <c r="IN42" s="100"/>
      <c r="IO42" s="100"/>
      <c r="IP42" s="100"/>
      <c r="IQ42" s="100"/>
      <c r="IR42" s="100"/>
      <c r="IS42" s="100"/>
      <c r="IT42" s="100"/>
      <c r="IU42" s="100"/>
      <c r="IV42" s="100"/>
      <c r="IW42" s="100"/>
      <c r="IX42" s="100"/>
      <c r="IY42" s="100"/>
      <c r="IZ42" s="100"/>
      <c r="JA42" s="100"/>
      <c r="JB42" s="100"/>
      <c r="JC42" s="100"/>
      <c r="JD42" s="100"/>
      <c r="JE42" s="100"/>
      <c r="JF42" s="100"/>
      <c r="JG42" s="100"/>
      <c r="JH42" s="100"/>
      <c r="JI42" s="100"/>
      <c r="JJ42" s="100"/>
      <c r="JK42" s="100"/>
      <c r="JL42" s="100"/>
      <c r="JM42" s="100"/>
      <c r="JN42" s="100"/>
      <c r="JO42" s="100"/>
      <c r="JP42" s="100"/>
      <c r="JQ42" s="100"/>
      <c r="JR42" s="100"/>
      <c r="JS42" s="100"/>
      <c r="JT42" s="100"/>
      <c r="JU42" s="100"/>
      <c r="JV42" s="100"/>
      <c r="JW42" s="100"/>
      <c r="JX42" s="100"/>
      <c r="JY42" s="100"/>
      <c r="JZ42" s="100"/>
      <c r="KA42" s="100"/>
      <c r="KB42" s="100"/>
      <c r="KC42" s="100"/>
      <c r="KD42" s="100"/>
      <c r="KE42" s="100"/>
      <c r="KF42" s="100"/>
      <c r="KG42" s="100"/>
      <c r="KH42" s="100"/>
      <c r="KI42" s="100"/>
      <c r="KJ42" s="100"/>
      <c r="KK42" s="100"/>
      <c r="KL42" s="100"/>
      <c r="KM42" s="100"/>
      <c r="KN42" s="100"/>
      <c r="KO42" s="100"/>
      <c r="KP42" s="100"/>
      <c r="KQ42" s="100"/>
      <c r="KR42" s="100"/>
      <c r="KS42" s="100"/>
      <c r="KT42" s="100"/>
      <c r="KU42" s="100"/>
      <c r="KV42" s="100"/>
      <c r="KW42" s="100"/>
      <c r="KX42" s="100"/>
      <c r="KY42" s="100"/>
      <c r="KZ42" s="100"/>
      <c r="LA42" s="100"/>
      <c r="LB42" s="100"/>
      <c r="LC42" s="100"/>
      <c r="LD42" s="100"/>
      <c r="LE42" s="100"/>
      <c r="LF42" s="100"/>
      <c r="LG42" s="100"/>
      <c r="LH42" s="100"/>
      <c r="LI42" s="100"/>
      <c r="LJ42" s="100"/>
      <c r="LK42" s="100"/>
      <c r="LL42" s="100"/>
      <c r="LM42" s="100"/>
      <c r="LN42" s="100"/>
      <c r="LO42" s="100"/>
      <c r="LP42" s="100"/>
      <c r="LQ42" s="100"/>
      <c r="LR42" s="100"/>
      <c r="LS42" s="100"/>
      <c r="LT42" s="100"/>
      <c r="LU42" s="100"/>
      <c r="LV42" s="100"/>
      <c r="LW42" s="100"/>
      <c r="LX42" s="100"/>
      <c r="LY42" s="100"/>
      <c r="LZ42" s="100"/>
      <c r="MA42" s="100"/>
      <c r="MB42" s="100"/>
      <c r="MC42" s="100"/>
      <c r="MD42" s="100"/>
      <c r="ME42" s="100"/>
      <c r="MF42" s="100"/>
      <c r="MG42" s="100"/>
      <c r="MH42" s="100"/>
      <c r="MI42" s="100"/>
      <c r="MJ42" s="100"/>
      <c r="MK42" s="100"/>
      <c r="ML42" s="100"/>
      <c r="MM42" s="100"/>
      <c r="MN42" s="100"/>
      <c r="MO42" s="100"/>
      <c r="MP42" s="100"/>
      <c r="MQ42" s="100"/>
      <c r="MR42" s="100"/>
      <c r="MS42" s="100"/>
      <c r="MT42" s="100"/>
      <c r="MU42" s="100"/>
      <c r="MV42" s="100"/>
      <c r="MW42" s="100"/>
      <c r="MX42" s="100"/>
      <c r="MY42" s="100"/>
      <c r="MZ42" s="100"/>
      <c r="NA42" s="100"/>
      <c r="NB42" s="100"/>
      <c r="NC42" s="100"/>
      <c r="ND42" s="100"/>
      <c r="NE42" s="100"/>
      <c r="NF42" s="100"/>
      <c r="NG42" s="100"/>
      <c r="NH42" s="100"/>
      <c r="NI42" s="100"/>
      <c r="NJ42" s="100"/>
      <c r="NK42" s="100"/>
      <c r="NL42" s="100"/>
      <c r="NM42" s="100"/>
      <c r="NN42" s="100"/>
      <c r="NO42" s="100"/>
      <c r="NP42" s="100"/>
      <c r="NQ42" s="100"/>
      <c r="NR42" s="100"/>
      <c r="NS42" s="100"/>
      <c r="NT42" s="100"/>
      <c r="NU42" s="100"/>
      <c r="NV42" s="100"/>
      <c r="NW42" s="100"/>
      <c r="NX42" s="100"/>
      <c r="NY42" s="100"/>
      <c r="NZ42" s="100"/>
      <c r="OA42" s="100"/>
      <c r="OB42" s="100"/>
      <c r="OC42" s="100"/>
      <c r="OD42" s="100"/>
      <c r="OE42" s="100"/>
      <c r="OF42" s="100"/>
      <c r="OG42" s="100"/>
      <c r="OH42" s="100"/>
      <c r="OI42" s="100"/>
      <c r="OJ42" s="100"/>
      <c r="OK42" s="100"/>
      <c r="OL42" s="100"/>
      <c r="OM42" s="100"/>
      <c r="ON42" s="100"/>
      <c r="OO42" s="100"/>
      <c r="OP42" s="100"/>
      <c r="OQ42" s="100"/>
      <c r="OR42" s="100"/>
      <c r="OS42" s="100"/>
      <c r="OT42" s="100"/>
      <c r="OU42" s="100"/>
      <c r="OV42" s="100"/>
      <c r="OW42" s="100"/>
      <c r="OX42" s="100"/>
      <c r="OY42" s="100"/>
      <c r="OZ42" s="100"/>
      <c r="PA42" s="100"/>
      <c r="PB42" s="100"/>
      <c r="PC42" s="100"/>
      <c r="PD42" s="100"/>
      <c r="PE42" s="100"/>
      <c r="PF42" s="100"/>
      <c r="PG42" s="100"/>
      <c r="PH42" s="100"/>
      <c r="PI42" s="100"/>
      <c r="PJ42" s="100"/>
      <c r="PK42" s="100"/>
      <c r="PL42" s="100"/>
      <c r="PM42" s="100"/>
      <c r="PN42" s="100"/>
      <c r="PO42" s="100"/>
      <c r="PP42" s="100"/>
      <c r="PQ42" s="100"/>
      <c r="PR42" s="100"/>
      <c r="PS42" s="100"/>
      <c r="PT42" s="100"/>
      <c r="PU42" s="100"/>
      <c r="PV42" s="100"/>
      <c r="PW42" s="100"/>
      <c r="PX42" s="100"/>
      <c r="PY42" s="100"/>
      <c r="PZ42" s="100"/>
      <c r="QA42" s="100"/>
      <c r="QB42" s="100"/>
      <c r="QC42" s="100"/>
      <c r="QD42" s="100"/>
      <c r="QE42" s="100"/>
      <c r="QF42" s="100"/>
      <c r="QG42" s="100"/>
      <c r="QH42" s="100"/>
      <c r="QI42" s="100"/>
      <c r="QJ42" s="100"/>
      <c r="QK42" s="100"/>
      <c r="QL42" s="100"/>
      <c r="QM42" s="100"/>
      <c r="QN42" s="100"/>
      <c r="QO42" s="100"/>
      <c r="QP42" s="100"/>
      <c r="QQ42" s="100"/>
      <c r="QR42" s="100"/>
      <c r="QS42" s="100"/>
      <c r="QT42" s="100"/>
      <c r="QU42" s="100"/>
      <c r="QV42" s="100"/>
      <c r="QW42" s="100"/>
      <c r="QX42" s="100"/>
      <c r="QY42" s="23">
        <f t="shared" si="3"/>
        <v>10</v>
      </c>
      <c r="QZ42" s="47" t="s">
        <v>36</v>
      </c>
      <c r="RA42" s="97">
        <v>371.28</v>
      </c>
      <c r="RB42" s="63">
        <f t="shared" si="6"/>
        <v>0</v>
      </c>
      <c r="RC42" s="63">
        <v>211.29999999999998</v>
      </c>
      <c r="RD42" s="97">
        <f t="shared" si="4"/>
        <v>371.28</v>
      </c>
      <c r="RE42" s="107"/>
      <c r="RF42" s="107"/>
      <c r="RG42" s="83">
        <f t="shared" si="5"/>
        <v>1.7571225745385708</v>
      </c>
      <c r="RH42" s="116" t="s">
        <v>527</v>
      </c>
    </row>
    <row r="43" spans="1:476" s="5" customFormat="1" ht="12.75" customHeight="1" x14ac:dyDescent="0.25">
      <c r="A43" s="48">
        <v>44957</v>
      </c>
      <c r="B43" s="90" t="s">
        <v>55</v>
      </c>
      <c r="C43" s="98"/>
      <c r="D43" s="98"/>
      <c r="E43" s="99"/>
      <c r="F43" s="99"/>
      <c r="G43" s="99"/>
      <c r="H43" s="99"/>
      <c r="I43" s="99"/>
      <c r="J43" s="99"/>
      <c r="K43" s="99"/>
      <c r="L43" s="99"/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0"/>
      <c r="DN43" s="100"/>
      <c r="DO43" s="100"/>
      <c r="DP43" s="100"/>
      <c r="DQ43" s="100"/>
      <c r="DR43" s="100"/>
      <c r="DS43" s="100"/>
      <c r="DT43" s="100"/>
      <c r="DU43" s="100"/>
      <c r="DV43" s="100"/>
      <c r="DW43" s="100"/>
      <c r="DX43" s="100"/>
      <c r="DY43" s="100"/>
      <c r="DZ43" s="100"/>
      <c r="EA43" s="100"/>
      <c r="EB43" s="100"/>
      <c r="EC43" s="100"/>
      <c r="ED43" s="100"/>
      <c r="EE43" s="100"/>
      <c r="EF43" s="100"/>
      <c r="EG43" s="100"/>
      <c r="EH43" s="100"/>
      <c r="EI43" s="100"/>
      <c r="EJ43" s="100"/>
      <c r="EK43" s="100"/>
      <c r="EL43" s="100"/>
      <c r="EM43" s="100"/>
      <c r="EN43" s="100"/>
      <c r="EO43" s="100"/>
      <c r="EP43" s="100"/>
      <c r="EQ43" s="100"/>
      <c r="ER43" s="100"/>
      <c r="ES43" s="100"/>
      <c r="ET43" s="100"/>
      <c r="EU43" s="100"/>
      <c r="EV43" s="100"/>
      <c r="EW43" s="100"/>
      <c r="EX43" s="100"/>
      <c r="EY43" s="100"/>
      <c r="EZ43" s="100"/>
      <c r="FA43" s="100"/>
      <c r="FB43" s="100"/>
      <c r="FC43" s="100"/>
      <c r="FD43" s="100"/>
      <c r="FE43" s="100"/>
      <c r="FF43" s="100"/>
      <c r="FG43" s="100"/>
      <c r="FH43" s="100"/>
      <c r="FI43" s="100"/>
      <c r="FJ43" s="100"/>
      <c r="FK43" s="100"/>
      <c r="FL43" s="100"/>
      <c r="FM43" s="100"/>
      <c r="FN43" s="100"/>
      <c r="FO43" s="100"/>
      <c r="FP43" s="100"/>
      <c r="FQ43" s="100"/>
      <c r="FR43" s="100"/>
      <c r="FS43" s="100"/>
      <c r="FT43" s="100"/>
      <c r="FU43" s="100"/>
      <c r="FV43" s="100"/>
      <c r="FW43" s="100"/>
      <c r="FX43" s="100"/>
      <c r="FY43" s="100"/>
      <c r="FZ43" s="100"/>
      <c r="GA43" s="100"/>
      <c r="GB43" s="100"/>
      <c r="GC43" s="100"/>
      <c r="GD43" s="100"/>
      <c r="GE43" s="100"/>
      <c r="GF43" s="100"/>
      <c r="GG43" s="100"/>
      <c r="GH43" s="100"/>
      <c r="GI43" s="100"/>
      <c r="GJ43" s="100"/>
      <c r="GK43" s="100"/>
      <c r="GL43" s="100"/>
      <c r="GM43" s="100"/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0"/>
      <c r="HO43" s="100"/>
      <c r="HP43" s="100"/>
      <c r="HQ43" s="100"/>
      <c r="HR43" s="100"/>
      <c r="HS43" s="100"/>
      <c r="HT43" s="100"/>
      <c r="HU43" s="100"/>
      <c r="HV43" s="100"/>
      <c r="HW43" s="100"/>
      <c r="HX43" s="100"/>
      <c r="HY43" s="100"/>
      <c r="HZ43" s="100"/>
      <c r="IA43" s="100"/>
      <c r="IB43" s="100"/>
      <c r="IC43" s="100"/>
      <c r="ID43" s="100"/>
      <c r="IE43" s="100"/>
      <c r="IF43" s="100"/>
      <c r="IG43" s="100"/>
      <c r="IH43" s="100"/>
      <c r="II43" s="100"/>
      <c r="IJ43" s="100"/>
      <c r="IK43" s="100"/>
      <c r="IL43" s="100"/>
      <c r="IM43" s="100"/>
      <c r="IN43" s="100"/>
      <c r="IO43" s="100"/>
      <c r="IP43" s="100"/>
      <c r="IQ43" s="100"/>
      <c r="IR43" s="100"/>
      <c r="IS43" s="100"/>
      <c r="IT43" s="100"/>
      <c r="IU43" s="100"/>
      <c r="IV43" s="100"/>
      <c r="IW43" s="100"/>
      <c r="IX43" s="100"/>
      <c r="IY43" s="100"/>
      <c r="IZ43" s="100"/>
      <c r="JA43" s="100"/>
      <c r="JB43" s="100"/>
      <c r="JC43" s="100"/>
      <c r="JD43" s="100"/>
      <c r="JE43" s="100"/>
      <c r="JF43" s="100"/>
      <c r="JG43" s="100"/>
      <c r="JH43" s="100"/>
      <c r="JI43" s="100"/>
      <c r="JJ43" s="100"/>
      <c r="JK43" s="100"/>
      <c r="JL43" s="100"/>
      <c r="JM43" s="100"/>
      <c r="JN43" s="100"/>
      <c r="JO43" s="100"/>
      <c r="JP43" s="100"/>
      <c r="JQ43" s="100"/>
      <c r="JR43" s="100"/>
      <c r="JS43" s="100"/>
      <c r="JT43" s="100"/>
      <c r="JU43" s="100"/>
      <c r="JV43" s="100"/>
      <c r="JW43" s="100"/>
      <c r="JX43" s="100"/>
      <c r="JY43" s="100"/>
      <c r="JZ43" s="100"/>
      <c r="KA43" s="100"/>
      <c r="KB43" s="100"/>
      <c r="KC43" s="100"/>
      <c r="KD43" s="100"/>
      <c r="KE43" s="100"/>
      <c r="KF43" s="100"/>
      <c r="KG43" s="100"/>
      <c r="KH43" s="100"/>
      <c r="KI43" s="100"/>
      <c r="KJ43" s="100"/>
      <c r="KK43" s="100"/>
      <c r="KL43" s="100"/>
      <c r="KM43" s="100"/>
      <c r="KN43" s="100"/>
      <c r="KO43" s="100"/>
      <c r="KP43" s="100"/>
      <c r="KQ43" s="100"/>
      <c r="KR43" s="100"/>
      <c r="KS43" s="100"/>
      <c r="KT43" s="100"/>
      <c r="KU43" s="100"/>
      <c r="KV43" s="100">
        <v>3</v>
      </c>
      <c r="KW43" s="100"/>
      <c r="KX43" s="100"/>
      <c r="KY43" s="100"/>
      <c r="KZ43" s="100"/>
      <c r="LA43" s="100"/>
      <c r="LB43" s="100"/>
      <c r="LC43" s="100"/>
      <c r="LD43" s="100"/>
      <c r="LE43" s="100"/>
      <c r="LF43" s="100"/>
      <c r="LG43" s="100"/>
      <c r="LH43" s="100"/>
      <c r="LI43" s="100"/>
      <c r="LJ43" s="100"/>
      <c r="LK43" s="100"/>
      <c r="LL43" s="100"/>
      <c r="LM43" s="100"/>
      <c r="LN43" s="100"/>
      <c r="LO43" s="100"/>
      <c r="LP43" s="100"/>
      <c r="LQ43" s="100"/>
      <c r="LR43" s="100"/>
      <c r="LS43" s="100"/>
      <c r="LT43" s="100"/>
      <c r="LU43" s="100"/>
      <c r="LV43" s="100"/>
      <c r="LW43" s="100"/>
      <c r="LX43" s="100"/>
      <c r="LY43" s="100"/>
      <c r="LZ43" s="100"/>
      <c r="MA43" s="100"/>
      <c r="MB43" s="100"/>
      <c r="MC43" s="100"/>
      <c r="MD43" s="100"/>
      <c r="ME43" s="100"/>
      <c r="MF43" s="100"/>
      <c r="MG43" s="100"/>
      <c r="MH43" s="100"/>
      <c r="MI43" s="100"/>
      <c r="MJ43" s="100"/>
      <c r="MK43" s="100"/>
      <c r="ML43" s="100"/>
      <c r="MM43" s="100"/>
      <c r="MN43" s="100"/>
      <c r="MO43" s="100"/>
      <c r="MP43" s="100"/>
      <c r="MQ43" s="100"/>
      <c r="MR43" s="100"/>
      <c r="MS43" s="100"/>
      <c r="MT43" s="100"/>
      <c r="MU43" s="100"/>
      <c r="MV43" s="100"/>
      <c r="MW43" s="100"/>
      <c r="MX43" s="100"/>
      <c r="MY43" s="100"/>
      <c r="MZ43" s="100"/>
      <c r="NA43" s="100"/>
      <c r="NB43" s="100"/>
      <c r="NC43" s="100"/>
      <c r="ND43" s="100"/>
      <c r="NE43" s="100"/>
      <c r="NF43" s="100"/>
      <c r="NG43" s="100"/>
      <c r="NH43" s="100"/>
      <c r="NI43" s="100"/>
      <c r="NJ43" s="100"/>
      <c r="NK43" s="100"/>
      <c r="NL43" s="100"/>
      <c r="NM43" s="100"/>
      <c r="NN43" s="100"/>
      <c r="NO43" s="100"/>
      <c r="NP43" s="100"/>
      <c r="NQ43" s="100"/>
      <c r="NR43" s="100"/>
      <c r="NS43" s="100"/>
      <c r="NT43" s="100"/>
      <c r="NU43" s="100"/>
      <c r="NV43" s="100"/>
      <c r="NW43" s="100"/>
      <c r="NX43" s="100"/>
      <c r="NY43" s="100"/>
      <c r="NZ43" s="100"/>
      <c r="OA43" s="100"/>
      <c r="OB43" s="100"/>
      <c r="OC43" s="100"/>
      <c r="OD43" s="100"/>
      <c r="OE43" s="100"/>
      <c r="OF43" s="100"/>
      <c r="OG43" s="100"/>
      <c r="OH43" s="100"/>
      <c r="OI43" s="100"/>
      <c r="OJ43" s="100"/>
      <c r="OK43" s="100"/>
      <c r="OL43" s="100"/>
      <c r="OM43" s="100"/>
      <c r="ON43" s="100"/>
      <c r="OO43" s="100"/>
      <c r="OP43" s="100"/>
      <c r="OQ43" s="100"/>
      <c r="OR43" s="100"/>
      <c r="OS43" s="100"/>
      <c r="OT43" s="100"/>
      <c r="OU43" s="100"/>
      <c r="OV43" s="100"/>
      <c r="OW43" s="100"/>
      <c r="OX43" s="100"/>
      <c r="OY43" s="100"/>
      <c r="OZ43" s="100"/>
      <c r="PA43" s="100"/>
      <c r="PB43" s="100"/>
      <c r="PC43" s="100"/>
      <c r="PD43" s="100"/>
      <c r="PE43" s="100"/>
      <c r="PF43" s="100"/>
      <c r="PG43" s="100"/>
      <c r="PH43" s="100"/>
      <c r="PI43" s="100"/>
      <c r="PJ43" s="100"/>
      <c r="PK43" s="100"/>
      <c r="PL43" s="100"/>
      <c r="PM43" s="100"/>
      <c r="PN43" s="100"/>
      <c r="PO43" s="100"/>
      <c r="PP43" s="100"/>
      <c r="PQ43" s="100"/>
      <c r="PR43" s="100"/>
      <c r="PS43" s="100"/>
      <c r="PT43" s="100"/>
      <c r="PU43" s="100"/>
      <c r="PV43" s="100"/>
      <c r="PW43" s="100"/>
      <c r="PX43" s="100"/>
      <c r="PY43" s="100"/>
      <c r="PZ43" s="100"/>
      <c r="QA43" s="100"/>
      <c r="QB43" s="100"/>
      <c r="QC43" s="100"/>
      <c r="QD43" s="100"/>
      <c r="QE43" s="100"/>
      <c r="QF43" s="100"/>
      <c r="QG43" s="100"/>
      <c r="QH43" s="100"/>
      <c r="QI43" s="100"/>
      <c r="QJ43" s="100"/>
      <c r="QK43" s="100"/>
      <c r="QL43" s="100"/>
      <c r="QM43" s="100"/>
      <c r="QN43" s="100"/>
      <c r="QO43" s="100"/>
      <c r="QP43" s="100"/>
      <c r="QQ43" s="100"/>
      <c r="QR43" s="100"/>
      <c r="QS43" s="100"/>
      <c r="QT43" s="100"/>
      <c r="QU43" s="100"/>
      <c r="QV43" s="100"/>
      <c r="QW43" s="100"/>
      <c r="QX43" s="100"/>
      <c r="QY43" s="23">
        <f t="shared" si="3"/>
        <v>3</v>
      </c>
      <c r="QZ43" s="47" t="s">
        <v>36</v>
      </c>
      <c r="RA43" s="97">
        <v>165.31</v>
      </c>
      <c r="RB43" s="63">
        <f t="shared" si="6"/>
        <v>0</v>
      </c>
      <c r="RC43" s="63">
        <v>113.49</v>
      </c>
      <c r="RD43" s="97">
        <f t="shared" si="4"/>
        <v>165.31</v>
      </c>
      <c r="RE43" s="107"/>
      <c r="RF43" s="107"/>
      <c r="RG43" s="83">
        <f t="shared" si="5"/>
        <v>1.4566041060886423</v>
      </c>
      <c r="RH43" s="116" t="s">
        <v>527</v>
      </c>
    </row>
    <row r="44" spans="1:476" s="5" customFormat="1" ht="12.75" customHeight="1" x14ac:dyDescent="0.25">
      <c r="A44" s="48">
        <v>44957</v>
      </c>
      <c r="B44" s="90" t="s">
        <v>55</v>
      </c>
      <c r="C44" s="98"/>
      <c r="D44" s="98"/>
      <c r="E44" s="99"/>
      <c r="F44" s="99"/>
      <c r="G44" s="99"/>
      <c r="H44" s="99"/>
      <c r="I44" s="99"/>
      <c r="J44" s="99"/>
      <c r="K44" s="99"/>
      <c r="L44" s="99"/>
      <c r="M44" s="99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>
        <v>1</v>
      </c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DZ44" s="100"/>
      <c r="EA44" s="100"/>
      <c r="EB44" s="100"/>
      <c r="EC44" s="100"/>
      <c r="ED44" s="100"/>
      <c r="EE44" s="100"/>
      <c r="EF44" s="100"/>
      <c r="EG44" s="100"/>
      <c r="EH44" s="100"/>
      <c r="EI44" s="100"/>
      <c r="EJ44" s="100"/>
      <c r="EK44" s="100"/>
      <c r="EL44" s="100"/>
      <c r="EM44" s="100"/>
      <c r="EN44" s="100"/>
      <c r="EO44" s="100"/>
      <c r="EP44" s="100"/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00"/>
      <c r="FM44" s="100"/>
      <c r="FN44" s="100"/>
      <c r="FO44" s="100"/>
      <c r="FP44" s="100"/>
      <c r="FQ44" s="100"/>
      <c r="FR44" s="100"/>
      <c r="FS44" s="100"/>
      <c r="FT44" s="100"/>
      <c r="FU44" s="100"/>
      <c r="FV44" s="100"/>
      <c r="FW44" s="100"/>
      <c r="FX44" s="100"/>
      <c r="FY44" s="100"/>
      <c r="FZ44" s="100"/>
      <c r="GA44" s="100"/>
      <c r="GB44" s="100"/>
      <c r="GC44" s="100"/>
      <c r="GD44" s="100"/>
      <c r="GE44" s="100"/>
      <c r="GF44" s="100"/>
      <c r="GG44" s="100"/>
      <c r="GH44" s="100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0"/>
      <c r="HO44" s="100"/>
      <c r="HP44" s="100"/>
      <c r="HQ44" s="100"/>
      <c r="HR44" s="100"/>
      <c r="HS44" s="100"/>
      <c r="HT44" s="100"/>
      <c r="HU44" s="100"/>
      <c r="HV44" s="100"/>
      <c r="HW44" s="100"/>
      <c r="HX44" s="100"/>
      <c r="HY44" s="100"/>
      <c r="HZ44" s="100"/>
      <c r="IA44" s="100"/>
      <c r="IB44" s="100"/>
      <c r="IC44" s="100"/>
      <c r="ID44" s="100"/>
      <c r="IE44" s="100"/>
      <c r="IF44" s="100"/>
      <c r="IG44" s="100"/>
      <c r="IH44" s="100"/>
      <c r="II44" s="100"/>
      <c r="IJ44" s="100"/>
      <c r="IK44" s="100"/>
      <c r="IL44" s="100"/>
      <c r="IM44" s="100"/>
      <c r="IN44" s="100"/>
      <c r="IO44" s="100"/>
      <c r="IP44" s="100"/>
      <c r="IQ44" s="100"/>
      <c r="IR44" s="100"/>
      <c r="IS44" s="100"/>
      <c r="IT44" s="100"/>
      <c r="IU44" s="100"/>
      <c r="IV44" s="100"/>
      <c r="IW44" s="100"/>
      <c r="IX44" s="100"/>
      <c r="IY44" s="100"/>
      <c r="IZ44" s="100"/>
      <c r="JA44" s="100"/>
      <c r="JB44" s="100"/>
      <c r="JC44" s="100"/>
      <c r="JD44" s="100"/>
      <c r="JE44" s="100"/>
      <c r="JF44" s="100"/>
      <c r="JG44" s="100"/>
      <c r="JH44" s="100"/>
      <c r="JI44" s="100"/>
      <c r="JJ44" s="100"/>
      <c r="JK44" s="100"/>
      <c r="JL44" s="100"/>
      <c r="JM44" s="100"/>
      <c r="JN44" s="100"/>
      <c r="JO44" s="100"/>
      <c r="JP44" s="100"/>
      <c r="JQ44" s="100"/>
      <c r="JR44" s="100"/>
      <c r="JS44" s="100"/>
      <c r="JT44" s="100"/>
      <c r="JU44" s="100"/>
      <c r="JV44" s="100"/>
      <c r="JW44" s="100"/>
      <c r="JX44" s="100"/>
      <c r="JY44" s="100"/>
      <c r="JZ44" s="100"/>
      <c r="KA44" s="100"/>
      <c r="KB44" s="100"/>
      <c r="KC44" s="100"/>
      <c r="KD44" s="100"/>
      <c r="KE44" s="100"/>
      <c r="KF44" s="100"/>
      <c r="KG44" s="100"/>
      <c r="KH44" s="100"/>
      <c r="KI44" s="100"/>
      <c r="KJ44" s="100"/>
      <c r="KK44" s="100"/>
      <c r="KL44" s="100"/>
      <c r="KM44" s="100"/>
      <c r="KN44" s="100"/>
      <c r="KO44" s="100"/>
      <c r="KP44" s="100"/>
      <c r="KQ44" s="100"/>
      <c r="KR44" s="100"/>
      <c r="KS44" s="100"/>
      <c r="KT44" s="100"/>
      <c r="KU44" s="100"/>
      <c r="KV44" s="100"/>
      <c r="KW44" s="100"/>
      <c r="KX44" s="100"/>
      <c r="KY44" s="100"/>
      <c r="KZ44" s="100"/>
      <c r="LA44" s="100"/>
      <c r="LB44" s="100"/>
      <c r="LC44" s="100"/>
      <c r="LD44" s="100"/>
      <c r="LE44" s="100"/>
      <c r="LF44" s="100"/>
      <c r="LG44" s="100"/>
      <c r="LH44" s="100"/>
      <c r="LI44" s="100"/>
      <c r="LJ44" s="100"/>
      <c r="LK44" s="100"/>
      <c r="LL44" s="100"/>
      <c r="LM44" s="100"/>
      <c r="LN44" s="100"/>
      <c r="LO44" s="100"/>
      <c r="LP44" s="100"/>
      <c r="LQ44" s="100"/>
      <c r="LR44" s="100"/>
      <c r="LS44" s="100"/>
      <c r="LT44" s="100"/>
      <c r="LU44" s="100"/>
      <c r="LV44" s="100"/>
      <c r="LW44" s="100"/>
      <c r="LX44" s="100"/>
      <c r="LY44" s="100"/>
      <c r="LZ44" s="100"/>
      <c r="MA44" s="100"/>
      <c r="MB44" s="100"/>
      <c r="MC44" s="100"/>
      <c r="MD44" s="100"/>
      <c r="ME44" s="100"/>
      <c r="MF44" s="100"/>
      <c r="MG44" s="100"/>
      <c r="MH44" s="100"/>
      <c r="MI44" s="100"/>
      <c r="MJ44" s="100"/>
      <c r="MK44" s="100"/>
      <c r="ML44" s="100"/>
      <c r="MM44" s="100"/>
      <c r="MN44" s="100"/>
      <c r="MO44" s="100"/>
      <c r="MP44" s="100"/>
      <c r="MQ44" s="100"/>
      <c r="MR44" s="100"/>
      <c r="MS44" s="100"/>
      <c r="MT44" s="100"/>
      <c r="MU44" s="100"/>
      <c r="MV44" s="100"/>
      <c r="MW44" s="100"/>
      <c r="MX44" s="100"/>
      <c r="MY44" s="100"/>
      <c r="MZ44" s="100"/>
      <c r="NA44" s="100"/>
      <c r="NB44" s="100"/>
      <c r="NC44" s="100"/>
      <c r="ND44" s="100"/>
      <c r="NE44" s="100"/>
      <c r="NF44" s="100"/>
      <c r="NG44" s="100"/>
      <c r="NH44" s="100"/>
      <c r="NI44" s="100"/>
      <c r="NJ44" s="100"/>
      <c r="NK44" s="100"/>
      <c r="NL44" s="100"/>
      <c r="NM44" s="100"/>
      <c r="NN44" s="100"/>
      <c r="NO44" s="100"/>
      <c r="NP44" s="100"/>
      <c r="NQ44" s="100"/>
      <c r="NR44" s="100"/>
      <c r="NS44" s="100"/>
      <c r="NT44" s="100"/>
      <c r="NU44" s="100"/>
      <c r="NV44" s="100"/>
      <c r="NW44" s="100"/>
      <c r="NX44" s="100"/>
      <c r="NY44" s="100"/>
      <c r="NZ44" s="100"/>
      <c r="OA44" s="100"/>
      <c r="OB44" s="100"/>
      <c r="OC44" s="100"/>
      <c r="OD44" s="100"/>
      <c r="OE44" s="100"/>
      <c r="OF44" s="100"/>
      <c r="OG44" s="100"/>
      <c r="OH44" s="100"/>
      <c r="OI44" s="100"/>
      <c r="OJ44" s="100"/>
      <c r="OK44" s="100"/>
      <c r="OL44" s="100"/>
      <c r="OM44" s="100"/>
      <c r="ON44" s="100"/>
      <c r="OO44" s="100"/>
      <c r="OP44" s="100"/>
      <c r="OQ44" s="100"/>
      <c r="OR44" s="100"/>
      <c r="OS44" s="100"/>
      <c r="OT44" s="100"/>
      <c r="OU44" s="100"/>
      <c r="OV44" s="100"/>
      <c r="OW44" s="100"/>
      <c r="OX44" s="100"/>
      <c r="OY44" s="100"/>
      <c r="OZ44" s="100"/>
      <c r="PA44" s="100"/>
      <c r="PB44" s="100"/>
      <c r="PC44" s="100"/>
      <c r="PD44" s="100"/>
      <c r="PE44" s="100"/>
      <c r="PF44" s="100"/>
      <c r="PG44" s="100"/>
      <c r="PH44" s="100"/>
      <c r="PI44" s="100"/>
      <c r="PJ44" s="100"/>
      <c r="PK44" s="100"/>
      <c r="PL44" s="100"/>
      <c r="PM44" s="100"/>
      <c r="PN44" s="100"/>
      <c r="PO44" s="100"/>
      <c r="PP44" s="100"/>
      <c r="PQ44" s="100"/>
      <c r="PR44" s="100"/>
      <c r="PS44" s="100"/>
      <c r="PT44" s="100"/>
      <c r="PU44" s="100"/>
      <c r="PV44" s="100"/>
      <c r="PW44" s="100"/>
      <c r="PX44" s="100"/>
      <c r="PY44" s="100"/>
      <c r="PZ44" s="100"/>
      <c r="QA44" s="100"/>
      <c r="QB44" s="100"/>
      <c r="QC44" s="100"/>
      <c r="QD44" s="100"/>
      <c r="QE44" s="100"/>
      <c r="QF44" s="100"/>
      <c r="QG44" s="100"/>
      <c r="QH44" s="100"/>
      <c r="QI44" s="100"/>
      <c r="QJ44" s="100"/>
      <c r="QK44" s="100"/>
      <c r="QL44" s="100"/>
      <c r="QM44" s="100"/>
      <c r="QN44" s="100"/>
      <c r="QO44" s="100"/>
      <c r="QP44" s="100"/>
      <c r="QQ44" s="100"/>
      <c r="QR44" s="100"/>
      <c r="QS44" s="100"/>
      <c r="QT44" s="100"/>
      <c r="QU44" s="100"/>
      <c r="QV44" s="100"/>
      <c r="QW44" s="100"/>
      <c r="QX44" s="100"/>
      <c r="QY44" s="23">
        <f t="shared" si="3"/>
        <v>1</v>
      </c>
      <c r="QZ44" s="47" t="s">
        <v>36</v>
      </c>
      <c r="RA44" s="97">
        <v>66.7</v>
      </c>
      <c r="RB44" s="63">
        <f t="shared" si="6"/>
        <v>0</v>
      </c>
      <c r="RC44" s="63">
        <v>39.92</v>
      </c>
      <c r="RD44" s="97">
        <f t="shared" si="4"/>
        <v>66.7</v>
      </c>
      <c r="RE44" s="107"/>
      <c r="RF44" s="107"/>
      <c r="RG44" s="83">
        <f t="shared" si="5"/>
        <v>1.6708416833667334</v>
      </c>
      <c r="RH44" s="116" t="s">
        <v>527</v>
      </c>
    </row>
    <row r="45" spans="1:476" s="5" customFormat="1" ht="12.75" customHeight="1" x14ac:dyDescent="0.25">
      <c r="A45" s="48">
        <v>44957</v>
      </c>
      <c r="B45" s="115" t="s">
        <v>557</v>
      </c>
      <c r="C45" s="98"/>
      <c r="D45" s="98"/>
      <c r="E45" s="99"/>
      <c r="F45" s="99"/>
      <c r="G45" s="99"/>
      <c r="H45" s="99"/>
      <c r="I45" s="99"/>
      <c r="J45" s="99"/>
      <c r="K45" s="99"/>
      <c r="L45" s="99"/>
      <c r="M45" s="99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>
        <v>30</v>
      </c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>
        <v>4</v>
      </c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>
        <v>30</v>
      </c>
      <c r="DZ45" s="100"/>
      <c r="EA45" s="100"/>
      <c r="EB45" s="100"/>
      <c r="EC45" s="100"/>
      <c r="ED45" s="100"/>
      <c r="EE45" s="100"/>
      <c r="EF45" s="100"/>
      <c r="EG45" s="100"/>
      <c r="EH45" s="100"/>
      <c r="EI45" s="100"/>
      <c r="EJ45" s="100"/>
      <c r="EK45" s="100"/>
      <c r="EL45" s="100"/>
      <c r="EM45" s="100"/>
      <c r="EN45" s="100"/>
      <c r="EO45" s="100"/>
      <c r="EP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L45" s="100"/>
      <c r="FM45" s="100"/>
      <c r="FN45" s="100"/>
      <c r="FO45" s="100"/>
      <c r="FP45" s="100"/>
      <c r="FQ45" s="100"/>
      <c r="FR45" s="100"/>
      <c r="FS45" s="100"/>
      <c r="FT45" s="100"/>
      <c r="FU45" s="100"/>
      <c r="FV45" s="100"/>
      <c r="FW45" s="100"/>
      <c r="FX45" s="100"/>
      <c r="FY45" s="100"/>
      <c r="FZ45" s="100"/>
      <c r="GA45" s="100"/>
      <c r="GB45" s="100"/>
      <c r="GC45" s="100"/>
      <c r="GD45" s="100"/>
      <c r="GE45" s="100"/>
      <c r="GF45" s="100"/>
      <c r="GG45" s="100"/>
      <c r="GH45" s="100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0"/>
      <c r="HO45" s="100"/>
      <c r="HP45" s="100"/>
      <c r="HQ45" s="100"/>
      <c r="HR45" s="100"/>
      <c r="HS45" s="100"/>
      <c r="HT45" s="100"/>
      <c r="HU45" s="100"/>
      <c r="HV45" s="100"/>
      <c r="HW45" s="100"/>
      <c r="HX45" s="100"/>
      <c r="HY45" s="100"/>
      <c r="HZ45" s="100"/>
      <c r="IA45" s="100"/>
      <c r="IB45" s="100"/>
      <c r="IC45" s="100"/>
      <c r="ID45" s="100"/>
      <c r="IE45" s="100"/>
      <c r="IF45" s="100"/>
      <c r="IG45" s="100"/>
      <c r="IH45" s="100"/>
      <c r="II45" s="100"/>
      <c r="IJ45" s="100"/>
      <c r="IK45" s="100"/>
      <c r="IL45" s="100"/>
      <c r="IM45" s="100"/>
      <c r="IN45" s="100"/>
      <c r="IO45" s="100"/>
      <c r="IP45" s="100"/>
      <c r="IQ45" s="100"/>
      <c r="IR45" s="100"/>
      <c r="IS45" s="100"/>
      <c r="IT45" s="100"/>
      <c r="IU45" s="100"/>
      <c r="IV45" s="100"/>
      <c r="IW45" s="100"/>
      <c r="IX45" s="100"/>
      <c r="IY45" s="100"/>
      <c r="IZ45" s="100"/>
      <c r="JA45" s="100"/>
      <c r="JB45" s="100"/>
      <c r="JC45" s="100"/>
      <c r="JD45" s="100"/>
      <c r="JE45" s="100"/>
      <c r="JF45" s="100"/>
      <c r="JG45" s="100"/>
      <c r="JH45" s="100"/>
      <c r="JI45" s="100"/>
      <c r="JJ45" s="100"/>
      <c r="JK45" s="100"/>
      <c r="JL45" s="100"/>
      <c r="JM45" s="100"/>
      <c r="JN45" s="100"/>
      <c r="JO45" s="100"/>
      <c r="JP45" s="100"/>
      <c r="JQ45" s="100"/>
      <c r="JR45" s="100"/>
      <c r="JS45" s="100"/>
      <c r="JT45" s="100"/>
      <c r="JU45" s="100"/>
      <c r="JV45" s="100"/>
      <c r="JW45" s="100"/>
      <c r="JX45" s="100"/>
      <c r="JY45" s="100"/>
      <c r="JZ45" s="100"/>
      <c r="KA45" s="100"/>
      <c r="KB45" s="100"/>
      <c r="KC45" s="100"/>
      <c r="KD45" s="100"/>
      <c r="KE45" s="100"/>
      <c r="KF45" s="100"/>
      <c r="KG45" s="100"/>
      <c r="KH45" s="100"/>
      <c r="KI45" s="100"/>
      <c r="KJ45" s="100"/>
      <c r="KK45" s="100"/>
      <c r="KL45" s="100"/>
      <c r="KM45" s="100"/>
      <c r="KN45" s="100"/>
      <c r="KO45" s="100"/>
      <c r="KP45" s="100"/>
      <c r="KQ45" s="100"/>
      <c r="KR45" s="100"/>
      <c r="KS45" s="100"/>
      <c r="KT45" s="100"/>
      <c r="KU45" s="100"/>
      <c r="KV45" s="100"/>
      <c r="KW45" s="100"/>
      <c r="KX45" s="100"/>
      <c r="KY45" s="100"/>
      <c r="KZ45" s="100"/>
      <c r="LA45" s="100"/>
      <c r="LB45" s="100"/>
      <c r="LC45" s="100"/>
      <c r="LD45" s="100"/>
      <c r="LE45" s="100"/>
      <c r="LF45" s="100"/>
      <c r="LG45" s="100"/>
      <c r="LH45" s="100"/>
      <c r="LI45" s="100"/>
      <c r="LJ45" s="100"/>
      <c r="LK45" s="100"/>
      <c r="LL45" s="100"/>
      <c r="LM45" s="100"/>
      <c r="LN45" s="100"/>
      <c r="LO45" s="100"/>
      <c r="LP45" s="100"/>
      <c r="LQ45" s="100"/>
      <c r="LR45" s="100"/>
      <c r="LS45" s="100"/>
      <c r="LT45" s="100"/>
      <c r="LU45" s="100"/>
      <c r="LV45" s="100"/>
      <c r="LW45" s="100"/>
      <c r="LX45" s="100"/>
      <c r="LY45" s="100"/>
      <c r="LZ45" s="100"/>
      <c r="MA45" s="100"/>
      <c r="MB45" s="100"/>
      <c r="MC45" s="100"/>
      <c r="MD45" s="100"/>
      <c r="ME45" s="100"/>
      <c r="MF45" s="100"/>
      <c r="MG45" s="100"/>
      <c r="MH45" s="100"/>
      <c r="MI45" s="100"/>
      <c r="MJ45" s="100"/>
      <c r="MK45" s="100"/>
      <c r="ML45" s="100"/>
      <c r="MM45" s="100"/>
      <c r="MN45" s="100"/>
      <c r="MO45" s="100"/>
      <c r="MP45" s="100"/>
      <c r="MQ45" s="100"/>
      <c r="MR45" s="100"/>
      <c r="MS45" s="100"/>
      <c r="MT45" s="100"/>
      <c r="MU45" s="100"/>
      <c r="MV45" s="100"/>
      <c r="MW45" s="100"/>
      <c r="MX45" s="100"/>
      <c r="MY45" s="100"/>
      <c r="MZ45" s="100"/>
      <c r="NA45" s="100"/>
      <c r="NB45" s="100"/>
      <c r="NC45" s="100"/>
      <c r="ND45" s="100"/>
      <c r="NE45" s="100"/>
      <c r="NF45" s="100"/>
      <c r="NG45" s="100"/>
      <c r="NH45" s="100"/>
      <c r="NI45" s="100"/>
      <c r="NJ45" s="100"/>
      <c r="NK45" s="100"/>
      <c r="NL45" s="100"/>
      <c r="NM45" s="100"/>
      <c r="NN45" s="100"/>
      <c r="NO45" s="100"/>
      <c r="NP45" s="100"/>
      <c r="NQ45" s="100"/>
      <c r="NR45" s="100"/>
      <c r="NS45" s="100"/>
      <c r="NT45" s="100"/>
      <c r="NU45" s="100"/>
      <c r="NV45" s="100"/>
      <c r="NW45" s="100"/>
      <c r="NX45" s="100"/>
      <c r="NY45" s="100"/>
      <c r="NZ45" s="100"/>
      <c r="OA45" s="100"/>
      <c r="OB45" s="100"/>
      <c r="OC45" s="100"/>
      <c r="OD45" s="100"/>
      <c r="OE45" s="100"/>
      <c r="OF45" s="100"/>
      <c r="OG45" s="100"/>
      <c r="OH45" s="100"/>
      <c r="OI45" s="100"/>
      <c r="OJ45" s="100"/>
      <c r="OK45" s="100"/>
      <c r="OL45" s="100"/>
      <c r="OM45" s="100"/>
      <c r="ON45" s="100"/>
      <c r="OO45" s="100"/>
      <c r="OP45" s="100"/>
      <c r="OQ45" s="100"/>
      <c r="OR45" s="100"/>
      <c r="OS45" s="100"/>
      <c r="OT45" s="100"/>
      <c r="OU45" s="100"/>
      <c r="OV45" s="100"/>
      <c r="OW45" s="100"/>
      <c r="OX45" s="100"/>
      <c r="OY45" s="100"/>
      <c r="OZ45" s="100"/>
      <c r="PA45" s="100"/>
      <c r="PB45" s="100"/>
      <c r="PC45" s="100"/>
      <c r="PD45" s="100"/>
      <c r="PE45" s="100"/>
      <c r="PF45" s="100"/>
      <c r="PG45" s="100"/>
      <c r="PH45" s="100"/>
      <c r="PI45" s="100"/>
      <c r="PJ45" s="100"/>
      <c r="PK45" s="100"/>
      <c r="PL45" s="100"/>
      <c r="PM45" s="100"/>
      <c r="PN45" s="100"/>
      <c r="PO45" s="100"/>
      <c r="PP45" s="100"/>
      <c r="PQ45" s="100"/>
      <c r="PR45" s="100"/>
      <c r="PS45" s="100"/>
      <c r="PT45" s="100"/>
      <c r="PU45" s="100"/>
      <c r="PV45" s="100"/>
      <c r="PW45" s="100"/>
      <c r="PX45" s="100"/>
      <c r="PY45" s="100"/>
      <c r="PZ45" s="100"/>
      <c r="QA45" s="100"/>
      <c r="QB45" s="100"/>
      <c r="QC45" s="100"/>
      <c r="QD45" s="100"/>
      <c r="QE45" s="100"/>
      <c r="QF45" s="100"/>
      <c r="QG45" s="100"/>
      <c r="QH45" s="100"/>
      <c r="QI45" s="100"/>
      <c r="QJ45" s="100"/>
      <c r="QK45" s="100"/>
      <c r="QL45" s="100"/>
      <c r="QM45" s="100"/>
      <c r="QN45" s="100"/>
      <c r="QO45" s="100"/>
      <c r="QP45" s="100"/>
      <c r="QQ45" s="100"/>
      <c r="QR45" s="100"/>
      <c r="QS45" s="100"/>
      <c r="QT45" s="100"/>
      <c r="QU45" s="100"/>
      <c r="QV45" s="100"/>
      <c r="QW45" s="100"/>
      <c r="QX45" s="100"/>
      <c r="QY45" s="23">
        <f t="shared" si="3"/>
        <v>64</v>
      </c>
      <c r="QZ45" s="47" t="s">
        <v>36</v>
      </c>
      <c r="RA45" s="97">
        <v>4142.16</v>
      </c>
      <c r="RB45" s="63">
        <f t="shared" si="6"/>
        <v>4142.16</v>
      </c>
      <c r="RC45" s="63">
        <v>2419.88</v>
      </c>
      <c r="RD45" s="97">
        <f t="shared" si="4"/>
        <v>0</v>
      </c>
      <c r="RE45" s="107">
        <f>4095.36+46.8</f>
        <v>4142.16</v>
      </c>
      <c r="RF45" s="107"/>
      <c r="RG45" s="83">
        <f t="shared" si="5"/>
        <v>1.7117212423756549</v>
      </c>
      <c r="RH45" s="116" t="s">
        <v>559</v>
      </c>
    </row>
    <row r="46" spans="1:476" s="5" customFormat="1" ht="12.75" customHeight="1" x14ac:dyDescent="0.25">
      <c r="A46" s="48">
        <v>44957</v>
      </c>
      <c r="B46" s="90" t="s">
        <v>196</v>
      </c>
      <c r="C46" s="98"/>
      <c r="D46" s="98"/>
      <c r="E46" s="99"/>
      <c r="F46" s="99"/>
      <c r="G46" s="99"/>
      <c r="H46" s="99"/>
      <c r="I46" s="99"/>
      <c r="J46" s="99"/>
      <c r="K46" s="99"/>
      <c r="L46" s="99"/>
      <c r="M46" s="99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>
        <v>10</v>
      </c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M46" s="100"/>
      <c r="EN46" s="100"/>
      <c r="EO46" s="100"/>
      <c r="EP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>
        <v>60</v>
      </c>
      <c r="FI46" s="100"/>
      <c r="FJ46" s="100"/>
      <c r="FK46" s="100"/>
      <c r="FL46" s="100"/>
      <c r="FM46" s="100"/>
      <c r="FN46" s="100"/>
      <c r="FO46" s="100"/>
      <c r="FP46" s="100"/>
      <c r="FQ46" s="100"/>
      <c r="FR46" s="100"/>
      <c r="FS46" s="100"/>
      <c r="FT46" s="100"/>
      <c r="FU46" s="100"/>
      <c r="FV46" s="100"/>
      <c r="FW46" s="100"/>
      <c r="FX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0"/>
      <c r="GI46" s="100"/>
      <c r="GJ46" s="100"/>
      <c r="GK46" s="100"/>
      <c r="GL46" s="100"/>
      <c r="GM46" s="100"/>
      <c r="GN46" s="100"/>
      <c r="GO46" s="100"/>
      <c r="GP46" s="100"/>
      <c r="GQ46" s="100"/>
      <c r="GR46" s="100"/>
      <c r="GS46" s="100"/>
      <c r="GT46" s="100"/>
      <c r="GU46" s="100"/>
      <c r="GV46" s="100"/>
      <c r="GW46" s="100"/>
      <c r="GX46" s="100"/>
      <c r="GY46" s="100"/>
      <c r="GZ46" s="100"/>
      <c r="HA46" s="100"/>
      <c r="HB46" s="100"/>
      <c r="HC46" s="100"/>
      <c r="HD46" s="100"/>
      <c r="HE46" s="100"/>
      <c r="HF46" s="100"/>
      <c r="HG46" s="100"/>
      <c r="HH46" s="100"/>
      <c r="HI46" s="100"/>
      <c r="HJ46" s="100"/>
      <c r="HK46" s="100"/>
      <c r="HL46" s="100"/>
      <c r="HM46" s="100"/>
      <c r="HN46" s="100"/>
      <c r="HO46" s="100"/>
      <c r="HP46" s="100"/>
      <c r="HQ46" s="100"/>
      <c r="HR46" s="100"/>
      <c r="HS46" s="100"/>
      <c r="HT46" s="100"/>
      <c r="HU46" s="100"/>
      <c r="HV46" s="100"/>
      <c r="HW46" s="100"/>
      <c r="HX46" s="100"/>
      <c r="HY46" s="100"/>
      <c r="HZ46" s="100"/>
      <c r="IA46" s="100"/>
      <c r="IB46" s="100"/>
      <c r="IC46" s="100"/>
      <c r="ID46" s="100"/>
      <c r="IE46" s="100"/>
      <c r="IF46" s="100"/>
      <c r="IG46" s="100"/>
      <c r="IH46" s="100"/>
      <c r="II46" s="100"/>
      <c r="IJ46" s="100"/>
      <c r="IK46" s="100"/>
      <c r="IL46" s="100"/>
      <c r="IM46" s="100"/>
      <c r="IN46" s="100"/>
      <c r="IO46" s="100"/>
      <c r="IP46" s="100"/>
      <c r="IQ46" s="100"/>
      <c r="IR46" s="100"/>
      <c r="IS46" s="100"/>
      <c r="IT46" s="100"/>
      <c r="IU46" s="100"/>
      <c r="IV46" s="100"/>
      <c r="IW46" s="100"/>
      <c r="IX46" s="100"/>
      <c r="IY46" s="100"/>
      <c r="IZ46" s="100"/>
      <c r="JA46" s="100"/>
      <c r="JB46" s="100"/>
      <c r="JC46" s="100"/>
      <c r="JD46" s="100"/>
      <c r="JE46" s="100"/>
      <c r="JF46" s="100"/>
      <c r="JG46" s="100"/>
      <c r="JH46" s="100"/>
      <c r="JI46" s="100"/>
      <c r="JJ46" s="100"/>
      <c r="JK46" s="100"/>
      <c r="JL46" s="100"/>
      <c r="JM46" s="100"/>
      <c r="JN46" s="100"/>
      <c r="JO46" s="100"/>
      <c r="JP46" s="100"/>
      <c r="JQ46" s="100"/>
      <c r="JR46" s="100"/>
      <c r="JS46" s="100"/>
      <c r="JT46" s="100"/>
      <c r="JU46" s="100"/>
      <c r="JV46" s="100"/>
      <c r="JW46" s="100"/>
      <c r="JX46" s="100"/>
      <c r="JY46" s="100"/>
      <c r="JZ46" s="100"/>
      <c r="KA46" s="100"/>
      <c r="KB46" s="100"/>
      <c r="KC46" s="100"/>
      <c r="KD46" s="100"/>
      <c r="KE46" s="100"/>
      <c r="KF46" s="100"/>
      <c r="KG46" s="100"/>
      <c r="KH46" s="100"/>
      <c r="KI46" s="100"/>
      <c r="KJ46" s="100"/>
      <c r="KK46" s="100"/>
      <c r="KL46" s="100"/>
      <c r="KM46" s="100">
        <v>10</v>
      </c>
      <c r="KN46" s="100"/>
      <c r="KO46" s="100"/>
      <c r="KP46" s="100"/>
      <c r="KQ46" s="100"/>
      <c r="KR46" s="100"/>
      <c r="KS46" s="100"/>
      <c r="KT46" s="100"/>
      <c r="KU46" s="100"/>
      <c r="KV46" s="100"/>
      <c r="KW46" s="100"/>
      <c r="KX46" s="100"/>
      <c r="KY46" s="100"/>
      <c r="KZ46" s="100"/>
      <c r="LA46" s="100"/>
      <c r="LB46" s="100"/>
      <c r="LC46" s="100"/>
      <c r="LD46" s="100"/>
      <c r="LE46" s="100"/>
      <c r="LF46" s="100"/>
      <c r="LG46" s="100"/>
      <c r="LH46" s="100"/>
      <c r="LI46" s="100"/>
      <c r="LJ46" s="100"/>
      <c r="LK46" s="100"/>
      <c r="LL46" s="100"/>
      <c r="LM46" s="100"/>
      <c r="LN46" s="100"/>
      <c r="LO46" s="100"/>
      <c r="LP46" s="100"/>
      <c r="LQ46" s="100"/>
      <c r="LR46" s="100"/>
      <c r="LS46" s="100"/>
      <c r="LT46" s="100"/>
      <c r="LU46" s="100"/>
      <c r="LV46" s="100"/>
      <c r="LW46" s="100"/>
      <c r="LX46" s="100"/>
      <c r="LY46" s="100"/>
      <c r="LZ46" s="100"/>
      <c r="MA46" s="100"/>
      <c r="MB46" s="100"/>
      <c r="MC46" s="100"/>
      <c r="MD46" s="100"/>
      <c r="ME46" s="100"/>
      <c r="MF46" s="100"/>
      <c r="MG46" s="100"/>
      <c r="MH46" s="100"/>
      <c r="MI46" s="100"/>
      <c r="MJ46" s="100"/>
      <c r="MK46" s="100"/>
      <c r="ML46" s="100"/>
      <c r="MM46" s="100"/>
      <c r="MN46" s="100"/>
      <c r="MO46" s="100"/>
      <c r="MP46" s="100"/>
      <c r="MQ46" s="100"/>
      <c r="MR46" s="100"/>
      <c r="MS46" s="100"/>
      <c r="MT46" s="100"/>
      <c r="MU46" s="100"/>
      <c r="MV46" s="100"/>
      <c r="MW46" s="100"/>
      <c r="MX46" s="100"/>
      <c r="MY46" s="100"/>
      <c r="MZ46" s="100"/>
      <c r="NA46" s="100"/>
      <c r="NB46" s="100"/>
      <c r="NC46" s="100"/>
      <c r="ND46" s="100"/>
      <c r="NE46" s="100"/>
      <c r="NF46" s="100"/>
      <c r="NG46" s="100"/>
      <c r="NH46" s="100"/>
      <c r="NI46" s="100"/>
      <c r="NJ46" s="100"/>
      <c r="NK46" s="100"/>
      <c r="NL46" s="100"/>
      <c r="NM46" s="100"/>
      <c r="NN46" s="100"/>
      <c r="NO46" s="100"/>
      <c r="NP46" s="100"/>
      <c r="NQ46" s="100"/>
      <c r="NR46" s="100"/>
      <c r="NS46" s="100"/>
      <c r="NT46" s="100"/>
      <c r="NU46" s="100"/>
      <c r="NV46" s="100"/>
      <c r="NW46" s="100"/>
      <c r="NX46" s="100"/>
      <c r="NY46" s="100"/>
      <c r="NZ46" s="100"/>
      <c r="OA46" s="100"/>
      <c r="OB46" s="100"/>
      <c r="OC46" s="100"/>
      <c r="OD46" s="100"/>
      <c r="OE46" s="100"/>
      <c r="OF46" s="100"/>
      <c r="OG46" s="100"/>
      <c r="OH46" s="100"/>
      <c r="OI46" s="100"/>
      <c r="OJ46" s="100"/>
      <c r="OK46" s="100"/>
      <c r="OL46" s="100"/>
      <c r="OM46" s="100"/>
      <c r="ON46" s="100"/>
      <c r="OO46" s="100"/>
      <c r="OP46" s="100"/>
      <c r="OQ46" s="100"/>
      <c r="OR46" s="100"/>
      <c r="OS46" s="100"/>
      <c r="OT46" s="100"/>
      <c r="OU46" s="100"/>
      <c r="OV46" s="100"/>
      <c r="OW46" s="100"/>
      <c r="OX46" s="100"/>
      <c r="OY46" s="100"/>
      <c r="OZ46" s="100"/>
      <c r="PA46" s="100"/>
      <c r="PB46" s="100"/>
      <c r="PC46" s="100"/>
      <c r="PD46" s="100"/>
      <c r="PE46" s="100"/>
      <c r="PF46" s="100"/>
      <c r="PG46" s="100"/>
      <c r="PH46" s="100"/>
      <c r="PI46" s="100"/>
      <c r="PJ46" s="100"/>
      <c r="PK46" s="100"/>
      <c r="PL46" s="100"/>
      <c r="PM46" s="100"/>
      <c r="PN46" s="100"/>
      <c r="PO46" s="100"/>
      <c r="PP46" s="100"/>
      <c r="PQ46" s="100"/>
      <c r="PR46" s="100"/>
      <c r="PS46" s="100"/>
      <c r="PT46" s="100"/>
      <c r="PU46" s="100"/>
      <c r="PV46" s="100"/>
      <c r="PW46" s="100"/>
      <c r="PX46" s="100"/>
      <c r="PY46" s="100"/>
      <c r="PZ46" s="100"/>
      <c r="QA46" s="100"/>
      <c r="QB46" s="100"/>
      <c r="QC46" s="100"/>
      <c r="QD46" s="100"/>
      <c r="QE46" s="100"/>
      <c r="QF46" s="100"/>
      <c r="QG46" s="100"/>
      <c r="QH46" s="100"/>
      <c r="QI46" s="100"/>
      <c r="QJ46" s="100"/>
      <c r="QK46" s="100"/>
      <c r="QL46" s="100"/>
      <c r="QM46" s="100"/>
      <c r="QN46" s="100"/>
      <c r="QO46" s="100"/>
      <c r="QP46" s="100"/>
      <c r="QQ46" s="100"/>
      <c r="QR46" s="100"/>
      <c r="QS46" s="100"/>
      <c r="QT46" s="100"/>
      <c r="QU46" s="100"/>
      <c r="QV46" s="100"/>
      <c r="QW46" s="100"/>
      <c r="QX46" s="100"/>
      <c r="QY46" s="23">
        <f t="shared" si="3"/>
        <v>80</v>
      </c>
      <c r="QZ46" s="47" t="s">
        <v>36</v>
      </c>
      <c r="RA46" s="97">
        <v>6333.12</v>
      </c>
      <c r="RB46" s="63">
        <f t="shared" si="6"/>
        <v>0</v>
      </c>
      <c r="RC46" s="63">
        <v>3682.6</v>
      </c>
      <c r="RD46" s="97">
        <f t="shared" si="4"/>
        <v>6333.12</v>
      </c>
      <c r="RE46" s="107"/>
      <c r="RF46" s="107"/>
      <c r="RG46" s="83">
        <f t="shared" si="5"/>
        <v>1.7197414869928855</v>
      </c>
      <c r="RH46" s="116"/>
    </row>
    <row r="47" spans="1:476" s="5" customFormat="1" ht="12.75" customHeight="1" x14ac:dyDescent="0.25">
      <c r="A47" s="48">
        <v>44957</v>
      </c>
      <c r="B47" s="90" t="s">
        <v>556</v>
      </c>
      <c r="C47" s="98"/>
      <c r="D47" s="98"/>
      <c r="E47" s="99"/>
      <c r="F47" s="99"/>
      <c r="G47" s="99"/>
      <c r="H47" s="99"/>
      <c r="I47" s="99"/>
      <c r="J47" s="99"/>
      <c r="K47" s="99"/>
      <c r="L47" s="99"/>
      <c r="M47" s="99"/>
      <c r="N47" s="100"/>
      <c r="O47" s="100"/>
      <c r="P47" s="100"/>
      <c r="Q47" s="100"/>
      <c r="R47" s="100"/>
      <c r="S47" s="100"/>
      <c r="T47" s="100"/>
      <c r="U47" s="100">
        <v>40</v>
      </c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>
        <v>10</v>
      </c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>
        <v>32</v>
      </c>
      <c r="FN47" s="100"/>
      <c r="FO47" s="100"/>
      <c r="FP47" s="100"/>
      <c r="FQ47" s="100"/>
      <c r="FR47" s="100"/>
      <c r="FS47" s="100"/>
      <c r="FT47" s="100"/>
      <c r="FU47" s="100"/>
      <c r="FV47" s="100"/>
      <c r="FW47" s="100"/>
      <c r="FX47" s="100"/>
      <c r="FY47" s="100"/>
      <c r="FZ47" s="100"/>
      <c r="GA47" s="100"/>
      <c r="GB47" s="100"/>
      <c r="GC47" s="100"/>
      <c r="GD47" s="100"/>
      <c r="GE47" s="100"/>
      <c r="GF47" s="100"/>
      <c r="GG47" s="100"/>
      <c r="GH47" s="100"/>
      <c r="GI47" s="100"/>
      <c r="GJ47" s="100"/>
      <c r="GK47" s="100"/>
      <c r="GL47" s="100"/>
      <c r="GM47" s="100"/>
      <c r="GN47" s="100"/>
      <c r="GO47" s="100"/>
      <c r="GP47" s="100"/>
      <c r="GQ47" s="100"/>
      <c r="GR47" s="100"/>
      <c r="GS47" s="100"/>
      <c r="GT47" s="100"/>
      <c r="GU47" s="100"/>
      <c r="GV47" s="100"/>
      <c r="GW47" s="100"/>
      <c r="GX47" s="100"/>
      <c r="GY47" s="100"/>
      <c r="GZ47" s="100"/>
      <c r="HA47" s="100"/>
      <c r="HB47" s="100"/>
      <c r="HC47" s="100"/>
      <c r="HD47" s="100"/>
      <c r="HE47" s="100"/>
      <c r="HF47" s="100"/>
      <c r="HG47" s="100"/>
      <c r="HH47" s="100"/>
      <c r="HI47" s="100"/>
      <c r="HJ47" s="100"/>
      <c r="HK47" s="100"/>
      <c r="HL47" s="100"/>
      <c r="HM47" s="100"/>
      <c r="HN47" s="100"/>
      <c r="HO47" s="100"/>
      <c r="HP47" s="100"/>
      <c r="HQ47" s="100"/>
      <c r="HR47" s="100"/>
      <c r="HS47" s="100"/>
      <c r="HT47" s="100"/>
      <c r="HU47" s="100"/>
      <c r="HV47" s="100"/>
      <c r="HW47" s="100"/>
      <c r="HX47" s="100"/>
      <c r="HY47" s="100"/>
      <c r="HZ47" s="100"/>
      <c r="IA47" s="100"/>
      <c r="IB47" s="100"/>
      <c r="IC47" s="100"/>
      <c r="ID47" s="100"/>
      <c r="IE47" s="100"/>
      <c r="IF47" s="100"/>
      <c r="IG47" s="100"/>
      <c r="IH47" s="100"/>
      <c r="II47" s="100"/>
      <c r="IJ47" s="100"/>
      <c r="IK47" s="100"/>
      <c r="IL47" s="100"/>
      <c r="IM47" s="100"/>
      <c r="IN47" s="100"/>
      <c r="IO47" s="100"/>
      <c r="IP47" s="100"/>
      <c r="IQ47" s="100"/>
      <c r="IR47" s="100"/>
      <c r="IS47" s="100"/>
      <c r="IT47" s="100"/>
      <c r="IU47" s="100"/>
      <c r="IV47" s="100"/>
      <c r="IW47" s="100"/>
      <c r="IX47" s="100"/>
      <c r="IY47" s="100"/>
      <c r="IZ47" s="100"/>
      <c r="JA47" s="100"/>
      <c r="JB47" s="100"/>
      <c r="JC47" s="100"/>
      <c r="JD47" s="100"/>
      <c r="JE47" s="100"/>
      <c r="JF47" s="100"/>
      <c r="JG47" s="100"/>
      <c r="JH47" s="100"/>
      <c r="JI47" s="100"/>
      <c r="JJ47" s="100"/>
      <c r="JK47" s="100"/>
      <c r="JL47" s="100"/>
      <c r="JM47" s="100"/>
      <c r="JN47" s="100"/>
      <c r="JO47" s="100"/>
      <c r="JP47" s="100"/>
      <c r="JQ47" s="100"/>
      <c r="JR47" s="100"/>
      <c r="JS47" s="100"/>
      <c r="JT47" s="100"/>
      <c r="JU47" s="100"/>
      <c r="JV47" s="100"/>
      <c r="JW47" s="100"/>
      <c r="JX47" s="100"/>
      <c r="JY47" s="100"/>
      <c r="JZ47" s="100"/>
      <c r="KA47" s="100"/>
      <c r="KB47" s="100"/>
      <c r="KC47" s="100"/>
      <c r="KD47" s="100"/>
      <c r="KE47" s="100"/>
      <c r="KF47" s="100"/>
      <c r="KG47" s="100"/>
      <c r="KH47" s="100"/>
      <c r="KI47" s="100"/>
      <c r="KJ47" s="100"/>
      <c r="KK47" s="100"/>
      <c r="KL47" s="100"/>
      <c r="KM47" s="100"/>
      <c r="KN47" s="100"/>
      <c r="KO47" s="100"/>
      <c r="KP47" s="100"/>
      <c r="KQ47" s="100"/>
      <c r="KR47" s="100"/>
      <c r="KS47" s="100"/>
      <c r="KT47" s="100"/>
      <c r="KU47" s="100"/>
      <c r="KV47" s="100"/>
      <c r="KW47" s="100"/>
      <c r="KX47" s="100"/>
      <c r="KY47" s="100"/>
      <c r="KZ47" s="100"/>
      <c r="LA47" s="100"/>
      <c r="LB47" s="100"/>
      <c r="LC47" s="100"/>
      <c r="LD47" s="100"/>
      <c r="LE47" s="100"/>
      <c r="LF47" s="100"/>
      <c r="LG47" s="100"/>
      <c r="LH47" s="100"/>
      <c r="LI47" s="100"/>
      <c r="LJ47" s="100"/>
      <c r="LK47" s="100"/>
      <c r="LL47" s="100"/>
      <c r="LM47" s="100"/>
      <c r="LN47" s="100"/>
      <c r="LO47" s="100"/>
      <c r="LP47" s="100"/>
      <c r="LQ47" s="100"/>
      <c r="LR47" s="100"/>
      <c r="LS47" s="100"/>
      <c r="LT47" s="100"/>
      <c r="LU47" s="100"/>
      <c r="LV47" s="100"/>
      <c r="LW47" s="100"/>
      <c r="LX47" s="100"/>
      <c r="LY47" s="100"/>
      <c r="LZ47" s="100"/>
      <c r="MA47" s="100"/>
      <c r="MB47" s="100"/>
      <c r="MC47" s="100"/>
      <c r="MD47" s="100"/>
      <c r="ME47" s="100"/>
      <c r="MF47" s="100"/>
      <c r="MG47" s="100"/>
      <c r="MH47" s="100"/>
      <c r="MI47" s="100"/>
      <c r="MJ47" s="100"/>
      <c r="MK47" s="100"/>
      <c r="ML47" s="100"/>
      <c r="MM47" s="100"/>
      <c r="MN47" s="100"/>
      <c r="MO47" s="100"/>
      <c r="MP47" s="100"/>
      <c r="MQ47" s="100"/>
      <c r="MR47" s="100"/>
      <c r="MS47" s="100"/>
      <c r="MT47" s="100"/>
      <c r="MU47" s="100"/>
      <c r="MV47" s="100"/>
      <c r="MW47" s="100"/>
      <c r="MX47" s="100"/>
      <c r="MY47" s="100"/>
      <c r="MZ47" s="100"/>
      <c r="NA47" s="100"/>
      <c r="NB47" s="100"/>
      <c r="NC47" s="100"/>
      <c r="ND47" s="100"/>
      <c r="NE47" s="100"/>
      <c r="NF47" s="100"/>
      <c r="NG47" s="100"/>
      <c r="NH47" s="100"/>
      <c r="NI47" s="100"/>
      <c r="NJ47" s="100"/>
      <c r="NK47" s="100"/>
      <c r="NL47" s="100"/>
      <c r="NM47" s="100"/>
      <c r="NN47" s="100"/>
      <c r="NO47" s="100"/>
      <c r="NP47" s="100"/>
      <c r="NQ47" s="100"/>
      <c r="NR47" s="100"/>
      <c r="NS47" s="100"/>
      <c r="NT47" s="100"/>
      <c r="NU47" s="100"/>
      <c r="NV47" s="100"/>
      <c r="NW47" s="100"/>
      <c r="NX47" s="100"/>
      <c r="NY47" s="100"/>
      <c r="NZ47" s="100"/>
      <c r="OA47" s="100"/>
      <c r="OB47" s="100"/>
      <c r="OC47" s="100"/>
      <c r="OD47" s="100"/>
      <c r="OE47" s="100"/>
      <c r="OF47" s="100"/>
      <c r="OG47" s="100"/>
      <c r="OH47" s="100"/>
      <c r="OI47" s="100"/>
      <c r="OJ47" s="100"/>
      <c r="OK47" s="100"/>
      <c r="OL47" s="100"/>
      <c r="OM47" s="100"/>
      <c r="ON47" s="100"/>
      <c r="OO47" s="100"/>
      <c r="OP47" s="100"/>
      <c r="OQ47" s="100"/>
      <c r="OR47" s="100"/>
      <c r="OS47" s="100"/>
      <c r="OT47" s="100"/>
      <c r="OU47" s="100"/>
      <c r="OV47" s="100"/>
      <c r="OW47" s="100"/>
      <c r="OX47" s="100"/>
      <c r="OY47" s="100"/>
      <c r="OZ47" s="100"/>
      <c r="PA47" s="100"/>
      <c r="PB47" s="100"/>
      <c r="PC47" s="100"/>
      <c r="PD47" s="100"/>
      <c r="PE47" s="100"/>
      <c r="PF47" s="100"/>
      <c r="PG47" s="100"/>
      <c r="PH47" s="100"/>
      <c r="PI47" s="100"/>
      <c r="PJ47" s="100"/>
      <c r="PK47" s="100"/>
      <c r="PL47" s="100"/>
      <c r="PM47" s="100"/>
      <c r="PN47" s="100"/>
      <c r="PO47" s="100"/>
      <c r="PP47" s="100"/>
      <c r="PQ47" s="100"/>
      <c r="PR47" s="100"/>
      <c r="PS47" s="100"/>
      <c r="PT47" s="100"/>
      <c r="PU47" s="100"/>
      <c r="PV47" s="100"/>
      <c r="PW47" s="100"/>
      <c r="PX47" s="100"/>
      <c r="PY47" s="100"/>
      <c r="PZ47" s="100"/>
      <c r="QA47" s="100"/>
      <c r="QB47" s="100"/>
      <c r="QC47" s="100"/>
      <c r="QD47" s="100"/>
      <c r="QE47" s="100"/>
      <c r="QF47" s="100"/>
      <c r="QG47" s="100"/>
      <c r="QH47" s="100"/>
      <c r="QI47" s="100"/>
      <c r="QJ47" s="100"/>
      <c r="QK47" s="100"/>
      <c r="QL47" s="100"/>
      <c r="QM47" s="100"/>
      <c r="QN47" s="100"/>
      <c r="QO47" s="100"/>
      <c r="QP47" s="100"/>
      <c r="QQ47" s="100"/>
      <c r="QR47" s="100"/>
      <c r="QS47" s="100"/>
      <c r="QT47" s="100"/>
      <c r="QU47" s="100"/>
      <c r="QV47" s="100"/>
      <c r="QW47" s="100"/>
      <c r="QX47" s="100"/>
      <c r="QY47" s="23">
        <f t="shared" si="3"/>
        <v>82</v>
      </c>
      <c r="QZ47" s="47" t="s">
        <v>36</v>
      </c>
      <c r="RA47" s="97">
        <v>8116.46</v>
      </c>
      <c r="RB47" s="63">
        <f t="shared" si="6"/>
        <v>79.260000000000005</v>
      </c>
      <c r="RC47" s="63">
        <v>4874.2000000000007</v>
      </c>
      <c r="RD47" s="97">
        <f t="shared" si="4"/>
        <v>8037.2</v>
      </c>
      <c r="RE47" s="107">
        <v>79.260000000000005</v>
      </c>
      <c r="RF47" s="107"/>
      <c r="RG47" s="83">
        <f t="shared" si="5"/>
        <v>1.6651881334372818</v>
      </c>
      <c r="RH47" s="116" t="s">
        <v>559</v>
      </c>
    </row>
    <row r="48" spans="1:476" s="5" customFormat="1" ht="12.75" customHeight="1" x14ac:dyDescent="0.25">
      <c r="A48" s="48">
        <v>44957</v>
      </c>
      <c r="B48" s="81" t="s">
        <v>554</v>
      </c>
      <c r="C48" s="98"/>
      <c r="D48" s="98"/>
      <c r="E48" s="99"/>
      <c r="F48" s="99"/>
      <c r="G48" s="99"/>
      <c r="H48" s="99"/>
      <c r="I48" s="99"/>
      <c r="J48" s="99"/>
      <c r="K48" s="99"/>
      <c r="L48" s="99"/>
      <c r="M48" s="99"/>
      <c r="N48" s="100"/>
      <c r="O48" s="100"/>
      <c r="P48" s="100"/>
      <c r="Q48" s="100"/>
      <c r="R48" s="100"/>
      <c r="S48" s="100"/>
      <c r="T48" s="100"/>
      <c r="U48" s="100">
        <v>10</v>
      </c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0"/>
      <c r="JH48" s="100"/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0"/>
      <c r="KK48" s="100"/>
      <c r="KL48" s="100"/>
      <c r="KM48" s="100"/>
      <c r="KN48" s="100"/>
      <c r="KO48" s="100"/>
      <c r="KP48" s="100"/>
      <c r="KQ48" s="100"/>
      <c r="KR48" s="100"/>
      <c r="KS48" s="100"/>
      <c r="KT48" s="100"/>
      <c r="KU48" s="100"/>
      <c r="KV48" s="100"/>
      <c r="KW48" s="100"/>
      <c r="KX48" s="100"/>
      <c r="KY48" s="100"/>
      <c r="KZ48" s="100"/>
      <c r="LA48" s="100"/>
      <c r="LB48" s="100"/>
      <c r="LC48" s="100"/>
      <c r="LD48" s="100"/>
      <c r="LE48" s="100"/>
      <c r="LF48" s="100"/>
      <c r="LG48" s="100"/>
      <c r="LH48" s="100"/>
      <c r="LI48" s="100"/>
      <c r="LJ48" s="100"/>
      <c r="LK48" s="100"/>
      <c r="LL48" s="100"/>
      <c r="LM48" s="100"/>
      <c r="LN48" s="100"/>
      <c r="LO48" s="100"/>
      <c r="LP48" s="100"/>
      <c r="LQ48" s="100"/>
      <c r="LR48" s="100"/>
      <c r="LS48" s="100"/>
      <c r="LT48" s="100"/>
      <c r="LU48" s="100"/>
      <c r="LV48" s="100"/>
      <c r="LW48" s="100"/>
      <c r="LX48" s="100"/>
      <c r="LY48" s="100"/>
      <c r="LZ48" s="100"/>
      <c r="MA48" s="100"/>
      <c r="MB48" s="100"/>
      <c r="MC48" s="100"/>
      <c r="MD48" s="100"/>
      <c r="ME48" s="100"/>
      <c r="MF48" s="100"/>
      <c r="MG48" s="100"/>
      <c r="MH48" s="100"/>
      <c r="MI48" s="100"/>
      <c r="MJ48" s="100"/>
      <c r="MK48" s="100"/>
      <c r="ML48" s="100"/>
      <c r="MM48" s="100"/>
      <c r="MN48" s="100"/>
      <c r="MO48" s="100"/>
      <c r="MP48" s="100"/>
      <c r="MQ48" s="100"/>
      <c r="MR48" s="100"/>
      <c r="MS48" s="100"/>
      <c r="MT48" s="100"/>
      <c r="MU48" s="100"/>
      <c r="MV48" s="100"/>
      <c r="MW48" s="100"/>
      <c r="MX48" s="100"/>
      <c r="MY48" s="100"/>
      <c r="MZ48" s="100"/>
      <c r="NA48" s="100"/>
      <c r="NB48" s="100"/>
      <c r="NC48" s="100"/>
      <c r="ND48" s="100"/>
      <c r="NE48" s="100"/>
      <c r="NF48" s="100"/>
      <c r="NG48" s="100"/>
      <c r="NH48" s="100"/>
      <c r="NI48" s="100"/>
      <c r="NJ48" s="100"/>
      <c r="NK48" s="100"/>
      <c r="NL48" s="100"/>
      <c r="NM48" s="100"/>
      <c r="NN48" s="100"/>
      <c r="NO48" s="100"/>
      <c r="NP48" s="100"/>
      <c r="NQ48" s="100"/>
      <c r="NR48" s="100"/>
      <c r="NS48" s="100"/>
      <c r="NT48" s="100"/>
      <c r="NU48" s="100"/>
      <c r="NV48" s="100"/>
      <c r="NW48" s="100"/>
      <c r="NX48" s="100"/>
      <c r="NY48" s="100"/>
      <c r="NZ48" s="100"/>
      <c r="OA48" s="100"/>
      <c r="OB48" s="100"/>
      <c r="OC48" s="100"/>
      <c r="OD48" s="100"/>
      <c r="OE48" s="100"/>
      <c r="OF48" s="100"/>
      <c r="OG48" s="100"/>
      <c r="OH48" s="100"/>
      <c r="OI48" s="100"/>
      <c r="OJ48" s="100"/>
      <c r="OK48" s="100"/>
      <c r="OL48" s="100"/>
      <c r="OM48" s="100"/>
      <c r="ON48" s="100"/>
      <c r="OO48" s="100"/>
      <c r="OP48" s="100"/>
      <c r="OQ48" s="100"/>
      <c r="OR48" s="100"/>
      <c r="OS48" s="100"/>
      <c r="OT48" s="100"/>
      <c r="OU48" s="100"/>
      <c r="OV48" s="100"/>
      <c r="OW48" s="100"/>
      <c r="OX48" s="100"/>
      <c r="OY48" s="100"/>
      <c r="OZ48" s="100"/>
      <c r="PA48" s="100"/>
      <c r="PB48" s="100"/>
      <c r="PC48" s="100"/>
      <c r="PD48" s="100"/>
      <c r="PE48" s="100"/>
      <c r="PF48" s="100"/>
      <c r="PG48" s="100"/>
      <c r="PH48" s="100"/>
      <c r="PI48" s="100"/>
      <c r="PJ48" s="100"/>
      <c r="PK48" s="100"/>
      <c r="PL48" s="100"/>
      <c r="PM48" s="100"/>
      <c r="PN48" s="100"/>
      <c r="PO48" s="100"/>
      <c r="PP48" s="100"/>
      <c r="PQ48" s="100"/>
      <c r="PR48" s="100"/>
      <c r="PS48" s="100"/>
      <c r="PT48" s="100"/>
      <c r="PU48" s="100"/>
      <c r="PV48" s="100"/>
      <c r="PW48" s="100"/>
      <c r="PX48" s="100"/>
      <c r="PY48" s="100"/>
      <c r="PZ48" s="100"/>
      <c r="QA48" s="100"/>
      <c r="QB48" s="100"/>
      <c r="QC48" s="100"/>
      <c r="QD48" s="100"/>
      <c r="QE48" s="100"/>
      <c r="QF48" s="100"/>
      <c r="QG48" s="100"/>
      <c r="QH48" s="100"/>
      <c r="QI48" s="100"/>
      <c r="QJ48" s="100"/>
      <c r="QK48" s="100"/>
      <c r="QL48" s="100"/>
      <c r="QM48" s="100"/>
      <c r="QN48" s="100"/>
      <c r="QO48" s="100"/>
      <c r="QP48" s="100"/>
      <c r="QQ48" s="100"/>
      <c r="QR48" s="100"/>
      <c r="QS48" s="100"/>
      <c r="QT48" s="100"/>
      <c r="QU48" s="100"/>
      <c r="QV48" s="100"/>
      <c r="QW48" s="100"/>
      <c r="QX48" s="100"/>
      <c r="QY48" s="23">
        <f t="shared" si="3"/>
        <v>10</v>
      </c>
      <c r="QZ48" s="47" t="s">
        <v>36</v>
      </c>
      <c r="RA48" s="97">
        <v>792</v>
      </c>
      <c r="RB48" s="63">
        <f t="shared" si="6"/>
        <v>0</v>
      </c>
      <c r="RC48" s="63">
        <v>508.40000000000003</v>
      </c>
      <c r="RD48" s="97">
        <f t="shared" si="4"/>
        <v>792</v>
      </c>
      <c r="RE48" s="107"/>
      <c r="RF48" s="107"/>
      <c r="RG48" s="83">
        <f t="shared" si="5"/>
        <v>1.5578284815106214</v>
      </c>
      <c r="RH48" s="116" t="s">
        <v>527</v>
      </c>
    </row>
    <row r="49" spans="1:476" s="5" customFormat="1" ht="12.75" customHeight="1" x14ac:dyDescent="0.25">
      <c r="A49" s="48">
        <v>44957</v>
      </c>
      <c r="B49" s="90" t="s">
        <v>547</v>
      </c>
      <c r="C49" s="98"/>
      <c r="D49" s="98"/>
      <c r="E49" s="99"/>
      <c r="F49" s="99"/>
      <c r="G49" s="99"/>
      <c r="H49" s="99"/>
      <c r="I49" s="99"/>
      <c r="J49" s="99"/>
      <c r="K49" s="99"/>
      <c r="L49" s="99"/>
      <c r="M49" s="99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  <c r="IX49" s="100"/>
      <c r="IY49" s="100"/>
      <c r="IZ49" s="100"/>
      <c r="JA49" s="100"/>
      <c r="JB49" s="100"/>
      <c r="JC49" s="100"/>
      <c r="JD49" s="100"/>
      <c r="JE49" s="100"/>
      <c r="JF49" s="100"/>
      <c r="JG49" s="100"/>
      <c r="JH49" s="100"/>
      <c r="JI49" s="100">
        <v>1</v>
      </c>
      <c r="JJ49" s="100"/>
      <c r="JK49" s="100"/>
      <c r="JL49" s="100"/>
      <c r="JM49" s="100"/>
      <c r="JN49" s="100"/>
      <c r="JO49" s="100"/>
      <c r="JP49" s="100"/>
      <c r="JQ49" s="100"/>
      <c r="JR49" s="100"/>
      <c r="JS49" s="100"/>
      <c r="JT49" s="100"/>
      <c r="JU49" s="100"/>
      <c r="JV49" s="100"/>
      <c r="JW49" s="100"/>
      <c r="JX49" s="100"/>
      <c r="JY49" s="100"/>
      <c r="JZ49" s="100"/>
      <c r="KA49" s="100"/>
      <c r="KB49" s="100"/>
      <c r="KC49" s="100"/>
      <c r="KD49" s="100"/>
      <c r="KE49" s="100"/>
      <c r="KF49" s="100"/>
      <c r="KG49" s="100"/>
      <c r="KH49" s="100"/>
      <c r="KI49" s="100"/>
      <c r="KJ49" s="100"/>
      <c r="KK49" s="100"/>
      <c r="KL49" s="100"/>
      <c r="KM49" s="100"/>
      <c r="KN49" s="100"/>
      <c r="KO49" s="100"/>
      <c r="KP49" s="100"/>
      <c r="KQ49" s="100"/>
      <c r="KR49" s="100"/>
      <c r="KS49" s="100"/>
      <c r="KT49" s="100"/>
      <c r="KU49" s="100"/>
      <c r="KV49" s="100"/>
      <c r="KW49" s="100"/>
      <c r="KX49" s="100"/>
      <c r="KY49" s="100"/>
      <c r="KZ49" s="100"/>
      <c r="LA49" s="100"/>
      <c r="LB49" s="100"/>
      <c r="LC49" s="100"/>
      <c r="LD49" s="100"/>
      <c r="LE49" s="100"/>
      <c r="LF49" s="100"/>
      <c r="LG49" s="100"/>
      <c r="LH49" s="100"/>
      <c r="LI49" s="100"/>
      <c r="LJ49" s="100"/>
      <c r="LK49" s="100"/>
      <c r="LL49" s="100"/>
      <c r="LM49" s="100"/>
      <c r="LN49" s="100"/>
      <c r="LO49" s="100"/>
      <c r="LP49" s="100"/>
      <c r="LQ49" s="100"/>
      <c r="LR49" s="100"/>
      <c r="LS49" s="100"/>
      <c r="LT49" s="100"/>
      <c r="LU49" s="100"/>
      <c r="LV49" s="100"/>
      <c r="LW49" s="100"/>
      <c r="LX49" s="100"/>
      <c r="LY49" s="100"/>
      <c r="LZ49" s="100"/>
      <c r="MA49" s="100"/>
      <c r="MB49" s="100"/>
      <c r="MC49" s="100"/>
      <c r="MD49" s="100"/>
      <c r="ME49" s="100"/>
      <c r="MF49" s="100"/>
      <c r="MG49" s="100"/>
      <c r="MH49" s="100"/>
      <c r="MI49" s="100"/>
      <c r="MJ49" s="100"/>
      <c r="MK49" s="100"/>
      <c r="ML49" s="100"/>
      <c r="MM49" s="100"/>
      <c r="MN49" s="100"/>
      <c r="MO49" s="100"/>
      <c r="MP49" s="100"/>
      <c r="MQ49" s="100"/>
      <c r="MR49" s="100"/>
      <c r="MS49" s="100"/>
      <c r="MT49" s="100"/>
      <c r="MU49" s="100"/>
      <c r="MV49" s="100"/>
      <c r="MW49" s="100"/>
      <c r="MX49" s="100"/>
      <c r="MY49" s="100"/>
      <c r="MZ49" s="100"/>
      <c r="NA49" s="100"/>
      <c r="NB49" s="100"/>
      <c r="NC49" s="100"/>
      <c r="ND49" s="100"/>
      <c r="NE49" s="100"/>
      <c r="NF49" s="100"/>
      <c r="NG49" s="100"/>
      <c r="NH49" s="100"/>
      <c r="NI49" s="100"/>
      <c r="NJ49" s="100"/>
      <c r="NK49" s="100"/>
      <c r="NL49" s="100"/>
      <c r="NM49" s="100"/>
      <c r="NN49" s="100"/>
      <c r="NO49" s="100"/>
      <c r="NP49" s="100"/>
      <c r="NQ49" s="100"/>
      <c r="NR49" s="100"/>
      <c r="NS49" s="100"/>
      <c r="NT49" s="100"/>
      <c r="NU49" s="100"/>
      <c r="NV49" s="100"/>
      <c r="NW49" s="100"/>
      <c r="NX49" s="100"/>
      <c r="NY49" s="100"/>
      <c r="NZ49" s="100"/>
      <c r="OA49" s="100"/>
      <c r="OB49" s="100"/>
      <c r="OC49" s="100"/>
      <c r="OD49" s="100"/>
      <c r="OE49" s="100"/>
      <c r="OF49" s="100"/>
      <c r="OG49" s="100"/>
      <c r="OH49" s="100"/>
      <c r="OI49" s="100"/>
      <c r="OJ49" s="100"/>
      <c r="OK49" s="100"/>
      <c r="OL49" s="100"/>
      <c r="OM49" s="100"/>
      <c r="ON49" s="100"/>
      <c r="OO49" s="100"/>
      <c r="OP49" s="100"/>
      <c r="OQ49" s="100"/>
      <c r="OR49" s="100"/>
      <c r="OS49" s="100"/>
      <c r="OT49" s="100"/>
      <c r="OU49" s="100"/>
      <c r="OV49" s="100"/>
      <c r="OW49" s="100"/>
      <c r="OX49" s="100"/>
      <c r="OY49" s="100"/>
      <c r="OZ49" s="100"/>
      <c r="PA49" s="100"/>
      <c r="PB49" s="100"/>
      <c r="PC49" s="100"/>
      <c r="PD49" s="100"/>
      <c r="PE49" s="100"/>
      <c r="PF49" s="100"/>
      <c r="PG49" s="100"/>
      <c r="PH49" s="100"/>
      <c r="PI49" s="100"/>
      <c r="PJ49" s="100"/>
      <c r="PK49" s="100"/>
      <c r="PL49" s="100"/>
      <c r="PM49" s="100"/>
      <c r="PN49" s="100"/>
      <c r="PO49" s="100"/>
      <c r="PP49" s="100"/>
      <c r="PQ49" s="100"/>
      <c r="PR49" s="100"/>
      <c r="PS49" s="100"/>
      <c r="PT49" s="100"/>
      <c r="PU49" s="100"/>
      <c r="PV49" s="100"/>
      <c r="PW49" s="100"/>
      <c r="PX49" s="100"/>
      <c r="PY49" s="100"/>
      <c r="PZ49" s="100"/>
      <c r="QA49" s="100"/>
      <c r="QB49" s="100"/>
      <c r="QC49" s="100"/>
      <c r="QD49" s="100"/>
      <c r="QE49" s="100"/>
      <c r="QF49" s="100"/>
      <c r="QG49" s="100"/>
      <c r="QH49" s="100"/>
      <c r="QI49" s="100"/>
      <c r="QJ49" s="100"/>
      <c r="QK49" s="100"/>
      <c r="QL49" s="100"/>
      <c r="QM49" s="100"/>
      <c r="QN49" s="100"/>
      <c r="QO49" s="100"/>
      <c r="QP49" s="100"/>
      <c r="QQ49" s="100"/>
      <c r="QR49" s="100"/>
      <c r="QS49" s="100"/>
      <c r="QT49" s="100"/>
      <c r="QU49" s="100"/>
      <c r="QV49" s="100"/>
      <c r="QW49" s="100"/>
      <c r="QX49" s="100"/>
      <c r="QY49" s="23">
        <f t="shared" si="3"/>
        <v>1</v>
      </c>
      <c r="QZ49" s="47" t="s">
        <v>36</v>
      </c>
      <c r="RA49" s="97">
        <v>73.08</v>
      </c>
      <c r="RB49" s="63">
        <f>RE49</f>
        <v>73.08</v>
      </c>
      <c r="RC49" s="63">
        <v>44.34</v>
      </c>
      <c r="RD49" s="97">
        <f t="shared" si="4"/>
        <v>0</v>
      </c>
      <c r="RE49" s="107">
        <v>73.08</v>
      </c>
      <c r="RF49" s="107"/>
      <c r="RG49" s="83">
        <f t="shared" si="5"/>
        <v>1.6481732070365358</v>
      </c>
      <c r="RH49" s="116" t="s">
        <v>527</v>
      </c>
    </row>
    <row r="50" spans="1:476" s="5" customFormat="1" ht="12.75" customHeight="1" x14ac:dyDescent="0.25">
      <c r="A50" s="48">
        <v>44957</v>
      </c>
      <c r="B50" s="81" t="s">
        <v>331</v>
      </c>
      <c r="C50" s="98"/>
      <c r="D50" s="98"/>
      <c r="E50" s="99"/>
      <c r="F50" s="99"/>
      <c r="G50" s="99"/>
      <c r="H50" s="99"/>
      <c r="I50" s="99"/>
      <c r="J50" s="99"/>
      <c r="K50" s="99"/>
      <c r="L50" s="99"/>
      <c r="M50" s="99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>
        <v>27</v>
      </c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>
        <v>27</v>
      </c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  <c r="IX50" s="100"/>
      <c r="IY50" s="100"/>
      <c r="IZ50" s="100"/>
      <c r="JA50" s="100"/>
      <c r="JB50" s="100"/>
      <c r="JC50" s="100"/>
      <c r="JD50" s="100"/>
      <c r="JE50" s="100"/>
      <c r="JF50" s="100"/>
      <c r="JG50" s="100"/>
      <c r="JH50" s="100"/>
      <c r="JI50" s="100"/>
      <c r="JJ50" s="100"/>
      <c r="JK50" s="100"/>
      <c r="JL50" s="100"/>
      <c r="JM50" s="100"/>
      <c r="JN50" s="100"/>
      <c r="JO50" s="100"/>
      <c r="JP50" s="100"/>
      <c r="JQ50" s="100"/>
      <c r="JR50" s="100"/>
      <c r="JS50" s="100"/>
      <c r="JT50" s="100"/>
      <c r="JU50" s="100"/>
      <c r="JV50" s="100"/>
      <c r="JW50" s="100"/>
      <c r="JX50" s="100"/>
      <c r="JY50" s="100"/>
      <c r="JZ50" s="100"/>
      <c r="KA50" s="100"/>
      <c r="KB50" s="100"/>
      <c r="KC50" s="100"/>
      <c r="KD50" s="100"/>
      <c r="KE50" s="100"/>
      <c r="KF50" s="100"/>
      <c r="KG50" s="100"/>
      <c r="KH50" s="100"/>
      <c r="KI50" s="100"/>
      <c r="KJ50" s="100"/>
      <c r="KK50" s="100"/>
      <c r="KL50" s="100"/>
      <c r="KM50" s="100"/>
      <c r="KN50" s="100"/>
      <c r="KO50" s="100"/>
      <c r="KP50" s="100"/>
      <c r="KQ50" s="100"/>
      <c r="KR50" s="100"/>
      <c r="KS50" s="100"/>
      <c r="KT50" s="100"/>
      <c r="KU50" s="100"/>
      <c r="KV50" s="100"/>
      <c r="KW50" s="100"/>
      <c r="KX50" s="100"/>
      <c r="KY50" s="100"/>
      <c r="KZ50" s="100"/>
      <c r="LA50" s="100"/>
      <c r="LB50" s="100"/>
      <c r="LC50" s="100"/>
      <c r="LD50" s="100"/>
      <c r="LE50" s="100"/>
      <c r="LF50" s="100"/>
      <c r="LG50" s="100"/>
      <c r="LH50" s="100"/>
      <c r="LI50" s="100"/>
      <c r="LJ50" s="100"/>
      <c r="LK50" s="100"/>
      <c r="LL50" s="100"/>
      <c r="LM50" s="100"/>
      <c r="LN50" s="100"/>
      <c r="LO50" s="100"/>
      <c r="LP50" s="100"/>
      <c r="LQ50" s="100"/>
      <c r="LR50" s="100"/>
      <c r="LS50" s="100"/>
      <c r="LT50" s="100"/>
      <c r="LU50" s="100"/>
      <c r="LV50" s="100"/>
      <c r="LW50" s="100"/>
      <c r="LX50" s="100"/>
      <c r="LY50" s="100"/>
      <c r="LZ50" s="100"/>
      <c r="MA50" s="100"/>
      <c r="MB50" s="100"/>
      <c r="MC50" s="100"/>
      <c r="MD50" s="100"/>
      <c r="ME50" s="100"/>
      <c r="MF50" s="100"/>
      <c r="MG50" s="100"/>
      <c r="MH50" s="100"/>
      <c r="MI50" s="100"/>
      <c r="MJ50" s="100"/>
      <c r="MK50" s="100"/>
      <c r="ML50" s="100"/>
      <c r="MM50" s="100"/>
      <c r="MN50" s="100"/>
      <c r="MO50" s="100"/>
      <c r="MP50" s="100"/>
      <c r="MQ50" s="100"/>
      <c r="MR50" s="100"/>
      <c r="MS50" s="100"/>
      <c r="MT50" s="100"/>
      <c r="MU50" s="100"/>
      <c r="MV50" s="100"/>
      <c r="MW50" s="100"/>
      <c r="MX50" s="100"/>
      <c r="MY50" s="100"/>
      <c r="MZ50" s="100"/>
      <c r="NA50" s="100"/>
      <c r="NB50" s="100"/>
      <c r="NC50" s="100"/>
      <c r="ND50" s="100"/>
      <c r="NE50" s="100"/>
      <c r="NF50" s="100"/>
      <c r="NG50" s="100"/>
      <c r="NH50" s="100"/>
      <c r="NI50" s="100"/>
      <c r="NJ50" s="100"/>
      <c r="NK50" s="100"/>
      <c r="NL50" s="100"/>
      <c r="NM50" s="100"/>
      <c r="NN50" s="100"/>
      <c r="NO50" s="100"/>
      <c r="NP50" s="100"/>
      <c r="NQ50" s="100"/>
      <c r="NR50" s="100"/>
      <c r="NS50" s="100"/>
      <c r="NT50" s="100"/>
      <c r="NU50" s="100"/>
      <c r="NV50" s="100"/>
      <c r="NW50" s="100"/>
      <c r="NX50" s="100"/>
      <c r="NY50" s="100"/>
      <c r="NZ50" s="100"/>
      <c r="OA50" s="100"/>
      <c r="OB50" s="100"/>
      <c r="OC50" s="100"/>
      <c r="OD50" s="100"/>
      <c r="OE50" s="100"/>
      <c r="OF50" s="100"/>
      <c r="OG50" s="100"/>
      <c r="OH50" s="100"/>
      <c r="OI50" s="100"/>
      <c r="OJ50" s="100"/>
      <c r="OK50" s="100"/>
      <c r="OL50" s="100"/>
      <c r="OM50" s="100"/>
      <c r="ON50" s="100"/>
      <c r="OO50" s="100"/>
      <c r="OP50" s="100"/>
      <c r="OQ50" s="100"/>
      <c r="OR50" s="100"/>
      <c r="OS50" s="100"/>
      <c r="OT50" s="100"/>
      <c r="OU50" s="100"/>
      <c r="OV50" s="100"/>
      <c r="OW50" s="100"/>
      <c r="OX50" s="100"/>
      <c r="OY50" s="100"/>
      <c r="OZ50" s="100"/>
      <c r="PA50" s="100"/>
      <c r="PB50" s="100"/>
      <c r="PC50" s="100"/>
      <c r="PD50" s="100"/>
      <c r="PE50" s="100"/>
      <c r="PF50" s="100"/>
      <c r="PG50" s="100"/>
      <c r="PH50" s="100"/>
      <c r="PI50" s="100"/>
      <c r="PJ50" s="100"/>
      <c r="PK50" s="100"/>
      <c r="PL50" s="100"/>
      <c r="PM50" s="100"/>
      <c r="PN50" s="100"/>
      <c r="PO50" s="100"/>
      <c r="PP50" s="100"/>
      <c r="PQ50" s="100"/>
      <c r="PR50" s="100"/>
      <c r="PS50" s="100"/>
      <c r="PT50" s="100"/>
      <c r="PU50" s="100"/>
      <c r="PV50" s="100"/>
      <c r="PW50" s="100"/>
      <c r="PX50" s="100"/>
      <c r="PY50" s="100"/>
      <c r="PZ50" s="100"/>
      <c r="QA50" s="100"/>
      <c r="QB50" s="100"/>
      <c r="QC50" s="100"/>
      <c r="QD50" s="100"/>
      <c r="QE50" s="100"/>
      <c r="QF50" s="100"/>
      <c r="QG50" s="100"/>
      <c r="QH50" s="100"/>
      <c r="QI50" s="100"/>
      <c r="QJ50" s="100"/>
      <c r="QK50" s="100"/>
      <c r="QL50" s="100"/>
      <c r="QM50" s="100"/>
      <c r="QN50" s="100"/>
      <c r="QO50" s="100"/>
      <c r="QP50" s="100"/>
      <c r="QQ50" s="100"/>
      <c r="QR50" s="100"/>
      <c r="QS50" s="100"/>
      <c r="QT50" s="100"/>
      <c r="QU50" s="100"/>
      <c r="QV50" s="100"/>
      <c r="QW50" s="100"/>
      <c r="QX50" s="100"/>
      <c r="QY50" s="23">
        <f t="shared" si="3"/>
        <v>54</v>
      </c>
      <c r="QZ50" s="47" t="s">
        <v>36</v>
      </c>
      <c r="RA50" s="97">
        <v>6010.2</v>
      </c>
      <c r="RB50" s="63">
        <f>RE50+RF50</f>
        <v>6010.2</v>
      </c>
      <c r="RC50" s="63">
        <v>3233.25</v>
      </c>
      <c r="RD50" s="97">
        <f t="shared" si="4"/>
        <v>0</v>
      </c>
      <c r="RE50" s="107"/>
      <c r="RF50" s="107">
        <f>5110.2+900</f>
        <v>6010.2</v>
      </c>
      <c r="RG50" s="83">
        <f t="shared" si="5"/>
        <v>1.8588726513569938</v>
      </c>
      <c r="RH50" s="116" t="s">
        <v>549</v>
      </c>
    </row>
    <row r="51" spans="1:476" s="5" customFormat="1" ht="12.75" customHeight="1" x14ac:dyDescent="0.25">
      <c r="A51" s="48">
        <v>44957</v>
      </c>
      <c r="B51" s="81" t="s">
        <v>331</v>
      </c>
      <c r="C51" s="98"/>
      <c r="D51" s="98"/>
      <c r="E51" s="99">
        <v>20</v>
      </c>
      <c r="F51" s="99"/>
      <c r="G51" s="99"/>
      <c r="H51" s="99"/>
      <c r="I51" s="99"/>
      <c r="J51" s="99"/>
      <c r="K51" s="99"/>
      <c r="L51" s="99"/>
      <c r="M51" s="99"/>
      <c r="N51" s="100"/>
      <c r="O51" s="100"/>
      <c r="P51" s="100"/>
      <c r="Q51" s="100"/>
      <c r="R51" s="100"/>
      <c r="S51" s="100"/>
      <c r="T51" s="100">
        <v>24</v>
      </c>
      <c r="U51" s="100"/>
      <c r="V51" s="100"/>
      <c r="W51" s="100"/>
      <c r="X51" s="100"/>
      <c r="Y51" s="100"/>
      <c r="Z51" s="100"/>
      <c r="AA51" s="100"/>
      <c r="AB51" s="100"/>
      <c r="AC51" s="100"/>
      <c r="AD51" s="100">
        <v>3.6</v>
      </c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>
        <v>2.7</v>
      </c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>
        <v>20</v>
      </c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  <c r="IX51" s="100"/>
      <c r="IY51" s="100"/>
      <c r="IZ51" s="100"/>
      <c r="JA51" s="100"/>
      <c r="JB51" s="100"/>
      <c r="JC51" s="100"/>
      <c r="JD51" s="100"/>
      <c r="JE51" s="100"/>
      <c r="JF51" s="100"/>
      <c r="JG51" s="100"/>
      <c r="JH51" s="100"/>
      <c r="JI51" s="100"/>
      <c r="JJ51" s="100"/>
      <c r="JK51" s="100"/>
      <c r="JL51" s="100"/>
      <c r="JM51" s="100"/>
      <c r="JN51" s="100"/>
      <c r="JO51" s="100"/>
      <c r="JP51" s="100"/>
      <c r="JQ51" s="100"/>
      <c r="JR51" s="100"/>
      <c r="JS51" s="100"/>
      <c r="JT51" s="100"/>
      <c r="JU51" s="100"/>
      <c r="JV51" s="100"/>
      <c r="JW51" s="100"/>
      <c r="JX51" s="100"/>
      <c r="JY51" s="100"/>
      <c r="JZ51" s="100"/>
      <c r="KA51" s="100"/>
      <c r="KB51" s="100"/>
      <c r="KC51" s="100"/>
      <c r="KD51" s="100"/>
      <c r="KE51" s="100"/>
      <c r="KF51" s="100"/>
      <c r="KG51" s="100"/>
      <c r="KH51" s="100"/>
      <c r="KI51" s="100"/>
      <c r="KJ51" s="100"/>
      <c r="KK51" s="100"/>
      <c r="KL51" s="100"/>
      <c r="KM51" s="100"/>
      <c r="KN51" s="100"/>
      <c r="KO51" s="100"/>
      <c r="KP51" s="100"/>
      <c r="KQ51" s="100"/>
      <c r="KR51" s="100"/>
      <c r="KS51" s="100"/>
      <c r="KT51" s="100"/>
      <c r="KU51" s="100"/>
      <c r="KV51" s="100"/>
      <c r="KW51" s="100"/>
      <c r="KX51" s="100"/>
      <c r="KY51" s="100">
        <v>25</v>
      </c>
      <c r="KZ51" s="100">
        <v>43</v>
      </c>
      <c r="LA51" s="100"/>
      <c r="LB51" s="100"/>
      <c r="LC51" s="100"/>
      <c r="LD51" s="100"/>
      <c r="LE51" s="100"/>
      <c r="LF51" s="100"/>
      <c r="LG51" s="100"/>
      <c r="LH51" s="100"/>
      <c r="LI51" s="100"/>
      <c r="LJ51" s="100"/>
      <c r="LK51" s="100"/>
      <c r="LL51" s="100"/>
      <c r="LM51" s="100"/>
      <c r="LN51" s="100"/>
      <c r="LO51" s="100"/>
      <c r="LP51" s="100"/>
      <c r="LQ51" s="100"/>
      <c r="LR51" s="100"/>
      <c r="LS51" s="100"/>
      <c r="LT51" s="100"/>
      <c r="LU51" s="100"/>
      <c r="LV51" s="100"/>
      <c r="LW51" s="100"/>
      <c r="LX51" s="100"/>
      <c r="LY51" s="100"/>
      <c r="LZ51" s="100"/>
      <c r="MA51" s="100"/>
      <c r="MB51" s="100"/>
      <c r="MC51" s="100"/>
      <c r="MD51" s="100"/>
      <c r="ME51" s="100"/>
      <c r="MF51" s="100"/>
      <c r="MG51" s="100"/>
      <c r="MH51" s="100"/>
      <c r="MI51" s="100"/>
      <c r="MJ51" s="100"/>
      <c r="MK51" s="100"/>
      <c r="ML51" s="100"/>
      <c r="MM51" s="100"/>
      <c r="MN51" s="100"/>
      <c r="MO51" s="100"/>
      <c r="MP51" s="100"/>
      <c r="MQ51" s="100"/>
      <c r="MR51" s="100"/>
      <c r="MS51" s="100"/>
      <c r="MT51" s="100"/>
      <c r="MU51" s="100"/>
      <c r="MV51" s="100"/>
      <c r="MW51" s="100"/>
      <c r="MX51" s="100"/>
      <c r="MY51" s="100"/>
      <c r="MZ51" s="100"/>
      <c r="NA51" s="100"/>
      <c r="NB51" s="100"/>
      <c r="NC51" s="100"/>
      <c r="ND51" s="100"/>
      <c r="NE51" s="100"/>
      <c r="NF51" s="100"/>
      <c r="NG51" s="100"/>
      <c r="NH51" s="100"/>
      <c r="NI51" s="100"/>
      <c r="NJ51" s="100"/>
      <c r="NK51" s="100"/>
      <c r="NL51" s="100"/>
      <c r="NM51" s="100"/>
      <c r="NN51" s="100"/>
      <c r="NO51" s="100"/>
      <c r="NP51" s="100"/>
      <c r="NQ51" s="100"/>
      <c r="NR51" s="100"/>
      <c r="NS51" s="100"/>
      <c r="NT51" s="100"/>
      <c r="NU51" s="100"/>
      <c r="NV51" s="100"/>
      <c r="NW51" s="100"/>
      <c r="NX51" s="100"/>
      <c r="NY51" s="100"/>
      <c r="NZ51" s="100"/>
      <c r="OA51" s="100"/>
      <c r="OB51" s="100"/>
      <c r="OC51" s="100"/>
      <c r="OD51" s="100"/>
      <c r="OE51" s="100"/>
      <c r="OF51" s="100"/>
      <c r="OG51" s="100"/>
      <c r="OH51" s="100"/>
      <c r="OI51" s="100"/>
      <c r="OJ51" s="100"/>
      <c r="OK51" s="100"/>
      <c r="OL51" s="100"/>
      <c r="OM51" s="100"/>
      <c r="ON51" s="100"/>
      <c r="OO51" s="100"/>
      <c r="OP51" s="100"/>
      <c r="OQ51" s="100"/>
      <c r="OR51" s="100"/>
      <c r="OS51" s="100"/>
      <c r="OT51" s="100"/>
      <c r="OU51" s="100"/>
      <c r="OV51" s="100"/>
      <c r="OW51" s="100"/>
      <c r="OX51" s="100"/>
      <c r="OY51" s="100"/>
      <c r="OZ51" s="100"/>
      <c r="PA51" s="100"/>
      <c r="PB51" s="100"/>
      <c r="PC51" s="100"/>
      <c r="PD51" s="100"/>
      <c r="PE51" s="100"/>
      <c r="PF51" s="100">
        <v>25</v>
      </c>
      <c r="PG51" s="100"/>
      <c r="PH51" s="100"/>
      <c r="PI51" s="100"/>
      <c r="PJ51" s="100"/>
      <c r="PK51" s="100"/>
      <c r="PL51" s="100"/>
      <c r="PM51" s="100"/>
      <c r="PN51" s="100"/>
      <c r="PO51" s="100"/>
      <c r="PP51" s="100"/>
      <c r="PQ51" s="100"/>
      <c r="PR51" s="100"/>
      <c r="PS51" s="100"/>
      <c r="PT51" s="100"/>
      <c r="PU51" s="100"/>
      <c r="PV51" s="100"/>
      <c r="PW51" s="100"/>
      <c r="PX51" s="100"/>
      <c r="PY51" s="100"/>
      <c r="PZ51" s="100"/>
      <c r="QA51" s="100"/>
      <c r="QB51" s="100"/>
      <c r="QC51" s="100"/>
      <c r="QD51" s="100"/>
      <c r="QE51" s="100"/>
      <c r="QF51" s="100"/>
      <c r="QG51" s="100"/>
      <c r="QH51" s="100"/>
      <c r="QI51" s="100"/>
      <c r="QJ51" s="100"/>
      <c r="QK51" s="100"/>
      <c r="QL51" s="100"/>
      <c r="QM51" s="100"/>
      <c r="QN51" s="100"/>
      <c r="QO51" s="100"/>
      <c r="QP51" s="100"/>
      <c r="QQ51" s="100"/>
      <c r="QR51" s="100"/>
      <c r="QS51" s="100"/>
      <c r="QT51" s="100"/>
      <c r="QU51" s="100"/>
      <c r="QV51" s="100"/>
      <c r="QW51" s="100"/>
      <c r="QX51" s="100"/>
      <c r="QY51" s="23">
        <f t="shared" si="3"/>
        <v>163.30000000000001</v>
      </c>
      <c r="QZ51" s="47" t="s">
        <v>36</v>
      </c>
      <c r="RA51" s="97">
        <v>9370.2900000000009</v>
      </c>
      <c r="RB51" s="63">
        <f>RE51+RF51</f>
        <v>1670.29</v>
      </c>
      <c r="RC51" s="63">
        <v>5750.9490000000005</v>
      </c>
      <c r="RD51" s="97">
        <f t="shared" si="4"/>
        <v>7700.0000000000009</v>
      </c>
      <c r="RE51" s="107"/>
      <c r="RF51" s="107">
        <v>1670.29</v>
      </c>
      <c r="RG51" s="83">
        <f t="shared" si="5"/>
        <v>1.6293467391207956</v>
      </c>
      <c r="RH51" s="116"/>
    </row>
    <row r="52" spans="1:476" s="30" customFormat="1" ht="12" customHeight="1" x14ac:dyDescent="0.25">
      <c r="A52" s="40" t="s">
        <v>134</v>
      </c>
      <c r="B52" s="27"/>
      <c r="C52" s="101" t="e">
        <f>SUBTOTAL(9,#REF!)</f>
        <v>#REF!</v>
      </c>
      <c r="D52" s="101" t="e">
        <f>SUBTOTAL(9,#REF!)</f>
        <v>#REF!</v>
      </c>
      <c r="E52" s="101" t="e">
        <f>SUBTOTAL(9,#REF!)</f>
        <v>#REF!</v>
      </c>
      <c r="F52" s="101" t="e">
        <f>SUBTOTAL(9,#REF!)</f>
        <v>#REF!</v>
      </c>
      <c r="G52" s="101" t="e">
        <f>SUBTOTAL(9,#REF!)</f>
        <v>#REF!</v>
      </c>
      <c r="H52" s="101" t="e">
        <f>SUBTOTAL(9,#REF!)</f>
        <v>#REF!</v>
      </c>
      <c r="I52" s="101" t="e">
        <f>SUBTOTAL(9,#REF!)</f>
        <v>#REF!</v>
      </c>
      <c r="J52" s="101" t="e">
        <f>SUBTOTAL(9,#REF!)</f>
        <v>#REF!</v>
      </c>
      <c r="K52" s="101" t="e">
        <f>SUBTOTAL(9,#REF!)</f>
        <v>#REF!</v>
      </c>
      <c r="L52" s="101" t="e">
        <f>SUBTOTAL(9,#REF!)</f>
        <v>#REF!</v>
      </c>
      <c r="M52" s="101" t="e">
        <f>SUBTOTAL(9,#REF!)</f>
        <v>#REF!</v>
      </c>
      <c r="N52" s="101" t="e">
        <f>SUBTOTAL(9,#REF!)</f>
        <v>#REF!</v>
      </c>
      <c r="O52" s="101" t="e">
        <f>SUBTOTAL(9,#REF!)</f>
        <v>#REF!</v>
      </c>
      <c r="P52" s="101" t="e">
        <f>SUBTOTAL(9,#REF!)</f>
        <v>#REF!</v>
      </c>
      <c r="Q52" s="101" t="e">
        <f>SUBTOTAL(9,#REF!)</f>
        <v>#REF!</v>
      </c>
      <c r="R52" s="101" t="e">
        <f>SUBTOTAL(9,#REF!)</f>
        <v>#REF!</v>
      </c>
      <c r="S52" s="101" t="e">
        <f>SUBTOTAL(9,#REF!)</f>
        <v>#REF!</v>
      </c>
      <c r="T52" s="101" t="e">
        <f>SUBTOTAL(9,#REF!)</f>
        <v>#REF!</v>
      </c>
      <c r="U52" s="101" t="e">
        <f>SUBTOTAL(9,#REF!)</f>
        <v>#REF!</v>
      </c>
      <c r="V52" s="101" t="e">
        <f>SUBTOTAL(9,#REF!)</f>
        <v>#REF!</v>
      </c>
      <c r="W52" s="101" t="e">
        <f>SUBTOTAL(9,#REF!)</f>
        <v>#REF!</v>
      </c>
      <c r="X52" s="101" t="e">
        <f>SUBTOTAL(9,#REF!)</f>
        <v>#REF!</v>
      </c>
      <c r="Y52" s="101" t="e">
        <f>SUBTOTAL(9,#REF!)</f>
        <v>#REF!</v>
      </c>
      <c r="Z52" s="101" t="e">
        <f>SUBTOTAL(9,#REF!)</f>
        <v>#REF!</v>
      </c>
      <c r="AA52" s="101" t="e">
        <f>SUBTOTAL(9,#REF!)</f>
        <v>#REF!</v>
      </c>
      <c r="AB52" s="101" t="e">
        <f>SUBTOTAL(9,#REF!)</f>
        <v>#REF!</v>
      </c>
      <c r="AC52" s="101" t="e">
        <f>SUBTOTAL(9,#REF!)</f>
        <v>#REF!</v>
      </c>
      <c r="AD52" s="101" t="e">
        <f>SUBTOTAL(9,#REF!)</f>
        <v>#REF!</v>
      </c>
      <c r="AE52" s="101" t="e">
        <f>SUBTOTAL(9,#REF!)</f>
        <v>#REF!</v>
      </c>
      <c r="AF52" s="101" t="e">
        <f>SUBTOTAL(9,#REF!)</f>
        <v>#REF!</v>
      </c>
      <c r="AG52" s="101" t="e">
        <f>SUBTOTAL(9,#REF!)</f>
        <v>#REF!</v>
      </c>
      <c r="AH52" s="101" t="e">
        <f>SUBTOTAL(9,#REF!)</f>
        <v>#REF!</v>
      </c>
      <c r="AI52" s="101" t="e">
        <f>SUBTOTAL(9,#REF!)</f>
        <v>#REF!</v>
      </c>
      <c r="AJ52" s="101" t="e">
        <f>SUBTOTAL(9,#REF!)</f>
        <v>#REF!</v>
      </c>
      <c r="AK52" s="101" t="e">
        <f>SUBTOTAL(9,#REF!)</f>
        <v>#REF!</v>
      </c>
      <c r="AL52" s="101" t="e">
        <f>SUBTOTAL(9,#REF!)</f>
        <v>#REF!</v>
      </c>
      <c r="AM52" s="101" t="e">
        <f>SUBTOTAL(9,#REF!)</f>
        <v>#REF!</v>
      </c>
      <c r="AN52" s="101" t="e">
        <f>SUBTOTAL(9,#REF!)</f>
        <v>#REF!</v>
      </c>
      <c r="AO52" s="101" t="e">
        <f>SUBTOTAL(9,#REF!)</f>
        <v>#REF!</v>
      </c>
      <c r="AP52" s="101" t="e">
        <f>SUBTOTAL(9,#REF!)</f>
        <v>#REF!</v>
      </c>
      <c r="AQ52" s="101" t="e">
        <f>SUBTOTAL(9,#REF!)</f>
        <v>#REF!</v>
      </c>
      <c r="AR52" s="101" t="e">
        <f>SUBTOTAL(9,#REF!)</f>
        <v>#REF!</v>
      </c>
      <c r="AS52" s="101" t="e">
        <f>SUBTOTAL(9,#REF!)</f>
        <v>#REF!</v>
      </c>
      <c r="AT52" s="101" t="e">
        <f>SUBTOTAL(9,#REF!)</f>
        <v>#REF!</v>
      </c>
      <c r="AU52" s="101" t="e">
        <f>SUBTOTAL(9,#REF!)</f>
        <v>#REF!</v>
      </c>
      <c r="AV52" s="101" t="e">
        <f>SUBTOTAL(9,#REF!)</f>
        <v>#REF!</v>
      </c>
      <c r="AW52" s="101" t="e">
        <f>SUBTOTAL(9,#REF!)</f>
        <v>#REF!</v>
      </c>
      <c r="AX52" s="101" t="e">
        <f>SUBTOTAL(9,#REF!)</f>
        <v>#REF!</v>
      </c>
      <c r="AY52" s="101" t="e">
        <f>SUBTOTAL(9,#REF!)</f>
        <v>#REF!</v>
      </c>
      <c r="AZ52" s="101" t="e">
        <f>SUBTOTAL(9,#REF!)</f>
        <v>#REF!</v>
      </c>
      <c r="BA52" s="101" t="e">
        <f>SUBTOTAL(9,#REF!)</f>
        <v>#REF!</v>
      </c>
      <c r="BB52" s="101" t="e">
        <f>SUBTOTAL(9,#REF!)</f>
        <v>#REF!</v>
      </c>
      <c r="BC52" s="101" t="e">
        <f>SUBTOTAL(9,#REF!)</f>
        <v>#REF!</v>
      </c>
      <c r="BD52" s="101" t="e">
        <f>SUBTOTAL(9,#REF!)</f>
        <v>#REF!</v>
      </c>
      <c r="BE52" s="101" t="e">
        <f>SUBTOTAL(9,#REF!)</f>
        <v>#REF!</v>
      </c>
      <c r="BF52" s="101" t="e">
        <f>SUBTOTAL(9,#REF!)</f>
        <v>#REF!</v>
      </c>
      <c r="BG52" s="101" t="e">
        <f>SUBTOTAL(9,#REF!)</f>
        <v>#REF!</v>
      </c>
      <c r="BH52" s="101" t="e">
        <f>SUBTOTAL(9,#REF!)</f>
        <v>#REF!</v>
      </c>
      <c r="BI52" s="101" t="e">
        <f>SUBTOTAL(9,#REF!)</f>
        <v>#REF!</v>
      </c>
      <c r="BJ52" s="101" t="e">
        <f>SUBTOTAL(9,#REF!)</f>
        <v>#REF!</v>
      </c>
      <c r="BK52" s="101" t="e">
        <f>SUBTOTAL(9,#REF!)</f>
        <v>#REF!</v>
      </c>
      <c r="BL52" s="101" t="e">
        <f>SUBTOTAL(9,#REF!)</f>
        <v>#REF!</v>
      </c>
      <c r="BM52" s="101" t="e">
        <f>SUBTOTAL(9,#REF!)</f>
        <v>#REF!</v>
      </c>
      <c r="BN52" s="101" t="e">
        <f>SUBTOTAL(9,#REF!)</f>
        <v>#REF!</v>
      </c>
      <c r="BO52" s="101" t="e">
        <f>SUBTOTAL(9,#REF!)</f>
        <v>#REF!</v>
      </c>
      <c r="BP52" s="101" t="e">
        <f>SUBTOTAL(9,#REF!)</f>
        <v>#REF!</v>
      </c>
      <c r="BQ52" s="101" t="e">
        <f>SUBTOTAL(9,#REF!)</f>
        <v>#REF!</v>
      </c>
      <c r="BR52" s="101" t="e">
        <f>SUBTOTAL(9,#REF!)</f>
        <v>#REF!</v>
      </c>
      <c r="BS52" s="101" t="e">
        <f>SUBTOTAL(9,#REF!)</f>
        <v>#REF!</v>
      </c>
      <c r="BT52" s="101" t="e">
        <f>SUBTOTAL(9,#REF!)</f>
        <v>#REF!</v>
      </c>
      <c r="BU52" s="101" t="e">
        <f>SUBTOTAL(9,#REF!)</f>
        <v>#REF!</v>
      </c>
      <c r="BV52" s="101" t="e">
        <f>SUBTOTAL(9,#REF!)</f>
        <v>#REF!</v>
      </c>
      <c r="BW52" s="101" t="e">
        <f>SUBTOTAL(9,#REF!)</f>
        <v>#REF!</v>
      </c>
      <c r="BX52" s="101" t="e">
        <f>SUBTOTAL(9,#REF!)</f>
        <v>#REF!</v>
      </c>
      <c r="BY52" s="101" t="e">
        <f>SUBTOTAL(9,#REF!)</f>
        <v>#REF!</v>
      </c>
      <c r="BZ52" s="101" t="e">
        <f>SUBTOTAL(9,#REF!)</f>
        <v>#REF!</v>
      </c>
      <c r="CA52" s="101" t="e">
        <f>SUBTOTAL(9,#REF!)</f>
        <v>#REF!</v>
      </c>
      <c r="CB52" s="101" t="e">
        <f>SUBTOTAL(9,#REF!)</f>
        <v>#REF!</v>
      </c>
      <c r="CC52" s="101" t="e">
        <f>SUBTOTAL(9,#REF!)</f>
        <v>#REF!</v>
      </c>
      <c r="CD52" s="101" t="e">
        <f>SUBTOTAL(9,#REF!)</f>
        <v>#REF!</v>
      </c>
      <c r="CE52" s="101" t="e">
        <f>SUBTOTAL(9,#REF!)</f>
        <v>#REF!</v>
      </c>
      <c r="CF52" s="101" t="e">
        <f>SUBTOTAL(9,#REF!)</f>
        <v>#REF!</v>
      </c>
      <c r="CG52" s="101" t="e">
        <f>SUBTOTAL(9,#REF!)</f>
        <v>#REF!</v>
      </c>
      <c r="CH52" s="101" t="e">
        <f>SUBTOTAL(9,#REF!)</f>
        <v>#REF!</v>
      </c>
      <c r="CI52" s="101" t="e">
        <f>SUBTOTAL(9,#REF!)</f>
        <v>#REF!</v>
      </c>
      <c r="CJ52" s="101" t="e">
        <f>SUBTOTAL(9,#REF!)</f>
        <v>#REF!</v>
      </c>
      <c r="CK52" s="101" t="e">
        <f>SUBTOTAL(9,#REF!)</f>
        <v>#REF!</v>
      </c>
      <c r="CL52" s="101" t="e">
        <f>SUBTOTAL(9,#REF!)</f>
        <v>#REF!</v>
      </c>
      <c r="CM52" s="101" t="e">
        <f>SUBTOTAL(9,#REF!)</f>
        <v>#REF!</v>
      </c>
      <c r="CN52" s="101" t="e">
        <f>SUBTOTAL(9,#REF!)</f>
        <v>#REF!</v>
      </c>
      <c r="CO52" s="101" t="e">
        <f>SUBTOTAL(9,#REF!)</f>
        <v>#REF!</v>
      </c>
      <c r="CP52" s="101" t="e">
        <f>SUBTOTAL(9,#REF!)</f>
        <v>#REF!</v>
      </c>
      <c r="CQ52" s="101" t="e">
        <f>SUBTOTAL(9,#REF!)</f>
        <v>#REF!</v>
      </c>
      <c r="CR52" s="101" t="e">
        <f>SUBTOTAL(9,#REF!)</f>
        <v>#REF!</v>
      </c>
      <c r="CS52" s="101" t="e">
        <f>SUBTOTAL(9,#REF!)</f>
        <v>#REF!</v>
      </c>
      <c r="CT52" s="101" t="e">
        <f>SUBTOTAL(9,#REF!)</f>
        <v>#REF!</v>
      </c>
      <c r="CU52" s="101" t="e">
        <f>SUBTOTAL(9,#REF!)</f>
        <v>#REF!</v>
      </c>
      <c r="CV52" s="101" t="e">
        <f>SUBTOTAL(9,#REF!)</f>
        <v>#REF!</v>
      </c>
      <c r="CW52" s="101" t="e">
        <f>SUBTOTAL(9,#REF!)</f>
        <v>#REF!</v>
      </c>
      <c r="CX52" s="101" t="e">
        <f>SUBTOTAL(9,#REF!)</f>
        <v>#REF!</v>
      </c>
      <c r="CY52" s="101" t="e">
        <f>SUBTOTAL(9,#REF!)</f>
        <v>#REF!</v>
      </c>
      <c r="CZ52" s="101" t="e">
        <f>SUBTOTAL(9,#REF!)</f>
        <v>#REF!</v>
      </c>
      <c r="DA52" s="101" t="e">
        <f>SUBTOTAL(9,#REF!)</f>
        <v>#REF!</v>
      </c>
      <c r="DB52" s="101" t="e">
        <f>SUBTOTAL(9,#REF!)</f>
        <v>#REF!</v>
      </c>
      <c r="DC52" s="101" t="e">
        <f>SUBTOTAL(9,#REF!)</f>
        <v>#REF!</v>
      </c>
      <c r="DD52" s="101" t="e">
        <f>SUBTOTAL(9,#REF!)</f>
        <v>#REF!</v>
      </c>
      <c r="DE52" s="101" t="e">
        <f>SUBTOTAL(9,#REF!)</f>
        <v>#REF!</v>
      </c>
      <c r="DF52" s="101" t="e">
        <f>SUBTOTAL(9,#REF!)</f>
        <v>#REF!</v>
      </c>
      <c r="DG52" s="101" t="e">
        <f>SUBTOTAL(9,#REF!)</f>
        <v>#REF!</v>
      </c>
      <c r="DH52" s="101" t="e">
        <f>SUBTOTAL(9,#REF!)</f>
        <v>#REF!</v>
      </c>
      <c r="DI52" s="101" t="e">
        <f>SUBTOTAL(9,#REF!)</f>
        <v>#REF!</v>
      </c>
      <c r="DJ52" s="101" t="e">
        <f>SUBTOTAL(9,#REF!)</f>
        <v>#REF!</v>
      </c>
      <c r="DK52" s="101" t="e">
        <f>SUBTOTAL(9,#REF!)</f>
        <v>#REF!</v>
      </c>
      <c r="DL52" s="101" t="e">
        <f>SUBTOTAL(9,#REF!)</f>
        <v>#REF!</v>
      </c>
      <c r="DM52" s="101" t="e">
        <f>SUBTOTAL(9,#REF!)</f>
        <v>#REF!</v>
      </c>
      <c r="DN52" s="101" t="e">
        <f>SUBTOTAL(9,#REF!)</f>
        <v>#REF!</v>
      </c>
      <c r="DO52" s="101" t="e">
        <f>SUBTOTAL(9,#REF!)</f>
        <v>#REF!</v>
      </c>
      <c r="DP52" s="101" t="e">
        <f>SUBTOTAL(9,#REF!)</f>
        <v>#REF!</v>
      </c>
      <c r="DQ52" s="101" t="e">
        <f>SUBTOTAL(9,#REF!)</f>
        <v>#REF!</v>
      </c>
      <c r="DR52" s="101" t="e">
        <f>SUBTOTAL(9,#REF!)</f>
        <v>#REF!</v>
      </c>
      <c r="DS52" s="101" t="e">
        <f>SUBTOTAL(9,#REF!)</f>
        <v>#REF!</v>
      </c>
      <c r="DT52" s="101" t="e">
        <f>SUBTOTAL(9,#REF!)</f>
        <v>#REF!</v>
      </c>
      <c r="DU52" s="101" t="e">
        <f>SUBTOTAL(9,#REF!)</f>
        <v>#REF!</v>
      </c>
      <c r="DV52" s="101" t="e">
        <f>SUBTOTAL(9,#REF!)</f>
        <v>#REF!</v>
      </c>
      <c r="DW52" s="101" t="e">
        <f>SUBTOTAL(9,#REF!)</f>
        <v>#REF!</v>
      </c>
      <c r="DX52" s="101" t="e">
        <f>SUBTOTAL(9,#REF!)</f>
        <v>#REF!</v>
      </c>
      <c r="DY52" s="101" t="e">
        <f>SUBTOTAL(9,#REF!)</f>
        <v>#REF!</v>
      </c>
      <c r="DZ52" s="101" t="e">
        <f>SUBTOTAL(9,#REF!)</f>
        <v>#REF!</v>
      </c>
      <c r="EA52" s="101" t="e">
        <f>SUBTOTAL(9,#REF!)</f>
        <v>#REF!</v>
      </c>
      <c r="EB52" s="101" t="e">
        <f>SUBTOTAL(9,#REF!)</f>
        <v>#REF!</v>
      </c>
      <c r="EC52" s="101" t="e">
        <f>SUBTOTAL(9,#REF!)</f>
        <v>#REF!</v>
      </c>
      <c r="ED52" s="101" t="e">
        <f>SUBTOTAL(9,#REF!)</f>
        <v>#REF!</v>
      </c>
      <c r="EE52" s="101" t="e">
        <f>SUBTOTAL(9,#REF!)</f>
        <v>#REF!</v>
      </c>
      <c r="EF52" s="101" t="e">
        <f>SUBTOTAL(9,#REF!)</f>
        <v>#REF!</v>
      </c>
      <c r="EG52" s="101" t="e">
        <f>SUBTOTAL(9,#REF!)</f>
        <v>#REF!</v>
      </c>
      <c r="EH52" s="101" t="e">
        <f>SUBTOTAL(9,#REF!)</f>
        <v>#REF!</v>
      </c>
      <c r="EI52" s="101" t="e">
        <f>SUBTOTAL(9,#REF!)</f>
        <v>#REF!</v>
      </c>
      <c r="EJ52" s="101" t="e">
        <f>SUBTOTAL(9,#REF!)</f>
        <v>#REF!</v>
      </c>
      <c r="EK52" s="101" t="e">
        <f>SUBTOTAL(9,#REF!)</f>
        <v>#REF!</v>
      </c>
      <c r="EL52" s="101" t="e">
        <f>SUBTOTAL(9,#REF!)</f>
        <v>#REF!</v>
      </c>
      <c r="EM52" s="101" t="e">
        <f>SUBTOTAL(9,#REF!)</f>
        <v>#REF!</v>
      </c>
      <c r="EN52" s="101" t="e">
        <f>SUBTOTAL(9,#REF!)</f>
        <v>#REF!</v>
      </c>
      <c r="EO52" s="101" t="e">
        <f>SUBTOTAL(9,#REF!)</f>
        <v>#REF!</v>
      </c>
      <c r="EP52" s="101" t="e">
        <f>SUBTOTAL(9,#REF!)</f>
        <v>#REF!</v>
      </c>
      <c r="EQ52" s="101" t="e">
        <f>SUBTOTAL(9,#REF!)</f>
        <v>#REF!</v>
      </c>
      <c r="ER52" s="101" t="e">
        <f>SUBTOTAL(9,#REF!)</f>
        <v>#REF!</v>
      </c>
      <c r="ES52" s="101" t="e">
        <f>SUBTOTAL(9,#REF!)</f>
        <v>#REF!</v>
      </c>
      <c r="ET52" s="101" t="e">
        <f>SUBTOTAL(9,#REF!)</f>
        <v>#REF!</v>
      </c>
      <c r="EU52" s="101" t="e">
        <f>SUBTOTAL(9,#REF!)</f>
        <v>#REF!</v>
      </c>
      <c r="EV52" s="101" t="e">
        <f>SUBTOTAL(9,#REF!)</f>
        <v>#REF!</v>
      </c>
      <c r="EW52" s="101" t="e">
        <f>SUBTOTAL(9,#REF!)</f>
        <v>#REF!</v>
      </c>
      <c r="EX52" s="101" t="e">
        <f>SUBTOTAL(9,#REF!)</f>
        <v>#REF!</v>
      </c>
      <c r="EY52" s="101" t="e">
        <f>SUBTOTAL(9,#REF!)</f>
        <v>#REF!</v>
      </c>
      <c r="EZ52" s="101" t="e">
        <f>SUBTOTAL(9,#REF!)</f>
        <v>#REF!</v>
      </c>
      <c r="FA52" s="101" t="e">
        <f>SUBTOTAL(9,#REF!)</f>
        <v>#REF!</v>
      </c>
      <c r="FB52" s="101" t="e">
        <f>SUBTOTAL(9,#REF!)</f>
        <v>#REF!</v>
      </c>
      <c r="FC52" s="101" t="e">
        <f>SUBTOTAL(9,#REF!)</f>
        <v>#REF!</v>
      </c>
      <c r="FD52" s="101" t="e">
        <f>SUBTOTAL(9,#REF!)</f>
        <v>#REF!</v>
      </c>
      <c r="FE52" s="101" t="e">
        <f>SUBTOTAL(9,#REF!)</f>
        <v>#REF!</v>
      </c>
      <c r="FF52" s="101" t="e">
        <f>SUBTOTAL(9,#REF!)</f>
        <v>#REF!</v>
      </c>
      <c r="FG52" s="101" t="e">
        <f>SUBTOTAL(9,#REF!)</f>
        <v>#REF!</v>
      </c>
      <c r="FH52" s="101" t="e">
        <f>SUBTOTAL(9,#REF!)</f>
        <v>#REF!</v>
      </c>
      <c r="FI52" s="101" t="e">
        <f>SUBTOTAL(9,#REF!)</f>
        <v>#REF!</v>
      </c>
      <c r="FJ52" s="101" t="e">
        <f>SUBTOTAL(9,#REF!)</f>
        <v>#REF!</v>
      </c>
      <c r="FK52" s="101" t="e">
        <f>SUBTOTAL(9,#REF!)</f>
        <v>#REF!</v>
      </c>
      <c r="FL52" s="101" t="e">
        <f>SUBTOTAL(9,#REF!)</f>
        <v>#REF!</v>
      </c>
      <c r="FM52" s="101" t="e">
        <f>SUBTOTAL(9,#REF!)</f>
        <v>#REF!</v>
      </c>
      <c r="FN52" s="101" t="e">
        <f>SUBTOTAL(9,#REF!)</f>
        <v>#REF!</v>
      </c>
      <c r="FO52" s="101" t="e">
        <f>SUBTOTAL(9,#REF!)</f>
        <v>#REF!</v>
      </c>
      <c r="FP52" s="101" t="e">
        <f>SUBTOTAL(9,#REF!)</f>
        <v>#REF!</v>
      </c>
      <c r="FQ52" s="101" t="e">
        <f>SUBTOTAL(9,#REF!)</f>
        <v>#REF!</v>
      </c>
      <c r="FR52" s="101" t="e">
        <f>SUBTOTAL(9,#REF!)</f>
        <v>#REF!</v>
      </c>
      <c r="FS52" s="101" t="e">
        <f>SUBTOTAL(9,#REF!)</f>
        <v>#REF!</v>
      </c>
      <c r="FT52" s="101" t="e">
        <f>SUBTOTAL(9,#REF!)</f>
        <v>#REF!</v>
      </c>
      <c r="FU52" s="101" t="e">
        <f>SUBTOTAL(9,#REF!)</f>
        <v>#REF!</v>
      </c>
      <c r="FV52" s="101" t="e">
        <f>SUBTOTAL(9,#REF!)</f>
        <v>#REF!</v>
      </c>
      <c r="FW52" s="101" t="e">
        <f>SUBTOTAL(9,#REF!)</f>
        <v>#REF!</v>
      </c>
      <c r="FX52" s="101" t="e">
        <f>SUBTOTAL(9,#REF!)</f>
        <v>#REF!</v>
      </c>
      <c r="FY52" s="101" t="e">
        <f>SUBTOTAL(9,#REF!)</f>
        <v>#REF!</v>
      </c>
      <c r="FZ52" s="101" t="e">
        <f>SUBTOTAL(9,#REF!)</f>
        <v>#REF!</v>
      </c>
      <c r="GA52" s="101" t="e">
        <f>SUBTOTAL(9,#REF!)</f>
        <v>#REF!</v>
      </c>
      <c r="GB52" s="101" t="e">
        <f>SUBTOTAL(9,#REF!)</f>
        <v>#REF!</v>
      </c>
      <c r="GC52" s="101" t="e">
        <f>SUBTOTAL(9,#REF!)</f>
        <v>#REF!</v>
      </c>
      <c r="GD52" s="101" t="e">
        <f>SUBTOTAL(9,#REF!)</f>
        <v>#REF!</v>
      </c>
      <c r="GE52" s="101" t="e">
        <f>SUBTOTAL(9,#REF!)</f>
        <v>#REF!</v>
      </c>
      <c r="GF52" s="101" t="e">
        <f>SUBTOTAL(9,#REF!)</f>
        <v>#REF!</v>
      </c>
      <c r="GG52" s="101" t="e">
        <f>SUBTOTAL(9,#REF!)</f>
        <v>#REF!</v>
      </c>
      <c r="GH52" s="101" t="e">
        <f>SUBTOTAL(9,#REF!)</f>
        <v>#REF!</v>
      </c>
      <c r="GI52" s="101" t="e">
        <f>SUBTOTAL(9,#REF!)</f>
        <v>#REF!</v>
      </c>
      <c r="GJ52" s="101" t="e">
        <f>SUBTOTAL(9,#REF!)</f>
        <v>#REF!</v>
      </c>
      <c r="GK52" s="101" t="e">
        <f>SUBTOTAL(9,#REF!)</f>
        <v>#REF!</v>
      </c>
      <c r="GL52" s="101" t="e">
        <f>SUBTOTAL(9,#REF!)</f>
        <v>#REF!</v>
      </c>
      <c r="GM52" s="101" t="e">
        <f>SUBTOTAL(9,#REF!)</f>
        <v>#REF!</v>
      </c>
      <c r="GN52" s="101" t="e">
        <f>SUBTOTAL(9,#REF!)</f>
        <v>#REF!</v>
      </c>
      <c r="GO52" s="101" t="e">
        <f>SUBTOTAL(9,#REF!)</f>
        <v>#REF!</v>
      </c>
      <c r="GP52" s="101" t="e">
        <f>SUBTOTAL(9,#REF!)</f>
        <v>#REF!</v>
      </c>
      <c r="GQ52" s="101" t="e">
        <f>SUBTOTAL(9,#REF!)</f>
        <v>#REF!</v>
      </c>
      <c r="GR52" s="101" t="e">
        <f>SUBTOTAL(9,#REF!)</f>
        <v>#REF!</v>
      </c>
      <c r="GS52" s="101" t="e">
        <f>SUBTOTAL(9,#REF!)</f>
        <v>#REF!</v>
      </c>
      <c r="GT52" s="101" t="e">
        <f>SUBTOTAL(9,#REF!)</f>
        <v>#REF!</v>
      </c>
      <c r="GU52" s="101" t="e">
        <f>SUBTOTAL(9,#REF!)</f>
        <v>#REF!</v>
      </c>
      <c r="GV52" s="101" t="e">
        <f>SUBTOTAL(9,#REF!)</f>
        <v>#REF!</v>
      </c>
      <c r="GW52" s="101" t="e">
        <f>SUBTOTAL(9,#REF!)</f>
        <v>#REF!</v>
      </c>
      <c r="GX52" s="101" t="e">
        <f>SUBTOTAL(9,#REF!)</f>
        <v>#REF!</v>
      </c>
      <c r="GY52" s="101" t="e">
        <f>SUBTOTAL(9,#REF!)</f>
        <v>#REF!</v>
      </c>
      <c r="GZ52" s="101" t="e">
        <f>SUBTOTAL(9,#REF!)</f>
        <v>#REF!</v>
      </c>
      <c r="HA52" s="101" t="e">
        <f>SUBTOTAL(9,#REF!)</f>
        <v>#REF!</v>
      </c>
      <c r="HB52" s="101" t="e">
        <f>SUBTOTAL(9,#REF!)</f>
        <v>#REF!</v>
      </c>
      <c r="HC52" s="101" t="e">
        <f>SUBTOTAL(9,#REF!)</f>
        <v>#REF!</v>
      </c>
      <c r="HD52" s="101" t="e">
        <f>SUBTOTAL(9,#REF!)</f>
        <v>#REF!</v>
      </c>
      <c r="HE52" s="101" t="e">
        <f>SUBTOTAL(9,#REF!)</f>
        <v>#REF!</v>
      </c>
      <c r="HF52" s="101" t="e">
        <f>SUBTOTAL(9,#REF!)</f>
        <v>#REF!</v>
      </c>
      <c r="HG52" s="101" t="e">
        <f>SUBTOTAL(9,#REF!)</f>
        <v>#REF!</v>
      </c>
      <c r="HH52" s="101" t="e">
        <f>SUBTOTAL(9,#REF!)</f>
        <v>#REF!</v>
      </c>
      <c r="HI52" s="101" t="e">
        <f>SUBTOTAL(9,#REF!)</f>
        <v>#REF!</v>
      </c>
      <c r="HJ52" s="101" t="e">
        <f>SUBTOTAL(9,#REF!)</f>
        <v>#REF!</v>
      </c>
      <c r="HK52" s="101" t="e">
        <f>SUBTOTAL(9,#REF!)</f>
        <v>#REF!</v>
      </c>
      <c r="HL52" s="101" t="e">
        <f>SUBTOTAL(9,#REF!)</f>
        <v>#REF!</v>
      </c>
      <c r="HM52" s="101" t="e">
        <f>SUBTOTAL(9,#REF!)</f>
        <v>#REF!</v>
      </c>
      <c r="HN52" s="101" t="e">
        <f>SUBTOTAL(9,#REF!)</f>
        <v>#REF!</v>
      </c>
      <c r="HO52" s="101" t="e">
        <f>SUBTOTAL(9,#REF!)</f>
        <v>#REF!</v>
      </c>
      <c r="HP52" s="101" t="e">
        <f>SUBTOTAL(9,#REF!)</f>
        <v>#REF!</v>
      </c>
      <c r="HQ52" s="101" t="e">
        <f>SUBTOTAL(9,#REF!)</f>
        <v>#REF!</v>
      </c>
      <c r="HR52" s="101" t="e">
        <f>SUBTOTAL(9,#REF!)</f>
        <v>#REF!</v>
      </c>
      <c r="HS52" s="101" t="e">
        <f>SUBTOTAL(9,#REF!)</f>
        <v>#REF!</v>
      </c>
      <c r="HT52" s="101" t="e">
        <f>SUBTOTAL(9,#REF!)</f>
        <v>#REF!</v>
      </c>
      <c r="HU52" s="101" t="e">
        <f>SUBTOTAL(9,#REF!)</f>
        <v>#REF!</v>
      </c>
      <c r="HV52" s="101" t="e">
        <f>SUBTOTAL(9,#REF!)</f>
        <v>#REF!</v>
      </c>
      <c r="HW52" s="101" t="e">
        <f>SUBTOTAL(9,#REF!)</f>
        <v>#REF!</v>
      </c>
      <c r="HX52" s="101" t="e">
        <f>SUBTOTAL(9,#REF!)</f>
        <v>#REF!</v>
      </c>
      <c r="HY52" s="101" t="e">
        <f>SUBTOTAL(9,#REF!)</f>
        <v>#REF!</v>
      </c>
      <c r="HZ52" s="101" t="e">
        <f>SUBTOTAL(9,#REF!)</f>
        <v>#REF!</v>
      </c>
      <c r="IA52" s="101" t="e">
        <f>SUBTOTAL(9,#REF!)</f>
        <v>#REF!</v>
      </c>
      <c r="IB52" s="101" t="e">
        <f>SUBTOTAL(9,#REF!)</f>
        <v>#REF!</v>
      </c>
      <c r="IC52" s="101" t="e">
        <f>SUBTOTAL(9,#REF!)</f>
        <v>#REF!</v>
      </c>
      <c r="ID52" s="101" t="e">
        <f>SUBTOTAL(9,#REF!)</f>
        <v>#REF!</v>
      </c>
      <c r="IE52" s="101" t="e">
        <f>SUBTOTAL(9,#REF!)</f>
        <v>#REF!</v>
      </c>
      <c r="IF52" s="101" t="e">
        <f>SUBTOTAL(9,#REF!)</f>
        <v>#REF!</v>
      </c>
      <c r="IG52" s="101" t="e">
        <f>SUBTOTAL(9,#REF!)</f>
        <v>#REF!</v>
      </c>
      <c r="IH52" s="101" t="e">
        <f>SUBTOTAL(9,#REF!)</f>
        <v>#REF!</v>
      </c>
      <c r="II52" s="101" t="e">
        <f>SUBTOTAL(9,#REF!)</f>
        <v>#REF!</v>
      </c>
      <c r="IJ52" s="101" t="e">
        <f>SUBTOTAL(9,#REF!)</f>
        <v>#REF!</v>
      </c>
      <c r="IK52" s="101" t="e">
        <f>SUBTOTAL(9,#REF!)</f>
        <v>#REF!</v>
      </c>
      <c r="IL52" s="101" t="e">
        <f>SUBTOTAL(9,#REF!)</f>
        <v>#REF!</v>
      </c>
      <c r="IM52" s="101" t="e">
        <f>SUBTOTAL(9,#REF!)</f>
        <v>#REF!</v>
      </c>
      <c r="IN52" s="101" t="e">
        <f>SUBTOTAL(9,#REF!)</f>
        <v>#REF!</v>
      </c>
      <c r="IO52" s="101" t="e">
        <f>SUBTOTAL(9,#REF!)</f>
        <v>#REF!</v>
      </c>
      <c r="IP52" s="101" t="e">
        <f>SUBTOTAL(9,#REF!)</f>
        <v>#REF!</v>
      </c>
      <c r="IQ52" s="101" t="e">
        <f>SUBTOTAL(9,#REF!)</f>
        <v>#REF!</v>
      </c>
      <c r="IR52" s="101" t="e">
        <f>SUBTOTAL(9,#REF!)</f>
        <v>#REF!</v>
      </c>
      <c r="IS52" s="101" t="e">
        <f>SUBTOTAL(9,#REF!)</f>
        <v>#REF!</v>
      </c>
      <c r="IT52" s="101" t="e">
        <f>SUBTOTAL(9,#REF!)</f>
        <v>#REF!</v>
      </c>
      <c r="IU52" s="101" t="e">
        <f>SUBTOTAL(9,#REF!)</f>
        <v>#REF!</v>
      </c>
      <c r="IV52" s="101" t="e">
        <f>SUBTOTAL(9,#REF!)</f>
        <v>#REF!</v>
      </c>
      <c r="IW52" s="101" t="e">
        <f>SUBTOTAL(9,#REF!)</f>
        <v>#REF!</v>
      </c>
      <c r="IX52" s="101" t="e">
        <f>SUBTOTAL(9,#REF!)</f>
        <v>#REF!</v>
      </c>
      <c r="IY52" s="101" t="e">
        <f>SUBTOTAL(9,#REF!)</f>
        <v>#REF!</v>
      </c>
      <c r="IZ52" s="101" t="e">
        <f>SUBTOTAL(9,#REF!)</f>
        <v>#REF!</v>
      </c>
      <c r="JA52" s="101" t="e">
        <f>SUBTOTAL(9,#REF!)</f>
        <v>#REF!</v>
      </c>
      <c r="JB52" s="101" t="e">
        <f>SUBTOTAL(9,#REF!)</f>
        <v>#REF!</v>
      </c>
      <c r="JC52" s="101" t="e">
        <f>SUBTOTAL(9,#REF!)</f>
        <v>#REF!</v>
      </c>
      <c r="JD52" s="101" t="e">
        <f>SUBTOTAL(9,#REF!)</f>
        <v>#REF!</v>
      </c>
      <c r="JE52" s="101" t="e">
        <f>SUBTOTAL(9,#REF!)</f>
        <v>#REF!</v>
      </c>
      <c r="JF52" s="101" t="e">
        <f>SUBTOTAL(9,#REF!)</f>
        <v>#REF!</v>
      </c>
      <c r="JG52" s="101" t="e">
        <f>SUBTOTAL(9,#REF!)</f>
        <v>#REF!</v>
      </c>
      <c r="JH52" s="101" t="e">
        <f>SUBTOTAL(9,#REF!)</f>
        <v>#REF!</v>
      </c>
      <c r="JI52" s="101" t="e">
        <f>SUBTOTAL(9,#REF!)</f>
        <v>#REF!</v>
      </c>
      <c r="JJ52" s="101" t="e">
        <f>SUBTOTAL(9,#REF!)</f>
        <v>#REF!</v>
      </c>
      <c r="JK52" s="101" t="e">
        <f>SUBTOTAL(9,#REF!)</f>
        <v>#REF!</v>
      </c>
      <c r="JL52" s="101" t="e">
        <f>SUBTOTAL(9,#REF!)</f>
        <v>#REF!</v>
      </c>
      <c r="JM52" s="101" t="e">
        <f>SUBTOTAL(9,#REF!)</f>
        <v>#REF!</v>
      </c>
      <c r="JN52" s="101" t="e">
        <f>SUBTOTAL(9,#REF!)</f>
        <v>#REF!</v>
      </c>
      <c r="JO52" s="101" t="e">
        <f>SUBTOTAL(9,#REF!)</f>
        <v>#REF!</v>
      </c>
      <c r="JP52" s="101" t="e">
        <f>SUBTOTAL(9,#REF!)</f>
        <v>#REF!</v>
      </c>
      <c r="JQ52" s="101" t="e">
        <f>SUBTOTAL(9,#REF!)</f>
        <v>#REF!</v>
      </c>
      <c r="JR52" s="101" t="e">
        <f>SUBTOTAL(9,#REF!)</f>
        <v>#REF!</v>
      </c>
      <c r="JS52" s="101" t="e">
        <f>SUBTOTAL(9,#REF!)</f>
        <v>#REF!</v>
      </c>
      <c r="JT52" s="101" t="e">
        <f>SUBTOTAL(9,#REF!)</f>
        <v>#REF!</v>
      </c>
      <c r="JU52" s="101" t="e">
        <f>SUBTOTAL(9,#REF!)</f>
        <v>#REF!</v>
      </c>
      <c r="JV52" s="101" t="e">
        <f>SUBTOTAL(9,#REF!)</f>
        <v>#REF!</v>
      </c>
      <c r="JW52" s="101" t="e">
        <f>SUBTOTAL(9,#REF!)</f>
        <v>#REF!</v>
      </c>
      <c r="JX52" s="101" t="e">
        <f>SUBTOTAL(9,#REF!)</f>
        <v>#REF!</v>
      </c>
      <c r="JY52" s="101" t="e">
        <f>SUBTOTAL(9,#REF!)</f>
        <v>#REF!</v>
      </c>
      <c r="JZ52" s="101" t="e">
        <f>SUBTOTAL(9,#REF!)</f>
        <v>#REF!</v>
      </c>
      <c r="KA52" s="101" t="e">
        <f>SUBTOTAL(9,#REF!)</f>
        <v>#REF!</v>
      </c>
      <c r="KB52" s="101" t="e">
        <f>SUBTOTAL(9,#REF!)</f>
        <v>#REF!</v>
      </c>
      <c r="KC52" s="101" t="e">
        <f>SUBTOTAL(9,#REF!)</f>
        <v>#REF!</v>
      </c>
      <c r="KD52" s="101" t="e">
        <f>SUBTOTAL(9,#REF!)</f>
        <v>#REF!</v>
      </c>
      <c r="KE52" s="101" t="e">
        <f>SUBTOTAL(9,#REF!)</f>
        <v>#REF!</v>
      </c>
      <c r="KF52" s="101" t="e">
        <f>SUBTOTAL(9,#REF!)</f>
        <v>#REF!</v>
      </c>
      <c r="KG52" s="101" t="e">
        <f>SUBTOTAL(9,#REF!)</f>
        <v>#REF!</v>
      </c>
      <c r="KH52" s="101" t="e">
        <f>SUBTOTAL(9,#REF!)</f>
        <v>#REF!</v>
      </c>
      <c r="KI52" s="101" t="e">
        <f>SUBTOTAL(9,#REF!)</f>
        <v>#REF!</v>
      </c>
      <c r="KJ52" s="101" t="e">
        <f>SUBTOTAL(9,#REF!)</f>
        <v>#REF!</v>
      </c>
      <c r="KK52" s="101" t="e">
        <f>SUBTOTAL(9,#REF!)</f>
        <v>#REF!</v>
      </c>
      <c r="KL52" s="101" t="e">
        <f>SUBTOTAL(9,#REF!)</f>
        <v>#REF!</v>
      </c>
      <c r="KM52" s="101" t="e">
        <f>SUBTOTAL(9,#REF!)</f>
        <v>#REF!</v>
      </c>
      <c r="KN52" s="101" t="e">
        <f>SUBTOTAL(9,#REF!)</f>
        <v>#REF!</v>
      </c>
      <c r="KO52" s="101" t="e">
        <f>SUBTOTAL(9,#REF!)</f>
        <v>#REF!</v>
      </c>
      <c r="KP52" s="101" t="e">
        <f>SUBTOTAL(9,#REF!)</f>
        <v>#REF!</v>
      </c>
      <c r="KQ52" s="101" t="e">
        <f>SUBTOTAL(9,#REF!)</f>
        <v>#REF!</v>
      </c>
      <c r="KR52" s="101" t="e">
        <f>SUBTOTAL(9,#REF!)</f>
        <v>#REF!</v>
      </c>
      <c r="KS52" s="101" t="e">
        <f>SUBTOTAL(9,#REF!)</f>
        <v>#REF!</v>
      </c>
      <c r="KT52" s="101" t="e">
        <f>SUBTOTAL(9,#REF!)</f>
        <v>#REF!</v>
      </c>
      <c r="KU52" s="101" t="e">
        <f>SUBTOTAL(9,#REF!)</f>
        <v>#REF!</v>
      </c>
      <c r="KV52" s="101" t="e">
        <f>SUBTOTAL(9,#REF!)</f>
        <v>#REF!</v>
      </c>
      <c r="KW52" s="101" t="e">
        <f>SUBTOTAL(9,#REF!)</f>
        <v>#REF!</v>
      </c>
      <c r="KX52" s="101" t="e">
        <f>SUBTOTAL(9,#REF!)</f>
        <v>#REF!</v>
      </c>
      <c r="KY52" s="101" t="e">
        <f>SUBTOTAL(9,#REF!)</f>
        <v>#REF!</v>
      </c>
      <c r="KZ52" s="101" t="e">
        <f>SUBTOTAL(9,#REF!)</f>
        <v>#REF!</v>
      </c>
      <c r="LA52" s="101" t="e">
        <f>SUBTOTAL(9,#REF!)</f>
        <v>#REF!</v>
      </c>
      <c r="LB52" s="101" t="e">
        <f>SUBTOTAL(9,#REF!)</f>
        <v>#REF!</v>
      </c>
      <c r="LC52" s="101" t="e">
        <f>SUBTOTAL(9,#REF!)</f>
        <v>#REF!</v>
      </c>
      <c r="LD52" s="101" t="e">
        <f>SUBTOTAL(9,#REF!)</f>
        <v>#REF!</v>
      </c>
      <c r="LE52" s="101" t="e">
        <f>SUBTOTAL(9,#REF!)</f>
        <v>#REF!</v>
      </c>
      <c r="LF52" s="101" t="e">
        <f>SUBTOTAL(9,#REF!)</f>
        <v>#REF!</v>
      </c>
      <c r="LG52" s="101" t="e">
        <f>SUBTOTAL(9,#REF!)</f>
        <v>#REF!</v>
      </c>
      <c r="LH52" s="101" t="e">
        <f>SUBTOTAL(9,#REF!)</f>
        <v>#REF!</v>
      </c>
      <c r="LI52" s="101" t="e">
        <f>SUBTOTAL(9,#REF!)</f>
        <v>#REF!</v>
      </c>
      <c r="LJ52" s="101" t="e">
        <f>SUBTOTAL(9,#REF!)</f>
        <v>#REF!</v>
      </c>
      <c r="LK52" s="101" t="e">
        <f>SUBTOTAL(9,#REF!)</f>
        <v>#REF!</v>
      </c>
      <c r="LL52" s="101" t="e">
        <f>SUBTOTAL(9,#REF!)</f>
        <v>#REF!</v>
      </c>
      <c r="LM52" s="101" t="e">
        <f>SUBTOTAL(9,#REF!)</f>
        <v>#REF!</v>
      </c>
      <c r="LN52" s="101" t="e">
        <f>SUBTOTAL(9,#REF!)</f>
        <v>#REF!</v>
      </c>
      <c r="LO52" s="101" t="e">
        <f>SUBTOTAL(9,#REF!)</f>
        <v>#REF!</v>
      </c>
      <c r="LP52" s="101" t="e">
        <f>SUBTOTAL(9,#REF!)</f>
        <v>#REF!</v>
      </c>
      <c r="LQ52" s="101" t="e">
        <f>SUBTOTAL(9,#REF!)</f>
        <v>#REF!</v>
      </c>
      <c r="LR52" s="101" t="e">
        <f>SUBTOTAL(9,#REF!)</f>
        <v>#REF!</v>
      </c>
      <c r="LS52" s="101" t="e">
        <f>SUBTOTAL(9,#REF!)</f>
        <v>#REF!</v>
      </c>
      <c r="LT52" s="101" t="e">
        <f>SUBTOTAL(9,#REF!)</f>
        <v>#REF!</v>
      </c>
      <c r="LU52" s="101" t="e">
        <f>SUBTOTAL(9,#REF!)</f>
        <v>#REF!</v>
      </c>
      <c r="LV52" s="101" t="e">
        <f>SUBTOTAL(9,#REF!)</f>
        <v>#REF!</v>
      </c>
      <c r="LW52" s="101" t="e">
        <f>SUBTOTAL(9,#REF!)</f>
        <v>#REF!</v>
      </c>
      <c r="LX52" s="101" t="e">
        <f>SUBTOTAL(9,#REF!)</f>
        <v>#REF!</v>
      </c>
      <c r="LY52" s="101" t="e">
        <f>SUBTOTAL(9,#REF!)</f>
        <v>#REF!</v>
      </c>
      <c r="LZ52" s="101" t="e">
        <f>SUBTOTAL(9,#REF!)</f>
        <v>#REF!</v>
      </c>
      <c r="MA52" s="101" t="e">
        <f>SUBTOTAL(9,#REF!)</f>
        <v>#REF!</v>
      </c>
      <c r="MB52" s="101" t="e">
        <f>SUBTOTAL(9,#REF!)</f>
        <v>#REF!</v>
      </c>
      <c r="MC52" s="101" t="e">
        <f>SUBTOTAL(9,#REF!)</f>
        <v>#REF!</v>
      </c>
      <c r="MD52" s="101" t="e">
        <f>SUBTOTAL(9,#REF!)</f>
        <v>#REF!</v>
      </c>
      <c r="ME52" s="101" t="e">
        <f>SUBTOTAL(9,#REF!)</f>
        <v>#REF!</v>
      </c>
      <c r="MF52" s="101" t="e">
        <f>SUBTOTAL(9,#REF!)</f>
        <v>#REF!</v>
      </c>
      <c r="MG52" s="101" t="e">
        <f>SUBTOTAL(9,#REF!)</f>
        <v>#REF!</v>
      </c>
      <c r="MH52" s="101" t="e">
        <f>SUBTOTAL(9,#REF!)</f>
        <v>#REF!</v>
      </c>
      <c r="MI52" s="101" t="e">
        <f>SUBTOTAL(9,#REF!)</f>
        <v>#REF!</v>
      </c>
      <c r="MJ52" s="101" t="e">
        <f>SUBTOTAL(9,#REF!)</f>
        <v>#REF!</v>
      </c>
      <c r="MK52" s="101" t="e">
        <f>SUBTOTAL(9,#REF!)</f>
        <v>#REF!</v>
      </c>
      <c r="ML52" s="101" t="e">
        <f>SUBTOTAL(9,#REF!)</f>
        <v>#REF!</v>
      </c>
      <c r="MM52" s="101" t="e">
        <f>SUBTOTAL(9,#REF!)</f>
        <v>#REF!</v>
      </c>
      <c r="MN52" s="101" t="e">
        <f>SUBTOTAL(9,#REF!)</f>
        <v>#REF!</v>
      </c>
      <c r="MO52" s="101" t="e">
        <f>SUBTOTAL(9,#REF!)</f>
        <v>#REF!</v>
      </c>
      <c r="MP52" s="101" t="e">
        <f>SUBTOTAL(9,#REF!)</f>
        <v>#REF!</v>
      </c>
      <c r="MQ52" s="101" t="e">
        <f>SUBTOTAL(9,#REF!)</f>
        <v>#REF!</v>
      </c>
      <c r="MR52" s="101" t="e">
        <f>SUBTOTAL(9,#REF!)</f>
        <v>#REF!</v>
      </c>
      <c r="MS52" s="101" t="e">
        <f>SUBTOTAL(9,#REF!)</f>
        <v>#REF!</v>
      </c>
      <c r="MT52" s="101" t="e">
        <f>SUBTOTAL(9,#REF!)</f>
        <v>#REF!</v>
      </c>
      <c r="MU52" s="101" t="e">
        <f>SUBTOTAL(9,#REF!)</f>
        <v>#REF!</v>
      </c>
      <c r="MV52" s="101" t="e">
        <f>SUBTOTAL(9,#REF!)</f>
        <v>#REF!</v>
      </c>
      <c r="MW52" s="101" t="e">
        <f>SUBTOTAL(9,#REF!)</f>
        <v>#REF!</v>
      </c>
      <c r="MX52" s="101" t="e">
        <f>SUBTOTAL(9,#REF!)</f>
        <v>#REF!</v>
      </c>
      <c r="MY52" s="101" t="e">
        <f>SUBTOTAL(9,#REF!)</f>
        <v>#REF!</v>
      </c>
      <c r="MZ52" s="101" t="e">
        <f>SUBTOTAL(9,#REF!)</f>
        <v>#REF!</v>
      </c>
      <c r="NA52" s="101" t="e">
        <f>SUBTOTAL(9,#REF!)</f>
        <v>#REF!</v>
      </c>
      <c r="NB52" s="101" t="e">
        <f>SUBTOTAL(9,#REF!)</f>
        <v>#REF!</v>
      </c>
      <c r="NC52" s="101" t="e">
        <f>SUBTOTAL(9,#REF!)</f>
        <v>#REF!</v>
      </c>
      <c r="ND52" s="101" t="e">
        <f>SUBTOTAL(9,#REF!)</f>
        <v>#REF!</v>
      </c>
      <c r="NE52" s="101" t="e">
        <f>SUBTOTAL(9,#REF!)</f>
        <v>#REF!</v>
      </c>
      <c r="NF52" s="101" t="e">
        <f>SUBTOTAL(9,#REF!)</f>
        <v>#REF!</v>
      </c>
      <c r="NG52" s="101" t="e">
        <f>SUBTOTAL(9,#REF!)</f>
        <v>#REF!</v>
      </c>
      <c r="NH52" s="101" t="e">
        <f>SUBTOTAL(9,#REF!)</f>
        <v>#REF!</v>
      </c>
      <c r="NI52" s="101" t="e">
        <f>SUBTOTAL(9,#REF!)</f>
        <v>#REF!</v>
      </c>
      <c r="NJ52" s="101" t="e">
        <f>SUBTOTAL(9,#REF!)</f>
        <v>#REF!</v>
      </c>
      <c r="NK52" s="101" t="e">
        <f>SUBTOTAL(9,#REF!)</f>
        <v>#REF!</v>
      </c>
      <c r="NL52" s="101" t="e">
        <f>SUBTOTAL(9,#REF!)</f>
        <v>#REF!</v>
      </c>
      <c r="NM52" s="101" t="e">
        <f>SUBTOTAL(9,#REF!)</f>
        <v>#REF!</v>
      </c>
      <c r="NN52" s="101" t="e">
        <f>SUBTOTAL(9,#REF!)</f>
        <v>#REF!</v>
      </c>
      <c r="NO52" s="101" t="e">
        <f>SUBTOTAL(9,#REF!)</f>
        <v>#REF!</v>
      </c>
      <c r="NP52" s="101" t="e">
        <f>SUBTOTAL(9,#REF!)</f>
        <v>#REF!</v>
      </c>
      <c r="NQ52" s="101" t="e">
        <f>SUBTOTAL(9,#REF!)</f>
        <v>#REF!</v>
      </c>
      <c r="NR52" s="101" t="e">
        <f>SUBTOTAL(9,#REF!)</f>
        <v>#REF!</v>
      </c>
      <c r="NS52" s="101" t="e">
        <f>SUBTOTAL(9,#REF!)</f>
        <v>#REF!</v>
      </c>
      <c r="NT52" s="101" t="e">
        <f>SUBTOTAL(9,#REF!)</f>
        <v>#REF!</v>
      </c>
      <c r="NU52" s="101" t="e">
        <f>SUBTOTAL(9,#REF!)</f>
        <v>#REF!</v>
      </c>
      <c r="NV52" s="101" t="e">
        <f>SUBTOTAL(9,#REF!)</f>
        <v>#REF!</v>
      </c>
      <c r="NW52" s="101" t="e">
        <f>SUBTOTAL(9,#REF!)</f>
        <v>#REF!</v>
      </c>
      <c r="NX52" s="101" t="e">
        <f>SUBTOTAL(9,#REF!)</f>
        <v>#REF!</v>
      </c>
      <c r="NY52" s="101" t="e">
        <f>SUBTOTAL(9,#REF!)</f>
        <v>#REF!</v>
      </c>
      <c r="NZ52" s="101" t="e">
        <f>SUBTOTAL(9,#REF!)</f>
        <v>#REF!</v>
      </c>
      <c r="OA52" s="101" t="e">
        <f>SUBTOTAL(9,#REF!)</f>
        <v>#REF!</v>
      </c>
      <c r="OB52" s="101" t="e">
        <f>SUBTOTAL(9,#REF!)</f>
        <v>#REF!</v>
      </c>
      <c r="OC52" s="101" t="e">
        <f>SUBTOTAL(9,#REF!)</f>
        <v>#REF!</v>
      </c>
      <c r="OD52" s="101" t="e">
        <f>SUBTOTAL(9,#REF!)</f>
        <v>#REF!</v>
      </c>
      <c r="OE52" s="101" t="e">
        <f>SUBTOTAL(9,#REF!)</f>
        <v>#REF!</v>
      </c>
      <c r="OF52" s="101" t="e">
        <f>SUBTOTAL(9,#REF!)</f>
        <v>#REF!</v>
      </c>
      <c r="OG52" s="101" t="e">
        <f>SUBTOTAL(9,#REF!)</f>
        <v>#REF!</v>
      </c>
      <c r="OH52" s="101" t="e">
        <f>SUBTOTAL(9,#REF!)</f>
        <v>#REF!</v>
      </c>
      <c r="OI52" s="101" t="e">
        <f>SUBTOTAL(9,#REF!)</f>
        <v>#REF!</v>
      </c>
      <c r="OJ52" s="101" t="e">
        <f>SUBTOTAL(9,#REF!)</f>
        <v>#REF!</v>
      </c>
      <c r="OK52" s="101" t="e">
        <f>SUBTOTAL(9,#REF!)</f>
        <v>#REF!</v>
      </c>
      <c r="OL52" s="101" t="e">
        <f>SUBTOTAL(9,#REF!)</f>
        <v>#REF!</v>
      </c>
      <c r="OM52" s="101" t="e">
        <f>SUBTOTAL(9,#REF!)</f>
        <v>#REF!</v>
      </c>
      <c r="ON52" s="101" t="e">
        <f>SUBTOTAL(9,#REF!)</f>
        <v>#REF!</v>
      </c>
      <c r="OO52" s="101" t="e">
        <f>SUBTOTAL(9,#REF!)</f>
        <v>#REF!</v>
      </c>
      <c r="OP52" s="101" t="e">
        <f>SUBTOTAL(9,#REF!)</f>
        <v>#REF!</v>
      </c>
      <c r="OQ52" s="101" t="e">
        <f>SUBTOTAL(9,#REF!)</f>
        <v>#REF!</v>
      </c>
      <c r="OR52" s="101" t="e">
        <f>SUBTOTAL(9,#REF!)</f>
        <v>#REF!</v>
      </c>
      <c r="OS52" s="101" t="e">
        <f>SUBTOTAL(9,#REF!)</f>
        <v>#REF!</v>
      </c>
      <c r="OT52" s="101" t="e">
        <f>SUBTOTAL(9,#REF!)</f>
        <v>#REF!</v>
      </c>
      <c r="OU52" s="101" t="e">
        <f>SUBTOTAL(9,#REF!)</f>
        <v>#REF!</v>
      </c>
      <c r="OV52" s="101" t="e">
        <f>SUBTOTAL(9,#REF!)</f>
        <v>#REF!</v>
      </c>
      <c r="OW52" s="101" t="e">
        <f>SUBTOTAL(9,#REF!)</f>
        <v>#REF!</v>
      </c>
      <c r="OX52" s="101" t="e">
        <f>SUBTOTAL(9,#REF!)</f>
        <v>#REF!</v>
      </c>
      <c r="OY52" s="101" t="e">
        <f>SUBTOTAL(9,#REF!)</f>
        <v>#REF!</v>
      </c>
      <c r="OZ52" s="101" t="e">
        <f>SUBTOTAL(9,#REF!)</f>
        <v>#REF!</v>
      </c>
      <c r="PA52" s="101" t="e">
        <f>SUBTOTAL(9,#REF!)</f>
        <v>#REF!</v>
      </c>
      <c r="PB52" s="101" t="e">
        <f>SUBTOTAL(9,#REF!)</f>
        <v>#REF!</v>
      </c>
      <c r="PC52" s="101" t="e">
        <f>SUBTOTAL(9,#REF!)</f>
        <v>#REF!</v>
      </c>
      <c r="PD52" s="101" t="e">
        <f>SUBTOTAL(9,#REF!)</f>
        <v>#REF!</v>
      </c>
      <c r="PE52" s="101" t="e">
        <f>SUBTOTAL(9,#REF!)</f>
        <v>#REF!</v>
      </c>
      <c r="PF52" s="101" t="e">
        <f>SUBTOTAL(9,#REF!)</f>
        <v>#REF!</v>
      </c>
      <c r="PG52" s="101" t="e">
        <f>SUBTOTAL(9,#REF!)</f>
        <v>#REF!</v>
      </c>
      <c r="PH52" s="101" t="e">
        <f>SUBTOTAL(9,#REF!)</f>
        <v>#REF!</v>
      </c>
      <c r="PI52" s="101" t="e">
        <f>SUBTOTAL(9,#REF!)</f>
        <v>#REF!</v>
      </c>
      <c r="PJ52" s="101" t="e">
        <f>SUBTOTAL(9,#REF!)</f>
        <v>#REF!</v>
      </c>
      <c r="PK52" s="101" t="e">
        <f>SUBTOTAL(9,#REF!)</f>
        <v>#REF!</v>
      </c>
      <c r="PL52" s="101" t="e">
        <f>SUBTOTAL(9,#REF!)</f>
        <v>#REF!</v>
      </c>
      <c r="PM52" s="101" t="e">
        <f>SUBTOTAL(9,#REF!)</f>
        <v>#REF!</v>
      </c>
      <c r="PN52" s="101" t="e">
        <f>SUBTOTAL(9,#REF!)</f>
        <v>#REF!</v>
      </c>
      <c r="PO52" s="101" t="e">
        <f>SUBTOTAL(9,#REF!)</f>
        <v>#REF!</v>
      </c>
      <c r="PP52" s="101" t="e">
        <f>SUBTOTAL(9,#REF!)</f>
        <v>#REF!</v>
      </c>
      <c r="PQ52" s="101" t="e">
        <f>SUBTOTAL(9,#REF!)</f>
        <v>#REF!</v>
      </c>
      <c r="PR52" s="101" t="e">
        <f>SUBTOTAL(9,#REF!)</f>
        <v>#REF!</v>
      </c>
      <c r="PS52" s="101" t="e">
        <f>SUBTOTAL(9,#REF!)</f>
        <v>#REF!</v>
      </c>
      <c r="PT52" s="101" t="e">
        <f>SUBTOTAL(9,#REF!)</f>
        <v>#REF!</v>
      </c>
      <c r="PU52" s="101" t="e">
        <f>SUBTOTAL(9,#REF!)</f>
        <v>#REF!</v>
      </c>
      <c r="PV52" s="101" t="e">
        <f>SUBTOTAL(9,#REF!)</f>
        <v>#REF!</v>
      </c>
      <c r="PW52" s="101" t="e">
        <f>SUBTOTAL(9,#REF!)</f>
        <v>#REF!</v>
      </c>
      <c r="PX52" s="101" t="e">
        <f>SUBTOTAL(9,#REF!)</f>
        <v>#REF!</v>
      </c>
      <c r="PY52" s="101" t="e">
        <f>SUBTOTAL(9,#REF!)</f>
        <v>#REF!</v>
      </c>
      <c r="PZ52" s="101" t="e">
        <f>SUBTOTAL(9,#REF!)</f>
        <v>#REF!</v>
      </c>
      <c r="QA52" s="101" t="e">
        <f>SUBTOTAL(9,#REF!)</f>
        <v>#REF!</v>
      </c>
      <c r="QB52" s="101" t="e">
        <f>SUBTOTAL(9,#REF!)</f>
        <v>#REF!</v>
      </c>
      <c r="QC52" s="101" t="e">
        <f>SUBTOTAL(9,#REF!)</f>
        <v>#REF!</v>
      </c>
      <c r="QD52" s="101" t="e">
        <f>SUBTOTAL(9,#REF!)</f>
        <v>#REF!</v>
      </c>
      <c r="QE52" s="101" t="e">
        <f>SUBTOTAL(9,#REF!)</f>
        <v>#REF!</v>
      </c>
      <c r="QF52" s="101" t="e">
        <f>SUBTOTAL(9,#REF!)</f>
        <v>#REF!</v>
      </c>
      <c r="QG52" s="101" t="e">
        <f>SUBTOTAL(9,#REF!)</f>
        <v>#REF!</v>
      </c>
      <c r="QH52" s="101" t="e">
        <f>SUBTOTAL(9,#REF!)</f>
        <v>#REF!</v>
      </c>
      <c r="QI52" s="101" t="e">
        <f>SUBTOTAL(9,#REF!)</f>
        <v>#REF!</v>
      </c>
      <c r="QJ52" s="101" t="e">
        <f>SUBTOTAL(9,#REF!)</f>
        <v>#REF!</v>
      </c>
      <c r="QK52" s="101" t="e">
        <f>SUBTOTAL(9,#REF!)</f>
        <v>#REF!</v>
      </c>
      <c r="QL52" s="101" t="e">
        <f>SUBTOTAL(9,#REF!)</f>
        <v>#REF!</v>
      </c>
      <c r="QM52" s="101" t="e">
        <f>SUBTOTAL(9,#REF!)</f>
        <v>#REF!</v>
      </c>
      <c r="QN52" s="101" t="e">
        <f>SUBTOTAL(9,#REF!)</f>
        <v>#REF!</v>
      </c>
      <c r="QO52" s="101" t="e">
        <f>SUBTOTAL(9,#REF!)</f>
        <v>#REF!</v>
      </c>
      <c r="QP52" s="101" t="e">
        <f>SUBTOTAL(9,#REF!)</f>
        <v>#REF!</v>
      </c>
      <c r="QQ52" s="101" t="e">
        <f>SUBTOTAL(9,#REF!)</f>
        <v>#REF!</v>
      </c>
      <c r="QR52" s="101" t="e">
        <f>SUBTOTAL(9,#REF!)</f>
        <v>#REF!</v>
      </c>
      <c r="QS52" s="101" t="e">
        <f>SUBTOTAL(9,#REF!)</f>
        <v>#REF!</v>
      </c>
      <c r="QT52" s="101" t="e">
        <f>SUBTOTAL(9,#REF!)</f>
        <v>#REF!</v>
      </c>
      <c r="QU52" s="101" t="e">
        <f>SUBTOTAL(9,#REF!)</f>
        <v>#REF!</v>
      </c>
      <c r="QV52" s="101" t="e">
        <f>SUBTOTAL(9,#REF!)</f>
        <v>#REF!</v>
      </c>
      <c r="QW52" s="101" t="e">
        <f>SUBTOTAL(9,#REF!)</f>
        <v>#REF!</v>
      </c>
      <c r="QX52" s="101" t="e">
        <f>SUBTOTAL(9,#REF!)</f>
        <v>#REF!</v>
      </c>
      <c r="QY52" s="23"/>
      <c r="QZ52" s="41"/>
      <c r="RA52" s="108">
        <f>SUBTOTAL(9,RA51:RA51)</f>
        <v>9370.2900000000009</v>
      </c>
      <c r="RB52" s="108"/>
      <c r="RC52" s="108"/>
      <c r="RD52" s="114">
        <f>SUBTOTAL(9,RD51:RD51)</f>
        <v>7700.0000000000009</v>
      </c>
      <c r="RE52" s="82">
        <f>SUM(RE51:RE51)</f>
        <v>0</v>
      </c>
      <c r="RF52" s="82">
        <f>SUM(RF51:RF51)</f>
        <v>1670.29</v>
      </c>
      <c r="RG52" s="36"/>
      <c r="RH52" s="5"/>
    </row>
  </sheetData>
  <sheetProtection formatCells="0" formatColumns="0" formatRows="0" insertColumns="0" insertRows="0" insertHyperlinks="0" deleteColumns="0" deleteRows="0" sort="0" autoFilter="0" pivotTables="0"/>
  <autoFilter ref="A1:RG52" xr:uid="{00000000-0009-0000-0000-000000000000}">
    <sortState xmlns:xlrd2="http://schemas.microsoft.com/office/spreadsheetml/2017/richdata2" ref="A2:RG51">
      <sortCondition ref="A1:A52"/>
    </sortState>
  </autoFilter>
  <sortState xmlns:xlrd2="http://schemas.microsoft.com/office/spreadsheetml/2017/richdata2" ref="A2:RH52">
    <sortCondition ref="A1:A52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EU394"/>
  <sheetViews>
    <sheetView zoomScale="110" zoomScaleNormal="110" zoomScaleSheetLayoutView="100" workbookViewId="0">
      <pane xSplit="7" ySplit="2" topLeftCell="H351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375" sqref="A375"/>
    </sheetView>
  </sheetViews>
  <sheetFormatPr defaultColWidth="255.6640625" defaultRowHeight="13.2" x14ac:dyDescent="0.25"/>
  <cols>
    <col min="1" max="1" width="37.88671875" style="6" customWidth="1"/>
    <col min="2" max="2" width="10.88671875" style="34" bestFit="1" customWidth="1"/>
    <col min="3" max="3" width="8" customWidth="1"/>
    <col min="4" max="4" width="10.109375" style="34" customWidth="1"/>
    <col min="5" max="5" width="11.5546875" style="6" customWidth="1"/>
    <col min="6" max="6" width="14.6640625" customWidth="1"/>
    <col min="7" max="7" width="5.88671875" style="46" hidden="1" customWidth="1"/>
    <col min="8" max="8" width="5.5546875" style="33" bestFit="1" customWidth="1"/>
    <col min="9" max="9" width="9" style="33" hidden="1" customWidth="1"/>
    <col min="10" max="11" width="6.5546875" style="33" hidden="1" customWidth="1"/>
    <col min="12" max="13" width="9" style="33" hidden="1" customWidth="1"/>
    <col min="14" max="16" width="7.33203125" style="33" hidden="1" customWidth="1"/>
    <col min="17" max="17" width="9" style="33" hidden="1" customWidth="1"/>
    <col min="18" max="19" width="7.33203125" style="33" hidden="1" customWidth="1"/>
    <col min="20" max="20" width="7.33203125" style="33" customWidth="1"/>
    <col min="21" max="21" width="6.5546875" style="46" bestFit="1" customWidth="1"/>
    <col min="22" max="22" width="8" style="33" hidden="1" customWidth="1"/>
    <col min="23" max="23" width="8" style="33" customWidth="1"/>
    <col min="24" max="25" width="8" style="33" hidden="1" customWidth="1"/>
    <col min="26" max="26" width="8" style="33" customWidth="1"/>
    <col min="27" max="31" width="8" style="33" hidden="1" customWidth="1"/>
    <col min="32" max="34" width="8" style="33" customWidth="1"/>
    <col min="35" max="35" width="7.6640625" style="33" bestFit="1" customWidth="1"/>
    <col min="36" max="37" width="7.6640625" style="33" hidden="1" customWidth="1"/>
    <col min="38" max="38" width="10.109375" style="33" bestFit="1" customWidth="1"/>
    <col min="39" max="47" width="7.44140625" style="33" hidden="1" customWidth="1"/>
    <col min="48" max="48" width="7.44140625" style="33" customWidth="1"/>
    <col min="49" max="52" width="7.44140625" style="33" hidden="1" customWidth="1"/>
    <col min="53" max="54" width="7.44140625" style="33" customWidth="1"/>
    <col min="55" max="57" width="7.44140625" style="33" hidden="1" customWidth="1"/>
    <col min="58" max="58" width="7.88671875" style="33" hidden="1" customWidth="1"/>
    <col min="59" max="59" width="6.5546875" style="33" customWidth="1"/>
    <col min="60" max="61" width="6.5546875" style="33" hidden="1" customWidth="1"/>
    <col min="62" max="62" width="6.5546875" style="33" customWidth="1"/>
    <col min="63" max="63" width="6.5546875" style="33" hidden="1" customWidth="1"/>
    <col min="64" max="64" width="6.5546875" style="33" customWidth="1"/>
    <col min="65" max="67" width="6.5546875" style="33" hidden="1" customWidth="1"/>
    <col min="68" max="68" width="6.5546875" style="33" customWidth="1"/>
    <col min="69" max="69" width="7.33203125" style="33" customWidth="1"/>
    <col min="70" max="70" width="7.33203125" style="33" hidden="1" customWidth="1"/>
    <col min="71" max="71" width="8.109375" style="33" customWidth="1"/>
    <col min="72" max="72" width="8.109375" style="33" hidden="1" customWidth="1"/>
    <col min="73" max="73" width="8.109375" style="33" customWidth="1"/>
    <col min="74" max="74" width="8.109375" style="33" hidden="1" customWidth="1"/>
    <col min="75" max="75" width="8.109375" style="33" customWidth="1"/>
    <col min="76" max="79" width="8.109375" style="33" hidden="1" customWidth="1"/>
    <col min="80" max="80" width="8.109375" style="33" customWidth="1"/>
    <col min="81" max="81" width="9.109375" style="33" customWidth="1"/>
    <col min="82" max="82" width="11" style="33" customWidth="1"/>
    <col min="83" max="85" width="8.6640625" style="33" hidden="1" customWidth="1"/>
    <col min="86" max="86" width="9" style="33" customWidth="1"/>
    <col min="87" max="96" width="6.44140625" style="33" hidden="1" customWidth="1"/>
    <col min="97" max="97" width="12.33203125" style="33" hidden="1" customWidth="1"/>
    <col min="98" max="104" width="10.33203125" style="33" hidden="1" customWidth="1"/>
    <col min="105" max="105" width="7.88671875" style="33" hidden="1" customWidth="1"/>
    <col min="106" max="113" width="9.6640625" style="33" hidden="1" customWidth="1"/>
    <col min="114" max="115" width="11.109375" style="33" hidden="1" customWidth="1"/>
    <col min="116" max="116" width="6.44140625" style="33" bestFit="1" customWidth="1"/>
    <col min="117" max="122" width="11.109375" style="33" hidden="1" customWidth="1"/>
    <col min="123" max="125" width="8.5546875" style="33" hidden="1" customWidth="1"/>
    <col min="126" max="126" width="7.6640625" style="33" bestFit="1" customWidth="1"/>
    <col min="127" max="127" width="13.33203125" style="32" bestFit="1" customWidth="1"/>
    <col min="128" max="151" width="255.6640625" style="33"/>
    <col min="152" max="16384" width="255.6640625" style="6"/>
  </cols>
  <sheetData>
    <row r="1" spans="1:151" ht="45.75" customHeight="1" x14ac:dyDescent="0.25">
      <c r="A1" s="8" t="s">
        <v>33</v>
      </c>
      <c r="B1" s="8" t="s">
        <v>6</v>
      </c>
      <c r="C1" s="106" t="s">
        <v>7</v>
      </c>
      <c r="D1" s="16" t="s">
        <v>41</v>
      </c>
      <c r="E1" s="13" t="s">
        <v>56</v>
      </c>
      <c r="F1" s="1" t="s">
        <v>8</v>
      </c>
      <c r="G1" s="44" t="s">
        <v>524</v>
      </c>
      <c r="H1" s="112" t="s">
        <v>63</v>
      </c>
      <c r="I1" s="112" t="s">
        <v>352</v>
      </c>
      <c r="J1" s="112" t="s">
        <v>388</v>
      </c>
      <c r="K1" s="112" t="s">
        <v>449</v>
      </c>
      <c r="L1" s="112" t="s">
        <v>449</v>
      </c>
      <c r="M1" s="112" t="s">
        <v>456</v>
      </c>
      <c r="N1" s="112" t="s">
        <v>456</v>
      </c>
      <c r="O1" s="112" t="s">
        <v>359</v>
      </c>
      <c r="P1" s="112" t="s">
        <v>388</v>
      </c>
      <c r="Q1" s="112" t="s">
        <v>359</v>
      </c>
      <c r="R1" s="112" t="s">
        <v>499</v>
      </c>
      <c r="S1" s="112" t="s">
        <v>565</v>
      </c>
      <c r="T1" s="112" t="s">
        <v>359</v>
      </c>
      <c r="U1" s="44" t="s">
        <v>335</v>
      </c>
      <c r="V1" s="70" t="s">
        <v>45</v>
      </c>
      <c r="W1" s="70" t="s">
        <v>86</v>
      </c>
      <c r="X1" s="70" t="s">
        <v>86</v>
      </c>
      <c r="Y1" s="70" t="s">
        <v>45</v>
      </c>
      <c r="Z1" s="70" t="s">
        <v>45</v>
      </c>
      <c r="AA1" s="70" t="s">
        <v>546</v>
      </c>
      <c r="AB1" s="70" t="s">
        <v>73</v>
      </c>
      <c r="AC1" s="70" t="s">
        <v>397</v>
      </c>
      <c r="AD1" s="70" t="s">
        <v>30</v>
      </c>
      <c r="AE1" s="70" t="s">
        <v>561</v>
      </c>
      <c r="AF1" s="70" t="s">
        <v>532</v>
      </c>
      <c r="AG1" s="70" t="s">
        <v>555</v>
      </c>
      <c r="AH1" s="70" t="s">
        <v>437</v>
      </c>
      <c r="AI1" s="70" t="s">
        <v>30</v>
      </c>
      <c r="AJ1" s="70" t="s">
        <v>278</v>
      </c>
      <c r="AK1" s="70" t="s">
        <v>278</v>
      </c>
      <c r="AL1" s="70" t="s">
        <v>278</v>
      </c>
      <c r="AM1" s="70" t="s">
        <v>140</v>
      </c>
      <c r="AN1" s="70" t="s">
        <v>55</v>
      </c>
      <c r="AO1" s="70" t="s">
        <v>55</v>
      </c>
      <c r="AP1" s="70" t="s">
        <v>55</v>
      </c>
      <c r="AQ1" s="70" t="s">
        <v>55</v>
      </c>
      <c r="AR1" s="70" t="s">
        <v>55</v>
      </c>
      <c r="AS1" s="70" t="s">
        <v>55</v>
      </c>
      <c r="AT1" s="70" t="s">
        <v>55</v>
      </c>
      <c r="AU1" s="70" t="s">
        <v>55</v>
      </c>
      <c r="AV1" s="70" t="s">
        <v>55</v>
      </c>
      <c r="AW1" s="70" t="s">
        <v>75</v>
      </c>
      <c r="AX1" s="70" t="s">
        <v>75</v>
      </c>
      <c r="AY1" s="70" t="s">
        <v>75</v>
      </c>
      <c r="AZ1" s="70" t="s">
        <v>533</v>
      </c>
      <c r="BA1" s="70" t="s">
        <v>533</v>
      </c>
      <c r="BB1" s="70" t="s">
        <v>75</v>
      </c>
      <c r="BC1" s="70" t="s">
        <v>137</v>
      </c>
      <c r="BD1" s="70" t="s">
        <v>557</v>
      </c>
      <c r="BE1" s="70" t="s">
        <v>564</v>
      </c>
      <c r="BF1" s="70" t="s">
        <v>531</v>
      </c>
      <c r="BG1" s="70" t="s">
        <v>87</v>
      </c>
      <c r="BH1" s="70" t="s">
        <v>444</v>
      </c>
      <c r="BI1" s="70" t="s">
        <v>444</v>
      </c>
      <c r="BJ1" s="70" t="s">
        <v>444</v>
      </c>
      <c r="BK1" s="70" t="s">
        <v>196</v>
      </c>
      <c r="BL1" s="70" t="s">
        <v>196</v>
      </c>
      <c r="BM1" s="70" t="s">
        <v>196</v>
      </c>
      <c r="BN1" s="70" t="s">
        <v>554</v>
      </c>
      <c r="BO1" s="70" t="s">
        <v>547</v>
      </c>
      <c r="BP1" s="70" t="s">
        <v>566</v>
      </c>
      <c r="BQ1" s="70" t="s">
        <v>279</v>
      </c>
      <c r="BR1" s="70" t="s">
        <v>344</v>
      </c>
      <c r="BS1" s="70" t="s">
        <v>344</v>
      </c>
      <c r="BT1" s="70" t="s">
        <v>88</v>
      </c>
      <c r="BU1" s="70" t="s">
        <v>88</v>
      </c>
      <c r="BV1" s="70" t="s">
        <v>131</v>
      </c>
      <c r="BW1" s="70" t="s">
        <v>131</v>
      </c>
      <c r="BX1" s="70" t="s">
        <v>331</v>
      </c>
      <c r="BY1" s="70" t="s">
        <v>331</v>
      </c>
      <c r="BZ1" s="70" t="s">
        <v>496</v>
      </c>
      <c r="CA1" s="70" t="s">
        <v>331</v>
      </c>
      <c r="CB1" s="70" t="s">
        <v>123</v>
      </c>
      <c r="CC1" s="112" t="s">
        <v>496</v>
      </c>
      <c r="CD1" s="112" t="s">
        <v>417</v>
      </c>
      <c r="CE1" s="112" t="s">
        <v>508</v>
      </c>
      <c r="CF1" s="112" t="s">
        <v>238</v>
      </c>
      <c r="CG1" s="112" t="s">
        <v>238</v>
      </c>
      <c r="CH1" s="112" t="s">
        <v>238</v>
      </c>
      <c r="CI1" s="112" t="s">
        <v>342</v>
      </c>
      <c r="CJ1" s="112" t="s">
        <v>525</v>
      </c>
      <c r="CK1" s="112" t="s">
        <v>282</v>
      </c>
      <c r="CL1" s="112" t="s">
        <v>282</v>
      </c>
      <c r="CM1" s="112" t="s">
        <v>75</v>
      </c>
      <c r="CN1" s="112" t="s">
        <v>397</v>
      </c>
      <c r="CO1" s="112" t="s">
        <v>532</v>
      </c>
      <c r="CP1" s="112" t="s">
        <v>533</v>
      </c>
      <c r="CQ1" s="112" t="s">
        <v>534</v>
      </c>
      <c r="CR1" s="112" t="s">
        <v>192</v>
      </c>
      <c r="CS1" s="112" t="s">
        <v>535</v>
      </c>
      <c r="CT1" s="112" t="s">
        <v>536</v>
      </c>
      <c r="CU1" s="112" t="s">
        <v>544</v>
      </c>
      <c r="CV1" s="112" t="s">
        <v>533</v>
      </c>
      <c r="CW1" s="112" t="s">
        <v>545</v>
      </c>
      <c r="CX1" s="112" t="s">
        <v>123</v>
      </c>
      <c r="CY1" s="112" t="s">
        <v>455</v>
      </c>
      <c r="CZ1" s="112" t="s">
        <v>551</v>
      </c>
      <c r="DA1" s="112" t="s">
        <v>533</v>
      </c>
      <c r="DB1" s="112" t="s">
        <v>535</v>
      </c>
      <c r="DC1" s="112" t="s">
        <v>335</v>
      </c>
      <c r="DD1" s="112" t="s">
        <v>555</v>
      </c>
      <c r="DE1" s="112" t="s">
        <v>556</v>
      </c>
      <c r="DF1" s="112" t="s">
        <v>557</v>
      </c>
      <c r="DG1" s="112" t="s">
        <v>560</v>
      </c>
      <c r="DH1" s="112" t="s">
        <v>192</v>
      </c>
      <c r="DI1" s="112" t="s">
        <v>282</v>
      </c>
      <c r="DJ1" s="112" t="s">
        <v>562</v>
      </c>
      <c r="DK1" s="112" t="s">
        <v>567</v>
      </c>
      <c r="DL1" s="112" t="s">
        <v>342</v>
      </c>
      <c r="DM1" s="112" t="s">
        <v>282</v>
      </c>
      <c r="DN1" s="112" t="s">
        <v>568</v>
      </c>
      <c r="DO1" s="112" t="s">
        <v>569</v>
      </c>
      <c r="DP1" s="112" t="s">
        <v>570</v>
      </c>
      <c r="DQ1" s="112" t="s">
        <v>535</v>
      </c>
      <c r="DR1" s="112" t="s">
        <v>174</v>
      </c>
      <c r="DS1" s="112" t="s">
        <v>508</v>
      </c>
      <c r="DT1" s="112" t="s">
        <v>568</v>
      </c>
      <c r="DU1" s="112" t="s">
        <v>568</v>
      </c>
      <c r="DV1" s="72" t="s">
        <v>189</v>
      </c>
      <c r="DW1" s="67" t="s">
        <v>23</v>
      </c>
      <c r="DX1" s="5"/>
    </row>
    <row r="2" spans="1:151" x14ac:dyDescent="0.25">
      <c r="A2" s="7" t="s">
        <v>9</v>
      </c>
      <c r="B2" s="9" t="s">
        <v>10</v>
      </c>
      <c r="C2" s="2" t="s">
        <v>10</v>
      </c>
      <c r="D2" s="16" t="s">
        <v>43</v>
      </c>
      <c r="E2" s="14" t="s">
        <v>57</v>
      </c>
      <c r="F2" s="2" t="s">
        <v>34</v>
      </c>
      <c r="G2" s="45"/>
      <c r="H2" s="71"/>
      <c r="I2" s="71">
        <v>44971</v>
      </c>
      <c r="J2" s="71">
        <v>44957</v>
      </c>
      <c r="K2" s="71">
        <v>44953</v>
      </c>
      <c r="L2" s="71">
        <v>44971</v>
      </c>
      <c r="M2" s="71">
        <v>44942</v>
      </c>
      <c r="N2" s="71">
        <v>44951</v>
      </c>
      <c r="O2" s="71">
        <v>44937</v>
      </c>
      <c r="P2" s="71">
        <v>44963</v>
      </c>
      <c r="Q2" s="71">
        <v>44970</v>
      </c>
      <c r="R2" s="71">
        <v>44953</v>
      </c>
      <c r="S2" s="71">
        <v>44963</v>
      </c>
      <c r="T2" s="71"/>
      <c r="U2" s="113"/>
      <c r="V2" s="71">
        <v>44944</v>
      </c>
      <c r="W2" s="71"/>
      <c r="X2" s="71">
        <v>44958</v>
      </c>
      <c r="Y2" s="71">
        <v>44959</v>
      </c>
      <c r="Z2" s="71"/>
      <c r="AA2" s="71">
        <v>44951</v>
      </c>
      <c r="AB2" s="71">
        <v>44959</v>
      </c>
      <c r="AC2" s="71">
        <v>44952</v>
      </c>
      <c r="AD2" s="71">
        <v>44950</v>
      </c>
      <c r="AE2" s="71">
        <v>44964</v>
      </c>
      <c r="AF2" s="71"/>
      <c r="AG2" s="71"/>
      <c r="AH2" s="71"/>
      <c r="AI2" s="71"/>
      <c r="AJ2" s="71">
        <v>44946</v>
      </c>
      <c r="AK2" s="71">
        <v>44958</v>
      </c>
      <c r="AL2" s="71"/>
      <c r="AM2" s="71">
        <v>44950</v>
      </c>
      <c r="AN2" s="71">
        <v>44937</v>
      </c>
      <c r="AO2" s="71">
        <v>44957</v>
      </c>
      <c r="AP2" s="71">
        <v>44957</v>
      </c>
      <c r="AQ2" s="71">
        <v>44957</v>
      </c>
      <c r="AR2" s="71">
        <v>44970</v>
      </c>
      <c r="AS2" s="71">
        <v>44970</v>
      </c>
      <c r="AT2" s="71">
        <v>44970</v>
      </c>
      <c r="AU2" s="71">
        <v>44970</v>
      </c>
      <c r="AV2" s="71"/>
      <c r="AW2" s="71">
        <v>44944</v>
      </c>
      <c r="AX2" s="71">
        <v>44950</v>
      </c>
      <c r="AY2" s="71">
        <v>44959</v>
      </c>
      <c r="AZ2" s="71">
        <v>44965</v>
      </c>
      <c r="BA2" s="71"/>
      <c r="BB2" s="71"/>
      <c r="BC2" s="71">
        <v>44960</v>
      </c>
      <c r="BD2" s="71">
        <v>44964</v>
      </c>
      <c r="BE2" s="71">
        <v>44964</v>
      </c>
      <c r="BF2" s="71">
        <v>44965</v>
      </c>
      <c r="BG2" s="71"/>
      <c r="BH2" s="71">
        <v>44946</v>
      </c>
      <c r="BI2" s="71">
        <v>44956</v>
      </c>
      <c r="BJ2" s="71"/>
      <c r="BK2" s="71">
        <v>44957</v>
      </c>
      <c r="BL2" s="71"/>
      <c r="BM2" s="71">
        <v>44570</v>
      </c>
      <c r="BN2" s="71">
        <v>44957</v>
      </c>
      <c r="BO2" s="71">
        <v>44957</v>
      </c>
      <c r="BP2" s="71"/>
      <c r="BQ2" s="71"/>
      <c r="BR2" s="71">
        <v>44959</v>
      </c>
      <c r="BS2" s="71"/>
      <c r="BT2" s="71">
        <v>44949</v>
      </c>
      <c r="BU2" s="71"/>
      <c r="BV2" s="71">
        <v>44965</v>
      </c>
      <c r="BW2" s="71"/>
      <c r="BX2" s="71">
        <v>44957</v>
      </c>
      <c r="BY2" s="71">
        <v>44957</v>
      </c>
      <c r="BZ2" s="71">
        <v>44939</v>
      </c>
      <c r="CA2" s="71">
        <v>44964</v>
      </c>
      <c r="CB2" s="71"/>
      <c r="CC2" s="71"/>
      <c r="CD2" s="71"/>
      <c r="CE2" s="71">
        <v>44956</v>
      </c>
      <c r="CF2" s="71">
        <v>44936</v>
      </c>
      <c r="CG2" s="71">
        <v>44965</v>
      </c>
      <c r="CH2" s="71"/>
      <c r="CI2" s="71">
        <v>44570</v>
      </c>
      <c r="CJ2" s="71">
        <v>44570</v>
      </c>
      <c r="CK2" s="71">
        <v>44936</v>
      </c>
      <c r="CL2" s="71">
        <v>44937</v>
      </c>
      <c r="CM2" s="71">
        <v>44937</v>
      </c>
      <c r="CN2" s="71">
        <v>44573</v>
      </c>
      <c r="CO2" s="71">
        <v>44945</v>
      </c>
      <c r="CP2" s="71">
        <v>44945</v>
      </c>
      <c r="CQ2" s="71">
        <v>44950</v>
      </c>
      <c r="CR2" s="71">
        <v>44945</v>
      </c>
      <c r="CS2" s="71">
        <v>44949</v>
      </c>
      <c r="CT2" s="71">
        <v>44949</v>
      </c>
      <c r="CU2" s="71">
        <v>44950</v>
      </c>
      <c r="CV2" s="71">
        <v>44950</v>
      </c>
      <c r="CW2" s="71">
        <v>44950</v>
      </c>
      <c r="CX2" s="71">
        <v>44950</v>
      </c>
      <c r="CY2" s="71">
        <v>44950</v>
      </c>
      <c r="CZ2" s="71">
        <v>44951</v>
      </c>
      <c r="DA2" s="71">
        <v>44958</v>
      </c>
      <c r="DB2" s="71">
        <v>44956</v>
      </c>
      <c r="DC2" s="71">
        <v>44957</v>
      </c>
      <c r="DD2" s="71">
        <v>44957</v>
      </c>
      <c r="DE2" s="71">
        <v>44957</v>
      </c>
      <c r="DF2" s="71">
        <v>44957</v>
      </c>
      <c r="DG2" s="71">
        <v>44958</v>
      </c>
      <c r="DH2" s="71">
        <v>44959</v>
      </c>
      <c r="DI2" s="71">
        <v>44960</v>
      </c>
      <c r="DJ2" s="71">
        <v>44963</v>
      </c>
      <c r="DK2" s="71">
        <v>44964</v>
      </c>
      <c r="DL2" s="71"/>
      <c r="DM2" s="71">
        <v>44965</v>
      </c>
      <c r="DN2" s="71">
        <v>44965</v>
      </c>
      <c r="DO2" s="71">
        <v>44967</v>
      </c>
      <c r="DP2" s="71">
        <v>44966</v>
      </c>
      <c r="DQ2" s="71">
        <v>44970</v>
      </c>
      <c r="DR2" s="71">
        <v>44970</v>
      </c>
      <c r="DS2" s="71">
        <v>44971</v>
      </c>
      <c r="DT2" s="71">
        <v>44971</v>
      </c>
      <c r="DU2" s="71">
        <v>44971</v>
      </c>
      <c r="DV2" s="71"/>
      <c r="DW2" s="68"/>
      <c r="DX2" s="5"/>
    </row>
    <row r="3" spans="1:151" x14ac:dyDescent="0.25">
      <c r="A3" s="92" t="s">
        <v>31</v>
      </c>
      <c r="B3" s="10"/>
      <c r="C3" s="3"/>
      <c r="D3" s="94" t="s">
        <v>31</v>
      </c>
      <c r="E3" s="93" t="s">
        <v>31</v>
      </c>
      <c r="F3" s="3" t="s">
        <v>39</v>
      </c>
      <c r="G3" s="43" t="s">
        <v>11</v>
      </c>
      <c r="H3" s="50"/>
      <c r="I3" s="50" t="s">
        <v>31</v>
      </c>
      <c r="J3" s="50" t="s">
        <v>31</v>
      </c>
      <c r="K3" s="50" t="s">
        <v>31</v>
      </c>
      <c r="L3" s="50" t="s">
        <v>31</v>
      </c>
      <c r="M3" s="50" t="s">
        <v>31</v>
      </c>
      <c r="N3" s="50" t="s">
        <v>31</v>
      </c>
      <c r="O3" s="50" t="s">
        <v>31</v>
      </c>
      <c r="P3" s="50" t="s">
        <v>31</v>
      </c>
      <c r="Q3" s="50" t="s">
        <v>31</v>
      </c>
      <c r="R3" s="50" t="s">
        <v>31</v>
      </c>
      <c r="S3" s="50" t="s">
        <v>31</v>
      </c>
      <c r="T3" s="50"/>
      <c r="U3" s="43"/>
      <c r="V3" s="50" t="s">
        <v>31</v>
      </c>
      <c r="W3" s="50"/>
      <c r="X3" s="50" t="s">
        <v>31</v>
      </c>
      <c r="Y3" s="50" t="s">
        <v>31</v>
      </c>
      <c r="Z3" s="50"/>
      <c r="AA3" s="50" t="s">
        <v>31</v>
      </c>
      <c r="AB3" s="50" t="s">
        <v>31</v>
      </c>
      <c r="AC3" s="50" t="s">
        <v>31</v>
      </c>
      <c r="AD3" s="50" t="s">
        <v>31</v>
      </c>
      <c r="AE3" s="50" t="s">
        <v>31</v>
      </c>
      <c r="AF3" s="50"/>
      <c r="AG3" s="50"/>
      <c r="AH3" s="50"/>
      <c r="AI3" s="50"/>
      <c r="AJ3" s="50" t="s">
        <v>31</v>
      </c>
      <c r="AK3" s="50" t="s">
        <v>31</v>
      </c>
      <c r="AL3" s="50"/>
      <c r="AM3" s="50" t="s">
        <v>31</v>
      </c>
      <c r="AN3" s="50" t="s">
        <v>31</v>
      </c>
      <c r="AO3" s="50" t="s">
        <v>31</v>
      </c>
      <c r="AP3" s="50" t="s">
        <v>31</v>
      </c>
      <c r="AQ3" s="50" t="s">
        <v>31</v>
      </c>
      <c r="AR3" s="50" t="s">
        <v>31</v>
      </c>
      <c r="AS3" s="50" t="s">
        <v>31</v>
      </c>
      <c r="AT3" s="50" t="s">
        <v>31</v>
      </c>
      <c r="AU3" s="50" t="s">
        <v>31</v>
      </c>
      <c r="AV3" s="50"/>
      <c r="AW3" s="50" t="s">
        <v>31</v>
      </c>
      <c r="AX3" s="50" t="s">
        <v>31</v>
      </c>
      <c r="AY3" s="50" t="s">
        <v>31</v>
      </c>
      <c r="AZ3" s="50" t="s">
        <v>31</v>
      </c>
      <c r="BA3" s="50"/>
      <c r="BB3" s="50"/>
      <c r="BC3" s="50" t="s">
        <v>31</v>
      </c>
      <c r="BD3" s="50" t="s">
        <v>31</v>
      </c>
      <c r="BE3" s="50" t="s">
        <v>31</v>
      </c>
      <c r="BF3" s="50" t="s">
        <v>31</v>
      </c>
      <c r="BG3" s="50"/>
      <c r="BH3" s="50" t="s">
        <v>31</v>
      </c>
      <c r="BI3" s="50" t="s">
        <v>31</v>
      </c>
      <c r="BJ3" s="50"/>
      <c r="BK3" s="50" t="s">
        <v>31</v>
      </c>
      <c r="BL3" s="50"/>
      <c r="BM3" s="50" t="s">
        <v>31</v>
      </c>
      <c r="BN3" s="50" t="s">
        <v>31</v>
      </c>
      <c r="BO3" s="50" t="s">
        <v>31</v>
      </c>
      <c r="BP3" s="50"/>
      <c r="BQ3" s="50"/>
      <c r="BR3" s="50" t="s">
        <v>31</v>
      </c>
      <c r="BS3" s="50"/>
      <c r="BT3" s="50" t="s">
        <v>31</v>
      </c>
      <c r="BU3" s="50"/>
      <c r="BV3" s="50" t="s">
        <v>31</v>
      </c>
      <c r="BW3" s="50"/>
      <c r="BX3" s="50" t="s">
        <v>31</v>
      </c>
      <c r="BY3" s="50" t="s">
        <v>31</v>
      </c>
      <c r="BZ3" s="50" t="s">
        <v>31</v>
      </c>
      <c r="CA3" s="50" t="s">
        <v>31</v>
      </c>
      <c r="CB3" s="50"/>
      <c r="CC3" s="50"/>
      <c r="CD3" s="50"/>
      <c r="CE3" s="50" t="s">
        <v>31</v>
      </c>
      <c r="CF3" s="50" t="s">
        <v>31</v>
      </c>
      <c r="CG3" s="50" t="s">
        <v>31</v>
      </c>
      <c r="CH3" s="35"/>
      <c r="CI3" s="50" t="s">
        <v>31</v>
      </c>
      <c r="CJ3" s="50" t="s">
        <v>31</v>
      </c>
      <c r="CK3" s="50" t="s">
        <v>31</v>
      </c>
      <c r="CL3" s="50" t="s">
        <v>31</v>
      </c>
      <c r="CM3" s="50" t="s">
        <v>31</v>
      </c>
      <c r="CN3" s="50" t="s">
        <v>31</v>
      </c>
      <c r="CO3" s="50" t="s">
        <v>31</v>
      </c>
      <c r="CP3" s="50" t="s">
        <v>31</v>
      </c>
      <c r="CQ3" s="50" t="s">
        <v>31</v>
      </c>
      <c r="CR3" s="50" t="s">
        <v>31</v>
      </c>
      <c r="CS3" s="50" t="s">
        <v>11</v>
      </c>
      <c r="CT3" s="50" t="s">
        <v>11</v>
      </c>
      <c r="CU3" s="50" t="s">
        <v>31</v>
      </c>
      <c r="CV3" s="50" t="s">
        <v>31</v>
      </c>
      <c r="CW3" s="50" t="s">
        <v>31</v>
      </c>
      <c r="CX3" s="50" t="s">
        <v>31</v>
      </c>
      <c r="CY3" s="50" t="s">
        <v>31</v>
      </c>
      <c r="CZ3" s="50" t="s">
        <v>31</v>
      </c>
      <c r="DA3" s="50" t="s">
        <v>31</v>
      </c>
      <c r="DB3" s="50" t="s">
        <v>11</v>
      </c>
      <c r="DC3" s="50" t="s">
        <v>31</v>
      </c>
      <c r="DD3" s="50" t="s">
        <v>31</v>
      </c>
      <c r="DE3" s="50" t="s">
        <v>31</v>
      </c>
      <c r="DF3" s="50" t="s">
        <v>31</v>
      </c>
      <c r="DG3" s="50" t="s">
        <v>31</v>
      </c>
      <c r="DH3" s="50" t="s">
        <v>31</v>
      </c>
      <c r="DI3" s="50" t="s">
        <v>31</v>
      </c>
      <c r="DJ3" s="50" t="s">
        <v>11</v>
      </c>
      <c r="DK3" s="50" t="s">
        <v>31</v>
      </c>
      <c r="DL3" s="50"/>
      <c r="DM3" s="50" t="s">
        <v>31</v>
      </c>
      <c r="DN3" s="50" t="s">
        <v>31</v>
      </c>
      <c r="DO3" s="50" t="s">
        <v>31</v>
      </c>
      <c r="DP3" s="50" t="s">
        <v>31</v>
      </c>
      <c r="DQ3" s="50" t="s">
        <v>11</v>
      </c>
      <c r="DR3" s="50" t="s">
        <v>31</v>
      </c>
      <c r="DS3" s="50" t="s">
        <v>31</v>
      </c>
      <c r="DT3" s="50" t="s">
        <v>31</v>
      </c>
      <c r="DU3" s="50" t="s">
        <v>31</v>
      </c>
      <c r="DV3" s="50"/>
      <c r="DW3" s="68" t="s">
        <v>31</v>
      </c>
      <c r="DX3" s="5"/>
    </row>
    <row r="4" spans="1:151" x14ac:dyDescent="0.25">
      <c r="A4" s="39" t="s">
        <v>74</v>
      </c>
      <c r="B4" s="60">
        <f t="shared" ref="B4:B67" si="0">SUMIF(G$3:DV$3,"прих",G4:DV4)-SUMIF(G$3:DV$3,"отгр",G4:DV4)</f>
        <v>90</v>
      </c>
      <c r="C4" s="52">
        <v>10</v>
      </c>
      <c r="D4" s="53">
        <v>44879</v>
      </c>
      <c r="E4" s="62">
        <v>37.659999999999997</v>
      </c>
      <c r="F4" s="62">
        <f>E4*B4</f>
        <v>3389.3999999999996</v>
      </c>
      <c r="G4" s="60">
        <v>190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1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>
        <v>100</v>
      </c>
      <c r="AL4" s="35">
        <v>90</v>
      </c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28">
        <f t="shared" ref="DW4:DW67" si="1">$B4-SUMIF($G$3:$IK$3,"",$G4:$IK4)</f>
        <v>0</v>
      </c>
      <c r="DX4" s="5"/>
    </row>
    <row r="5" spans="1:151" x14ac:dyDescent="0.25">
      <c r="A5" s="39" t="s">
        <v>74</v>
      </c>
      <c r="B5" s="60">
        <f t="shared" si="0"/>
        <v>110</v>
      </c>
      <c r="C5" s="52">
        <v>10</v>
      </c>
      <c r="D5" s="53">
        <v>44924</v>
      </c>
      <c r="E5" s="62">
        <v>35.700000000000003</v>
      </c>
      <c r="F5" s="62">
        <f>E5*B5</f>
        <v>3927.0000000000005</v>
      </c>
      <c r="G5" s="60">
        <v>110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1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>
        <v>110</v>
      </c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28">
        <f t="shared" si="1"/>
        <v>0</v>
      </c>
      <c r="DX5" s="5"/>
    </row>
    <row r="6" spans="1:151" x14ac:dyDescent="0.25">
      <c r="A6" s="39" t="s">
        <v>84</v>
      </c>
      <c r="B6" s="60">
        <f t="shared" si="0"/>
        <v>90</v>
      </c>
      <c r="C6" s="52">
        <v>10</v>
      </c>
      <c r="D6" s="55">
        <v>44879</v>
      </c>
      <c r="E6" s="62">
        <v>31.01</v>
      </c>
      <c r="F6" s="62">
        <f t="shared" ref="F6:F80" si="2">E6*B6</f>
        <v>2790.9</v>
      </c>
      <c r="G6" s="60">
        <v>140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1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>
        <v>50</v>
      </c>
      <c r="AL6" s="35">
        <v>90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28">
        <f t="shared" si="1"/>
        <v>0</v>
      </c>
      <c r="DX6" s="5"/>
    </row>
    <row r="7" spans="1:151" x14ac:dyDescent="0.25">
      <c r="A7" s="39" t="s">
        <v>84</v>
      </c>
      <c r="B7" s="60">
        <f t="shared" si="0"/>
        <v>0</v>
      </c>
      <c r="C7" s="52">
        <v>10</v>
      </c>
      <c r="D7" s="54">
        <v>44897</v>
      </c>
      <c r="E7" s="62">
        <v>30.73</v>
      </c>
      <c r="F7" s="62">
        <f t="shared" si="2"/>
        <v>0</v>
      </c>
      <c r="G7" s="60">
        <v>50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1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>
        <v>50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28">
        <f t="shared" si="1"/>
        <v>0</v>
      </c>
      <c r="DX7" s="5"/>
    </row>
    <row r="8" spans="1:151" x14ac:dyDescent="0.25">
      <c r="A8" s="39" t="s">
        <v>84</v>
      </c>
      <c r="B8" s="60">
        <f t="shared" si="0"/>
        <v>110</v>
      </c>
      <c r="C8" s="52">
        <v>10</v>
      </c>
      <c r="D8" s="54">
        <v>44949</v>
      </c>
      <c r="E8" s="62">
        <v>29.55</v>
      </c>
      <c r="F8" s="62">
        <f t="shared" si="2"/>
        <v>3250.5</v>
      </c>
      <c r="G8" s="60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1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>
        <v>110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>
        <v>20</v>
      </c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>
        <v>130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28">
        <f t="shared" si="1"/>
        <v>0</v>
      </c>
      <c r="DX8" s="5"/>
    </row>
    <row r="9" spans="1:151" x14ac:dyDescent="0.25">
      <c r="A9" s="39" t="s">
        <v>179</v>
      </c>
      <c r="B9" s="60">
        <f t="shared" si="0"/>
        <v>0</v>
      </c>
      <c r="C9" s="52">
        <v>10</v>
      </c>
      <c r="D9" s="54">
        <v>44725</v>
      </c>
      <c r="E9" s="62">
        <v>41.81</v>
      </c>
      <c r="F9" s="62">
        <f t="shared" si="2"/>
        <v>0</v>
      </c>
      <c r="G9" s="60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1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28">
        <f t="shared" si="1"/>
        <v>0</v>
      </c>
      <c r="DX9" s="5"/>
    </row>
    <row r="10" spans="1:151" x14ac:dyDescent="0.25">
      <c r="A10" s="39" t="s">
        <v>179</v>
      </c>
      <c r="B10" s="60">
        <f t="shared" si="0"/>
        <v>0</v>
      </c>
      <c r="C10" s="52">
        <v>1</v>
      </c>
      <c r="D10" s="54">
        <v>44858</v>
      </c>
      <c r="E10" s="62">
        <v>53.66</v>
      </c>
      <c r="F10" s="62">
        <f t="shared" si="2"/>
        <v>0</v>
      </c>
      <c r="G10" s="60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1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28">
        <f t="shared" si="1"/>
        <v>0</v>
      </c>
      <c r="DX10" s="5"/>
    </row>
    <row r="11" spans="1:151" x14ac:dyDescent="0.25">
      <c r="A11" s="39" t="s">
        <v>168</v>
      </c>
      <c r="B11" s="60">
        <f t="shared" si="0"/>
        <v>0</v>
      </c>
      <c r="C11" s="52">
        <v>10</v>
      </c>
      <c r="D11" s="55">
        <v>44788</v>
      </c>
      <c r="E11" s="62">
        <v>35.11</v>
      </c>
      <c r="F11" s="62">
        <f t="shared" si="2"/>
        <v>0</v>
      </c>
      <c r="G11" s="60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1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28">
        <f t="shared" si="1"/>
        <v>0</v>
      </c>
      <c r="DX11" s="5"/>
    </row>
    <row r="12" spans="1:151" x14ac:dyDescent="0.25">
      <c r="A12" s="39" t="s">
        <v>168</v>
      </c>
      <c r="B12" s="60">
        <f t="shared" si="0"/>
        <v>0</v>
      </c>
      <c r="C12" s="52">
        <v>10</v>
      </c>
      <c r="D12" s="55">
        <v>44802</v>
      </c>
      <c r="E12" s="62">
        <v>34.729999999999997</v>
      </c>
      <c r="F12" s="62">
        <f t="shared" si="2"/>
        <v>0</v>
      </c>
      <c r="G12" s="60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1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28">
        <f t="shared" si="1"/>
        <v>0</v>
      </c>
      <c r="DX12" s="5"/>
    </row>
    <row r="13" spans="1:151" x14ac:dyDescent="0.25">
      <c r="A13" s="39" t="s">
        <v>216</v>
      </c>
      <c r="B13" s="60">
        <f t="shared" si="0"/>
        <v>10</v>
      </c>
      <c r="C13" s="52">
        <v>10</v>
      </c>
      <c r="D13" s="54">
        <v>44886</v>
      </c>
      <c r="E13" s="62">
        <v>30.73</v>
      </c>
      <c r="F13" s="62">
        <f t="shared" si="2"/>
        <v>307.3</v>
      </c>
      <c r="G13" s="60">
        <v>10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1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>
        <v>10</v>
      </c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28">
        <f t="shared" si="1"/>
        <v>0</v>
      </c>
      <c r="DX13" s="5"/>
    </row>
    <row r="14" spans="1:151" x14ac:dyDescent="0.25">
      <c r="A14" s="39" t="s">
        <v>216</v>
      </c>
      <c r="B14" s="60">
        <f t="shared" si="0"/>
        <v>10</v>
      </c>
      <c r="C14" s="52">
        <v>10</v>
      </c>
      <c r="D14" s="54">
        <v>44924</v>
      </c>
      <c r="E14" s="62">
        <v>29.41</v>
      </c>
      <c r="F14" s="62">
        <f t="shared" si="2"/>
        <v>294.10000000000002</v>
      </c>
      <c r="G14" s="60">
        <v>10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1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>
        <v>10</v>
      </c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28">
        <f t="shared" si="1"/>
        <v>0</v>
      </c>
      <c r="DX14" s="5"/>
    </row>
    <row r="15" spans="1:151" x14ac:dyDescent="0.25">
      <c r="A15" s="39" t="s">
        <v>504</v>
      </c>
      <c r="B15" s="60">
        <f t="shared" si="0"/>
        <v>0</v>
      </c>
      <c r="C15" s="52">
        <v>1</v>
      </c>
      <c r="D15" s="54">
        <v>44781</v>
      </c>
      <c r="E15" s="62">
        <v>60.85</v>
      </c>
      <c r="F15" s="62">
        <f t="shared" si="2"/>
        <v>0</v>
      </c>
      <c r="G15" s="60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1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28">
        <f t="shared" si="1"/>
        <v>0</v>
      </c>
      <c r="DX15" s="5"/>
    </row>
    <row r="16" spans="1:151" x14ac:dyDescent="0.25">
      <c r="A16" s="39" t="s">
        <v>82</v>
      </c>
      <c r="B16" s="60">
        <f t="shared" si="0"/>
        <v>0</v>
      </c>
      <c r="C16" s="52">
        <v>0.8</v>
      </c>
      <c r="D16" s="54">
        <v>44956</v>
      </c>
      <c r="E16" s="62">
        <v>60.94</v>
      </c>
      <c r="F16" s="62">
        <f t="shared" si="2"/>
        <v>0</v>
      </c>
      <c r="G16" s="6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15"/>
      <c r="V16" s="35"/>
      <c r="W16" s="35"/>
      <c r="X16" s="35">
        <v>2.4</v>
      </c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>
        <v>2.4</v>
      </c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28">
        <f t="shared" si="1"/>
        <v>0</v>
      </c>
      <c r="DX16" s="5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</row>
    <row r="17" spans="1:151" x14ac:dyDescent="0.25">
      <c r="A17" s="39" t="s">
        <v>82</v>
      </c>
      <c r="B17" s="60">
        <f t="shared" si="0"/>
        <v>0</v>
      </c>
      <c r="C17" s="52">
        <v>8</v>
      </c>
      <c r="D17" s="54">
        <v>44651</v>
      </c>
      <c r="E17" s="62">
        <v>68.06</v>
      </c>
      <c r="F17" s="62">
        <f t="shared" si="2"/>
        <v>0</v>
      </c>
      <c r="G17" s="60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1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28">
        <f t="shared" si="1"/>
        <v>0</v>
      </c>
      <c r="DX17" s="5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</row>
    <row r="18" spans="1:151" x14ac:dyDescent="0.25">
      <c r="A18" s="39" t="s">
        <v>111</v>
      </c>
      <c r="B18" s="60">
        <f t="shared" si="0"/>
        <v>0</v>
      </c>
      <c r="C18" s="52">
        <v>0.8</v>
      </c>
      <c r="D18" s="54">
        <v>44879</v>
      </c>
      <c r="E18" s="62">
        <v>64.27</v>
      </c>
      <c r="F18" s="62">
        <f t="shared" si="2"/>
        <v>0</v>
      </c>
      <c r="G18" s="60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1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28">
        <f t="shared" si="1"/>
        <v>0</v>
      </c>
      <c r="DX18" s="5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</row>
    <row r="19" spans="1:151" x14ac:dyDescent="0.25">
      <c r="A19" s="39" t="s">
        <v>50</v>
      </c>
      <c r="B19" s="60">
        <f t="shared" si="0"/>
        <v>0</v>
      </c>
      <c r="C19" s="52">
        <v>0.8</v>
      </c>
      <c r="D19" s="55">
        <v>44781</v>
      </c>
      <c r="E19" s="88">
        <v>65.55</v>
      </c>
      <c r="F19" s="62">
        <f t="shared" si="2"/>
        <v>0</v>
      </c>
      <c r="G19" s="60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1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28">
        <f t="shared" si="1"/>
        <v>0</v>
      </c>
      <c r="DX19" s="5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</row>
    <row r="20" spans="1:151" x14ac:dyDescent="0.25">
      <c r="A20" s="47" t="s">
        <v>50</v>
      </c>
      <c r="B20" s="60">
        <f t="shared" si="0"/>
        <v>0</v>
      </c>
      <c r="C20" s="52">
        <v>8</v>
      </c>
      <c r="D20" s="55">
        <v>44949</v>
      </c>
      <c r="E20" s="62">
        <v>56.99</v>
      </c>
      <c r="F20" s="62">
        <f t="shared" si="2"/>
        <v>0</v>
      </c>
      <c r="G20" s="60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1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>
        <v>24</v>
      </c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>
        <v>24</v>
      </c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28">
        <f t="shared" si="1"/>
        <v>0</v>
      </c>
      <c r="DX20" s="5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</row>
    <row r="21" spans="1:151" x14ac:dyDescent="0.25">
      <c r="A21" s="47" t="s">
        <v>264</v>
      </c>
      <c r="B21" s="60">
        <f t="shared" si="0"/>
        <v>0</v>
      </c>
      <c r="C21" s="52">
        <v>8</v>
      </c>
      <c r="D21" s="54">
        <v>44924</v>
      </c>
      <c r="E21" s="62">
        <v>63.02</v>
      </c>
      <c r="F21" s="62">
        <f t="shared" si="2"/>
        <v>0</v>
      </c>
      <c r="G21" s="60">
        <v>16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1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>
        <v>8</v>
      </c>
      <c r="CG21" s="35">
        <v>8</v>
      </c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28">
        <f t="shared" si="1"/>
        <v>0</v>
      </c>
      <c r="DX21" s="5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</row>
    <row r="22" spans="1:151" x14ac:dyDescent="0.25">
      <c r="A22" s="47" t="s">
        <v>206</v>
      </c>
      <c r="B22" s="60">
        <f t="shared" si="0"/>
        <v>0</v>
      </c>
      <c r="C22" s="52">
        <v>1</v>
      </c>
      <c r="D22" s="54">
        <v>44956</v>
      </c>
      <c r="E22" s="62">
        <v>37.83</v>
      </c>
      <c r="F22" s="62">
        <f t="shared" si="2"/>
        <v>0</v>
      </c>
      <c r="G22" s="60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1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>
        <v>1</v>
      </c>
      <c r="DC22" s="35">
        <v>1</v>
      </c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28">
        <f t="shared" si="1"/>
        <v>0</v>
      </c>
      <c r="DX22" s="5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</row>
    <row r="23" spans="1:151" x14ac:dyDescent="0.25">
      <c r="A23" s="47" t="s">
        <v>206</v>
      </c>
      <c r="B23" s="60">
        <f t="shared" si="0"/>
        <v>0</v>
      </c>
      <c r="C23" s="52">
        <v>10</v>
      </c>
      <c r="D23" s="54">
        <v>44956</v>
      </c>
      <c r="E23" s="62">
        <v>33.619999999999997</v>
      </c>
      <c r="F23" s="62">
        <f t="shared" si="2"/>
        <v>0</v>
      </c>
      <c r="G23" s="60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1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>
        <v>10</v>
      </c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>
        <v>10</v>
      </c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28">
        <f t="shared" si="1"/>
        <v>0</v>
      </c>
      <c r="DX23" s="5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</row>
    <row r="24" spans="1:151" x14ac:dyDescent="0.25">
      <c r="A24" s="47" t="s">
        <v>218</v>
      </c>
      <c r="B24" s="60">
        <f t="shared" si="0"/>
        <v>30</v>
      </c>
      <c r="C24" s="52">
        <v>10</v>
      </c>
      <c r="D24" s="54">
        <v>44970</v>
      </c>
      <c r="E24" s="62">
        <v>29.32</v>
      </c>
      <c r="F24" s="62">
        <f t="shared" si="2"/>
        <v>879.6</v>
      </c>
      <c r="G24" s="60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15"/>
      <c r="V24" s="35"/>
      <c r="W24" s="35"/>
      <c r="X24" s="35"/>
      <c r="Y24" s="35"/>
      <c r="Z24" s="35"/>
      <c r="AA24" s="35">
        <v>1</v>
      </c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>
        <v>1</v>
      </c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>
        <v>30</v>
      </c>
      <c r="DR24" s="35"/>
      <c r="DS24" s="35"/>
      <c r="DT24" s="35"/>
      <c r="DU24" s="35"/>
      <c r="DV24" s="35"/>
      <c r="DW24" s="28">
        <f t="shared" si="1"/>
        <v>30</v>
      </c>
      <c r="DX24" s="5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</row>
    <row r="25" spans="1:151" x14ac:dyDescent="0.25">
      <c r="A25" s="47" t="s">
        <v>572</v>
      </c>
      <c r="B25" s="60">
        <f t="shared" si="0"/>
        <v>1</v>
      </c>
      <c r="C25" s="52">
        <v>1</v>
      </c>
      <c r="D25" s="54">
        <v>44970</v>
      </c>
      <c r="E25" s="62">
        <v>31.4</v>
      </c>
      <c r="F25" s="62">
        <f t="shared" si="2"/>
        <v>31.4</v>
      </c>
      <c r="G25" s="60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1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>
        <v>1</v>
      </c>
      <c r="DR25" s="35"/>
      <c r="DS25" s="35"/>
      <c r="DT25" s="35"/>
      <c r="DU25" s="35"/>
      <c r="DV25" s="35"/>
      <c r="DW25" s="28">
        <f t="shared" si="1"/>
        <v>1</v>
      </c>
      <c r="DX25" s="5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</row>
    <row r="26" spans="1:151" x14ac:dyDescent="0.25">
      <c r="A26" s="47" t="s">
        <v>250</v>
      </c>
      <c r="B26" s="60">
        <f t="shared" si="0"/>
        <v>0</v>
      </c>
      <c r="C26" s="52">
        <v>1</v>
      </c>
      <c r="D26" s="54">
        <v>44914</v>
      </c>
      <c r="E26" s="62">
        <v>58.85</v>
      </c>
      <c r="F26" s="62">
        <f t="shared" si="2"/>
        <v>0</v>
      </c>
      <c r="G26" s="60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1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28">
        <f t="shared" si="1"/>
        <v>0</v>
      </c>
      <c r="DX26" s="5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</row>
    <row r="27" spans="1:151" x14ac:dyDescent="0.25">
      <c r="A27" s="39" t="s">
        <v>77</v>
      </c>
      <c r="B27" s="60">
        <f t="shared" si="0"/>
        <v>0</v>
      </c>
      <c r="C27" s="52">
        <v>10</v>
      </c>
      <c r="D27" s="54">
        <v>44816</v>
      </c>
      <c r="E27" s="62">
        <v>50.84</v>
      </c>
      <c r="F27" s="62">
        <f t="shared" si="2"/>
        <v>0</v>
      </c>
      <c r="G27" s="60">
        <v>30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1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>
        <v>10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>
        <v>20</v>
      </c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28">
        <f t="shared" si="1"/>
        <v>0</v>
      </c>
      <c r="DX27" s="5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</row>
    <row r="28" spans="1:151" x14ac:dyDescent="0.25">
      <c r="A28" s="39" t="s">
        <v>77</v>
      </c>
      <c r="B28" s="60">
        <f t="shared" si="0"/>
        <v>20</v>
      </c>
      <c r="C28" s="52">
        <v>10</v>
      </c>
      <c r="D28" s="54">
        <v>44956</v>
      </c>
      <c r="E28" s="62">
        <v>46.21</v>
      </c>
      <c r="F28" s="62">
        <f t="shared" si="2"/>
        <v>924.2</v>
      </c>
      <c r="G28" s="60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1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>
        <v>20</v>
      </c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>
        <v>40</v>
      </c>
      <c r="DC28" s="35"/>
      <c r="DD28" s="35"/>
      <c r="DE28" s="35">
        <v>20</v>
      </c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28">
        <f t="shared" si="1"/>
        <v>0</v>
      </c>
      <c r="DX28" s="5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</row>
    <row r="29" spans="1:151" x14ac:dyDescent="0.25">
      <c r="A29" s="39" t="s">
        <v>321</v>
      </c>
      <c r="B29" s="60">
        <f t="shared" si="0"/>
        <v>0</v>
      </c>
      <c r="C29" s="52">
        <v>9</v>
      </c>
      <c r="D29" s="54">
        <v>44816</v>
      </c>
      <c r="E29" s="62">
        <v>46.22</v>
      </c>
      <c r="F29" s="62">
        <f t="shared" si="2"/>
        <v>0</v>
      </c>
      <c r="G29" s="60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1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28">
        <f t="shared" si="1"/>
        <v>0</v>
      </c>
      <c r="DX29" s="5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</row>
    <row r="30" spans="1:151" x14ac:dyDescent="0.25">
      <c r="A30" s="39" t="s">
        <v>494</v>
      </c>
      <c r="B30" s="60">
        <f t="shared" si="0"/>
        <v>0</v>
      </c>
      <c r="C30" s="52">
        <v>0.9</v>
      </c>
      <c r="D30" s="54">
        <v>44753</v>
      </c>
      <c r="E30" s="62">
        <v>45.68</v>
      </c>
      <c r="F30" s="62">
        <f t="shared" si="2"/>
        <v>0</v>
      </c>
      <c r="G30" s="60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1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28">
        <f t="shared" si="1"/>
        <v>0</v>
      </c>
      <c r="DX30" s="5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</row>
    <row r="31" spans="1:151" s="33" customFormat="1" x14ac:dyDescent="0.25">
      <c r="A31" s="39" t="s">
        <v>105</v>
      </c>
      <c r="B31" s="60">
        <f t="shared" si="0"/>
        <v>27</v>
      </c>
      <c r="C31" s="52">
        <v>9</v>
      </c>
      <c r="D31" s="55">
        <v>44781</v>
      </c>
      <c r="E31" s="62">
        <v>35.119999999999997</v>
      </c>
      <c r="F31" s="62">
        <f t="shared" si="2"/>
        <v>948.2399999999999</v>
      </c>
      <c r="G31" s="60">
        <v>36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1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>
        <v>9</v>
      </c>
      <c r="BW31" s="35">
        <v>27</v>
      </c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28">
        <f t="shared" si="1"/>
        <v>0</v>
      </c>
      <c r="DX31" s="5"/>
    </row>
    <row r="32" spans="1:151" s="33" customFormat="1" x14ac:dyDescent="0.25">
      <c r="A32" s="39" t="s">
        <v>438</v>
      </c>
      <c r="B32" s="60">
        <f t="shared" si="0"/>
        <v>18</v>
      </c>
      <c r="C32" s="52">
        <v>9</v>
      </c>
      <c r="D32" s="55">
        <v>44970</v>
      </c>
      <c r="E32" s="62">
        <v>33.520000000000003</v>
      </c>
      <c r="F32" s="62">
        <f t="shared" si="2"/>
        <v>603.36</v>
      </c>
      <c r="G32" s="60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1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>
        <v>18</v>
      </c>
      <c r="DR32" s="35"/>
      <c r="DS32" s="35"/>
      <c r="DT32" s="35"/>
      <c r="DU32" s="35"/>
      <c r="DV32" s="35"/>
      <c r="DW32" s="28">
        <f t="shared" si="1"/>
        <v>18</v>
      </c>
      <c r="DX32" s="5"/>
    </row>
    <row r="33" spans="1:128" s="33" customFormat="1" x14ac:dyDescent="0.25">
      <c r="A33" s="39" t="s">
        <v>70</v>
      </c>
      <c r="B33" s="60">
        <f t="shared" si="0"/>
        <v>0</v>
      </c>
      <c r="C33" s="52">
        <v>0.9</v>
      </c>
      <c r="D33" s="54">
        <v>44897</v>
      </c>
      <c r="E33" s="62">
        <v>37.31</v>
      </c>
      <c r="F33" s="62">
        <f t="shared" si="2"/>
        <v>0</v>
      </c>
      <c r="G33" s="60">
        <v>3.6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1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>
        <v>3.6</v>
      </c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28">
        <f t="shared" si="1"/>
        <v>0</v>
      </c>
      <c r="DX33" s="5"/>
    </row>
    <row r="34" spans="1:128" s="33" customFormat="1" x14ac:dyDescent="0.25">
      <c r="A34" s="39" t="s">
        <v>70</v>
      </c>
      <c r="B34" s="60">
        <f t="shared" si="0"/>
        <v>0</v>
      </c>
      <c r="C34" s="52">
        <v>0.9</v>
      </c>
      <c r="D34" s="54">
        <v>44956</v>
      </c>
      <c r="E34" s="62">
        <v>35.700000000000003</v>
      </c>
      <c r="F34" s="62">
        <f t="shared" si="2"/>
        <v>0</v>
      </c>
      <c r="G34" s="60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15"/>
      <c r="V34" s="35"/>
      <c r="W34" s="35"/>
      <c r="X34" s="35"/>
      <c r="Y34" s="35"/>
      <c r="Z34" s="35"/>
      <c r="AA34" s="35"/>
      <c r="AB34" s="35"/>
      <c r="AC34" s="35"/>
      <c r="AD34" s="35"/>
      <c r="AE34" s="35">
        <v>0.9</v>
      </c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>
        <v>0.9</v>
      </c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28">
        <f t="shared" si="1"/>
        <v>0</v>
      </c>
      <c r="DX34" s="5"/>
    </row>
    <row r="35" spans="1:128" s="33" customFormat="1" x14ac:dyDescent="0.25">
      <c r="A35" s="39" t="s">
        <v>70</v>
      </c>
      <c r="B35" s="60">
        <f t="shared" si="0"/>
        <v>45</v>
      </c>
      <c r="C35" s="52">
        <v>9</v>
      </c>
      <c r="D35" s="54">
        <v>44897</v>
      </c>
      <c r="E35" s="62">
        <v>32.909999999999997</v>
      </c>
      <c r="F35" s="62">
        <f t="shared" si="2"/>
        <v>1480.9499999999998</v>
      </c>
      <c r="G35" s="60">
        <v>45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1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>
        <v>45</v>
      </c>
      <c r="DW35" s="28">
        <f t="shared" si="1"/>
        <v>0</v>
      </c>
      <c r="DX35" s="5"/>
    </row>
    <row r="36" spans="1:128" s="33" customFormat="1" x14ac:dyDescent="0.25">
      <c r="A36" s="39" t="s">
        <v>447</v>
      </c>
      <c r="B36" s="60">
        <f t="shared" si="0"/>
        <v>0</v>
      </c>
      <c r="C36" s="52">
        <v>1</v>
      </c>
      <c r="D36" s="54">
        <v>44753</v>
      </c>
      <c r="E36" s="62">
        <v>21.64</v>
      </c>
      <c r="F36" s="62">
        <f t="shared" si="2"/>
        <v>0</v>
      </c>
      <c r="G36" s="60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1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28">
        <f t="shared" si="1"/>
        <v>0</v>
      </c>
      <c r="DX36" s="5"/>
    </row>
    <row r="37" spans="1:128" s="33" customFormat="1" x14ac:dyDescent="0.25">
      <c r="A37" s="39" t="s">
        <v>160</v>
      </c>
      <c r="B37" s="60">
        <f t="shared" si="0"/>
        <v>10</v>
      </c>
      <c r="C37" s="52">
        <v>10</v>
      </c>
      <c r="D37" s="54">
        <v>44844</v>
      </c>
      <c r="E37" s="62">
        <v>32.03</v>
      </c>
      <c r="F37" s="62">
        <f t="shared" si="2"/>
        <v>320.3</v>
      </c>
      <c r="G37" s="60">
        <v>20</v>
      </c>
      <c r="H37" s="35"/>
      <c r="I37" s="35"/>
      <c r="J37" s="35">
        <v>10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1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>
        <v>10</v>
      </c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28">
        <f t="shared" si="1"/>
        <v>0</v>
      </c>
      <c r="DX37" s="5"/>
    </row>
    <row r="38" spans="1:128" s="33" customFormat="1" x14ac:dyDescent="0.25">
      <c r="A38" s="39" t="s">
        <v>160</v>
      </c>
      <c r="B38" s="60">
        <f t="shared" si="0"/>
        <v>10</v>
      </c>
      <c r="C38" s="52">
        <v>10</v>
      </c>
      <c r="D38" s="54">
        <v>44893</v>
      </c>
      <c r="E38" s="62">
        <v>30.81</v>
      </c>
      <c r="F38" s="62">
        <f t="shared" si="2"/>
        <v>308.09999999999997</v>
      </c>
      <c r="G38" s="60">
        <v>10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1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>
        <v>10</v>
      </c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28">
        <f t="shared" si="1"/>
        <v>0</v>
      </c>
      <c r="DX38" s="5"/>
    </row>
    <row r="39" spans="1:128" s="33" customFormat="1" x14ac:dyDescent="0.25">
      <c r="A39" s="39" t="s">
        <v>505</v>
      </c>
      <c r="B39" s="60">
        <f t="shared" si="0"/>
        <v>0</v>
      </c>
      <c r="C39" s="52">
        <v>1</v>
      </c>
      <c r="D39" s="54">
        <v>44781</v>
      </c>
      <c r="E39" s="62">
        <v>53.84</v>
      </c>
      <c r="F39" s="62">
        <f t="shared" si="2"/>
        <v>0</v>
      </c>
      <c r="G39" s="60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1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28">
        <f t="shared" si="1"/>
        <v>0</v>
      </c>
      <c r="DX39" s="5"/>
    </row>
    <row r="40" spans="1:128" s="33" customFormat="1" x14ac:dyDescent="0.25">
      <c r="A40" s="39" t="s">
        <v>240</v>
      </c>
      <c r="B40" s="60">
        <f t="shared" si="0"/>
        <v>9</v>
      </c>
      <c r="C40" s="52">
        <v>9</v>
      </c>
      <c r="D40" s="54">
        <v>44669</v>
      </c>
      <c r="E40" s="62">
        <v>37.74</v>
      </c>
      <c r="F40" s="62">
        <f t="shared" si="2"/>
        <v>339.66</v>
      </c>
      <c r="G40" s="60">
        <v>9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>
        <v>9</v>
      </c>
      <c r="U40" s="1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28">
        <f t="shared" si="1"/>
        <v>0</v>
      </c>
      <c r="DX40" s="5"/>
    </row>
    <row r="41" spans="1:128" s="33" customFormat="1" x14ac:dyDescent="0.25">
      <c r="A41" s="39" t="s">
        <v>305</v>
      </c>
      <c r="B41" s="60">
        <f t="shared" si="0"/>
        <v>0</v>
      </c>
      <c r="C41" s="52">
        <v>10</v>
      </c>
      <c r="D41" s="54">
        <v>44858</v>
      </c>
      <c r="E41" s="62">
        <v>40.26</v>
      </c>
      <c r="F41" s="62">
        <f t="shared" si="2"/>
        <v>0</v>
      </c>
      <c r="G41" s="60">
        <v>10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1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>
        <v>10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28">
        <f t="shared" si="1"/>
        <v>0</v>
      </c>
      <c r="DX41" s="5"/>
    </row>
    <row r="42" spans="1:128" s="33" customFormat="1" x14ac:dyDescent="0.25">
      <c r="A42" s="39" t="s">
        <v>343</v>
      </c>
      <c r="B42" s="60">
        <f t="shared" si="0"/>
        <v>30</v>
      </c>
      <c r="C42" s="52">
        <v>10</v>
      </c>
      <c r="D42" s="54">
        <v>44970</v>
      </c>
      <c r="E42" s="62">
        <v>37.72</v>
      </c>
      <c r="F42" s="62">
        <f>E42*B42</f>
        <v>1131.5999999999999</v>
      </c>
      <c r="G42" s="60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1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>
        <v>30</v>
      </c>
      <c r="DC42" s="35"/>
      <c r="DD42" s="35"/>
      <c r="DE42" s="35"/>
      <c r="DF42" s="35">
        <v>30</v>
      </c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>
        <v>30</v>
      </c>
      <c r="DR42" s="35"/>
      <c r="DS42" s="35"/>
      <c r="DT42" s="35"/>
      <c r="DU42" s="35"/>
      <c r="DV42" s="35"/>
      <c r="DW42" s="28">
        <f t="shared" si="1"/>
        <v>30</v>
      </c>
      <c r="DX42" s="5"/>
    </row>
    <row r="43" spans="1:128" s="33" customFormat="1" x14ac:dyDescent="0.25">
      <c r="A43" s="39" t="s">
        <v>102</v>
      </c>
      <c r="B43" s="60">
        <f t="shared" si="0"/>
        <v>0</v>
      </c>
      <c r="C43" s="52">
        <v>10</v>
      </c>
      <c r="D43" s="54">
        <v>44802</v>
      </c>
      <c r="E43" s="62">
        <v>41.67</v>
      </c>
      <c r="F43" s="62">
        <f t="shared" si="2"/>
        <v>0</v>
      </c>
      <c r="G43" s="60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1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28">
        <f t="shared" si="1"/>
        <v>0</v>
      </c>
      <c r="DX43" s="5"/>
    </row>
    <row r="44" spans="1:128" s="33" customFormat="1" x14ac:dyDescent="0.25">
      <c r="A44" s="39" t="s">
        <v>523</v>
      </c>
      <c r="B44" s="60">
        <f t="shared" si="0"/>
        <v>0</v>
      </c>
      <c r="C44" s="52">
        <v>10</v>
      </c>
      <c r="D44" s="54">
        <v>44924</v>
      </c>
      <c r="E44" s="62">
        <v>22.29</v>
      </c>
      <c r="F44" s="62">
        <f t="shared" si="2"/>
        <v>0</v>
      </c>
      <c r="G44" s="60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1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28">
        <f t="shared" si="1"/>
        <v>0</v>
      </c>
      <c r="DX44" s="5"/>
    </row>
    <row r="45" spans="1:128" s="33" customFormat="1" x14ac:dyDescent="0.25">
      <c r="A45" s="39" t="s">
        <v>76</v>
      </c>
      <c r="B45" s="60">
        <f t="shared" si="0"/>
        <v>0</v>
      </c>
      <c r="C45" s="52">
        <v>10</v>
      </c>
      <c r="D45" s="55">
        <v>44914</v>
      </c>
      <c r="E45" s="62">
        <v>52.32</v>
      </c>
      <c r="F45" s="62">
        <f t="shared" si="2"/>
        <v>0</v>
      </c>
      <c r="G45" s="60">
        <v>20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1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>
        <v>20</v>
      </c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28">
        <f t="shared" si="1"/>
        <v>0</v>
      </c>
      <c r="DX45" s="5"/>
    </row>
    <row r="46" spans="1:128" s="33" customFormat="1" x14ac:dyDescent="0.25">
      <c r="A46" s="39" t="s">
        <v>451</v>
      </c>
      <c r="B46" s="60">
        <f t="shared" si="0"/>
        <v>0</v>
      </c>
      <c r="C46" s="52">
        <v>10</v>
      </c>
      <c r="D46" s="55">
        <v>44704</v>
      </c>
      <c r="E46" s="62">
        <v>42.3</v>
      </c>
      <c r="F46" s="62">
        <f t="shared" si="2"/>
        <v>0</v>
      </c>
      <c r="G46" s="60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1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28">
        <f t="shared" si="1"/>
        <v>0</v>
      </c>
      <c r="DX46" s="5"/>
    </row>
    <row r="47" spans="1:128" s="33" customFormat="1" x14ac:dyDescent="0.25">
      <c r="A47" s="47" t="s">
        <v>12</v>
      </c>
      <c r="B47" s="60">
        <f t="shared" si="0"/>
        <v>30</v>
      </c>
      <c r="C47" s="52">
        <v>10</v>
      </c>
      <c r="D47" s="53">
        <v>44893</v>
      </c>
      <c r="E47" s="62">
        <v>24.21</v>
      </c>
      <c r="F47" s="62">
        <f t="shared" si="2"/>
        <v>726.30000000000007</v>
      </c>
      <c r="G47" s="60">
        <v>40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1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>
        <v>10</v>
      </c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>
        <v>30</v>
      </c>
      <c r="DW47" s="28">
        <f t="shared" si="1"/>
        <v>0</v>
      </c>
      <c r="DX47" s="5"/>
    </row>
    <row r="48" spans="1:128" s="33" customFormat="1" x14ac:dyDescent="0.25">
      <c r="A48" s="47" t="s">
        <v>12</v>
      </c>
      <c r="B48" s="60">
        <f t="shared" si="0"/>
        <v>0</v>
      </c>
      <c r="C48" s="52">
        <v>1</v>
      </c>
      <c r="D48" s="53">
        <v>44956</v>
      </c>
      <c r="E48" s="62">
        <v>27.32</v>
      </c>
      <c r="F48" s="62">
        <f t="shared" si="2"/>
        <v>0</v>
      </c>
      <c r="G48" s="60">
        <v>10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1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>
        <v>10</v>
      </c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>
        <v>5</v>
      </c>
      <c r="DC48" s="35"/>
      <c r="DD48" s="35"/>
      <c r="DE48" s="35"/>
      <c r="DF48" s="35"/>
      <c r="DG48" s="35">
        <v>5</v>
      </c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28">
        <f t="shared" si="1"/>
        <v>0</v>
      </c>
      <c r="DX48" s="5"/>
    </row>
    <row r="49" spans="1:128" s="33" customFormat="1" x14ac:dyDescent="0.25">
      <c r="A49" s="47" t="s">
        <v>398</v>
      </c>
      <c r="B49" s="60">
        <f t="shared" si="0"/>
        <v>0</v>
      </c>
      <c r="C49" s="52">
        <v>10</v>
      </c>
      <c r="D49" s="53">
        <v>44680</v>
      </c>
      <c r="E49" s="62">
        <v>30.37</v>
      </c>
      <c r="F49" s="62">
        <f t="shared" si="2"/>
        <v>0</v>
      </c>
      <c r="G49" s="60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1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28">
        <f t="shared" si="1"/>
        <v>0</v>
      </c>
      <c r="DX49" s="5"/>
    </row>
    <row r="50" spans="1:128" s="33" customFormat="1" x14ac:dyDescent="0.25">
      <c r="A50" s="47" t="s">
        <v>54</v>
      </c>
      <c r="B50" s="60">
        <f t="shared" si="0"/>
        <v>0</v>
      </c>
      <c r="C50" s="52">
        <v>1</v>
      </c>
      <c r="D50" s="54">
        <v>44956</v>
      </c>
      <c r="E50" s="62">
        <v>52.51</v>
      </c>
      <c r="F50" s="62">
        <f t="shared" si="2"/>
        <v>0</v>
      </c>
      <c r="G50" s="60">
        <v>10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1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>
        <v>10</v>
      </c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>
        <v>5</v>
      </c>
      <c r="DC50" s="35"/>
      <c r="DD50" s="35"/>
      <c r="DE50" s="35"/>
      <c r="DF50" s="35"/>
      <c r="DG50" s="35">
        <v>5</v>
      </c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28">
        <f t="shared" si="1"/>
        <v>0</v>
      </c>
      <c r="DX50" s="5"/>
    </row>
    <row r="51" spans="1:128" s="33" customFormat="1" x14ac:dyDescent="0.25">
      <c r="A51" s="47" t="s">
        <v>405</v>
      </c>
      <c r="B51" s="60">
        <f t="shared" si="0"/>
        <v>0</v>
      </c>
      <c r="C51" s="52">
        <v>1</v>
      </c>
      <c r="D51" s="54">
        <v>44753</v>
      </c>
      <c r="E51" s="62">
        <v>43.28</v>
      </c>
      <c r="F51" s="62">
        <f t="shared" si="2"/>
        <v>0</v>
      </c>
      <c r="G51" s="60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1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28">
        <f t="shared" si="1"/>
        <v>0</v>
      </c>
      <c r="DX51" s="5"/>
    </row>
    <row r="52" spans="1:128" s="33" customFormat="1" x14ac:dyDescent="0.25">
      <c r="A52" s="47" t="s">
        <v>141</v>
      </c>
      <c r="B52" s="60">
        <f t="shared" si="0"/>
        <v>0</v>
      </c>
      <c r="C52" s="52">
        <v>10</v>
      </c>
      <c r="D52" s="54">
        <v>44949</v>
      </c>
      <c r="E52" s="62">
        <v>31.64</v>
      </c>
      <c r="F52" s="62">
        <f t="shared" si="2"/>
        <v>0</v>
      </c>
      <c r="G52" s="60">
        <v>110</v>
      </c>
      <c r="H52" s="35"/>
      <c r="I52" s="35"/>
      <c r="J52" s="35"/>
      <c r="K52" s="35"/>
      <c r="L52" s="35"/>
      <c r="M52" s="35"/>
      <c r="N52" s="35"/>
      <c r="O52" s="35">
        <v>100</v>
      </c>
      <c r="P52" s="35"/>
      <c r="Q52" s="35">
        <v>90</v>
      </c>
      <c r="R52" s="35"/>
      <c r="S52" s="35"/>
      <c r="T52" s="35"/>
      <c r="U52" s="1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>
        <v>20</v>
      </c>
      <c r="CR52" s="35"/>
      <c r="CS52" s="35">
        <v>100</v>
      </c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28">
        <f t="shared" si="1"/>
        <v>0</v>
      </c>
      <c r="DX52" s="5"/>
    </row>
    <row r="53" spans="1:128" s="33" customFormat="1" x14ac:dyDescent="0.25">
      <c r="A53" s="47" t="s">
        <v>141</v>
      </c>
      <c r="B53" s="60">
        <f t="shared" si="0"/>
        <v>10</v>
      </c>
      <c r="C53" s="52">
        <v>10</v>
      </c>
      <c r="D53" s="54">
        <v>44956</v>
      </c>
      <c r="E53" s="62">
        <v>31.49</v>
      </c>
      <c r="F53" s="62">
        <f t="shared" si="2"/>
        <v>314.89999999999998</v>
      </c>
      <c r="G53" s="60"/>
      <c r="H53" s="35"/>
      <c r="I53" s="35"/>
      <c r="J53" s="35"/>
      <c r="K53" s="35"/>
      <c r="L53" s="35"/>
      <c r="M53" s="35"/>
      <c r="N53" s="35"/>
      <c r="O53" s="35"/>
      <c r="P53" s="35">
        <v>10</v>
      </c>
      <c r="Q53" s="35">
        <v>10</v>
      </c>
      <c r="R53" s="35"/>
      <c r="S53" s="35"/>
      <c r="T53" s="35"/>
      <c r="U53" s="15"/>
      <c r="V53" s="35"/>
      <c r="W53" s="35"/>
      <c r="X53" s="35"/>
      <c r="Y53" s="35"/>
      <c r="Z53" s="35"/>
      <c r="AA53" s="35"/>
      <c r="AB53" s="35"/>
      <c r="AC53" s="35"/>
      <c r="AD53" s="35"/>
      <c r="AE53" s="35">
        <v>30</v>
      </c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>
        <v>60</v>
      </c>
      <c r="DC53" s="35"/>
      <c r="DD53" s="35"/>
      <c r="DE53" s="35"/>
      <c r="DF53" s="35"/>
      <c r="DG53" s="35"/>
      <c r="DH53" s="35"/>
      <c r="DI53" s="35"/>
      <c r="DJ53" s="35"/>
      <c r="DK53" s="35"/>
      <c r="DL53" s="35">
        <v>10</v>
      </c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28">
        <f t="shared" si="1"/>
        <v>0</v>
      </c>
      <c r="DX53" s="5"/>
    </row>
    <row r="54" spans="1:128" s="33" customFormat="1" x14ac:dyDescent="0.25">
      <c r="A54" s="47" t="s">
        <v>169</v>
      </c>
      <c r="B54" s="60">
        <f t="shared" si="0"/>
        <v>10</v>
      </c>
      <c r="C54" s="52">
        <v>10</v>
      </c>
      <c r="D54" s="54">
        <v>44970</v>
      </c>
      <c r="E54" s="62">
        <v>31.4</v>
      </c>
      <c r="F54" s="62">
        <f t="shared" si="2"/>
        <v>314</v>
      </c>
      <c r="G54" s="60">
        <v>10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1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>
        <v>10</v>
      </c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>
        <v>10</v>
      </c>
      <c r="DR54" s="35"/>
      <c r="DS54" s="35"/>
      <c r="DT54" s="35"/>
      <c r="DU54" s="35"/>
      <c r="DV54" s="35"/>
      <c r="DW54" s="28">
        <f t="shared" si="1"/>
        <v>10</v>
      </c>
      <c r="DX54" s="5"/>
    </row>
    <row r="55" spans="1:128" s="33" customFormat="1" x14ac:dyDescent="0.25">
      <c r="A55" s="47" t="s">
        <v>120</v>
      </c>
      <c r="B55" s="60">
        <f t="shared" si="0"/>
        <v>2</v>
      </c>
      <c r="C55" s="52">
        <v>1</v>
      </c>
      <c r="D55" s="55">
        <v>44767</v>
      </c>
      <c r="E55" s="62">
        <v>48.66</v>
      </c>
      <c r="F55" s="62">
        <f t="shared" si="2"/>
        <v>97.32</v>
      </c>
      <c r="G55" s="60">
        <v>2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1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>
        <v>2</v>
      </c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28">
        <f t="shared" si="1"/>
        <v>0</v>
      </c>
      <c r="DX55" s="5"/>
    </row>
    <row r="56" spans="1:128" s="33" customFormat="1" x14ac:dyDescent="0.25">
      <c r="A56" s="47" t="s">
        <v>120</v>
      </c>
      <c r="B56" s="60">
        <f t="shared" si="0"/>
        <v>0</v>
      </c>
      <c r="C56" s="52">
        <v>10</v>
      </c>
      <c r="D56" s="55">
        <v>44949</v>
      </c>
      <c r="E56" s="62">
        <v>42.2</v>
      </c>
      <c r="F56" s="62">
        <f t="shared" si="2"/>
        <v>0</v>
      </c>
      <c r="G56" s="60"/>
      <c r="H56" s="35"/>
      <c r="I56" s="35"/>
      <c r="J56" s="35"/>
      <c r="K56" s="35">
        <v>200</v>
      </c>
      <c r="L56" s="35"/>
      <c r="M56" s="35"/>
      <c r="N56" s="35"/>
      <c r="O56" s="35"/>
      <c r="P56" s="35"/>
      <c r="Q56" s="35"/>
      <c r="R56" s="35"/>
      <c r="S56" s="35"/>
      <c r="T56" s="35"/>
      <c r="U56" s="1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>
        <v>200</v>
      </c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28">
        <f t="shared" si="1"/>
        <v>0</v>
      </c>
      <c r="DX56" s="5"/>
    </row>
    <row r="57" spans="1:128" s="33" customFormat="1" x14ac:dyDescent="0.25">
      <c r="A57" s="47" t="s">
        <v>249</v>
      </c>
      <c r="B57" s="60">
        <f t="shared" si="0"/>
        <v>0</v>
      </c>
      <c r="C57" s="52">
        <v>1</v>
      </c>
      <c r="D57" s="54">
        <v>44685</v>
      </c>
      <c r="E57" s="62">
        <v>44.97</v>
      </c>
      <c r="F57" s="62">
        <f t="shared" si="2"/>
        <v>0</v>
      </c>
      <c r="G57" s="60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1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28">
        <f t="shared" si="1"/>
        <v>0</v>
      </c>
      <c r="DX57" s="5"/>
    </row>
    <row r="58" spans="1:128" s="33" customFormat="1" x14ac:dyDescent="0.25">
      <c r="A58" s="47" t="s">
        <v>424</v>
      </c>
      <c r="B58" s="60">
        <f t="shared" si="0"/>
        <v>0</v>
      </c>
      <c r="C58" s="52">
        <v>5</v>
      </c>
      <c r="D58" s="54">
        <v>44924</v>
      </c>
      <c r="E58" s="62">
        <v>37.83</v>
      </c>
      <c r="F58" s="62">
        <f t="shared" si="2"/>
        <v>0</v>
      </c>
      <c r="G58" s="60">
        <v>10</v>
      </c>
      <c r="H58" s="35"/>
      <c r="I58" s="35"/>
      <c r="J58" s="35"/>
      <c r="K58" s="35"/>
      <c r="L58" s="35"/>
      <c r="M58" s="35">
        <v>10</v>
      </c>
      <c r="N58" s="35"/>
      <c r="O58" s="35"/>
      <c r="P58" s="35"/>
      <c r="Q58" s="35"/>
      <c r="R58" s="35"/>
      <c r="S58" s="35"/>
      <c r="T58" s="35"/>
      <c r="U58" s="1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28">
        <f t="shared" si="1"/>
        <v>0</v>
      </c>
      <c r="DX58" s="5"/>
    </row>
    <row r="59" spans="1:128" s="33" customFormat="1" x14ac:dyDescent="0.25">
      <c r="A59" s="39" t="s">
        <v>214</v>
      </c>
      <c r="B59" s="60">
        <f t="shared" si="0"/>
        <v>0</v>
      </c>
      <c r="C59" s="52">
        <v>10</v>
      </c>
      <c r="D59" s="55">
        <v>44732</v>
      </c>
      <c r="E59" s="62">
        <v>41.31</v>
      </c>
      <c r="F59" s="62">
        <f t="shared" si="2"/>
        <v>0</v>
      </c>
      <c r="G59" s="60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1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28">
        <f t="shared" si="1"/>
        <v>0</v>
      </c>
      <c r="DX59" s="5"/>
    </row>
    <row r="60" spans="1:128" s="33" customFormat="1" x14ac:dyDescent="0.25">
      <c r="A60" s="47" t="s">
        <v>231</v>
      </c>
      <c r="B60" s="60">
        <f t="shared" si="0"/>
        <v>0</v>
      </c>
      <c r="C60" s="52">
        <v>10</v>
      </c>
      <c r="D60" s="54">
        <v>44494</v>
      </c>
      <c r="E60" s="62">
        <v>17.93</v>
      </c>
      <c r="F60" s="62">
        <f t="shared" si="2"/>
        <v>0</v>
      </c>
      <c r="G60" s="60">
        <v>10</v>
      </c>
      <c r="H60" s="35"/>
      <c r="I60" s="35"/>
      <c r="J60" s="35">
        <v>10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1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28">
        <f t="shared" si="1"/>
        <v>0</v>
      </c>
      <c r="DX60" s="5"/>
    </row>
    <row r="61" spans="1:128" s="33" customFormat="1" x14ac:dyDescent="0.25">
      <c r="A61" s="47" t="s">
        <v>265</v>
      </c>
      <c r="B61" s="60">
        <f t="shared" si="0"/>
        <v>10</v>
      </c>
      <c r="C61" s="52">
        <v>10</v>
      </c>
      <c r="D61" s="54">
        <v>44865</v>
      </c>
      <c r="E61" s="62">
        <v>31.01</v>
      </c>
      <c r="F61" s="62">
        <f t="shared" si="2"/>
        <v>310.10000000000002</v>
      </c>
      <c r="G61" s="60">
        <v>10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1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>
        <v>10</v>
      </c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28">
        <f t="shared" si="1"/>
        <v>0</v>
      </c>
      <c r="DX61" s="5"/>
    </row>
    <row r="62" spans="1:128" s="33" customFormat="1" x14ac:dyDescent="0.25">
      <c r="A62" s="47" t="s">
        <v>265</v>
      </c>
      <c r="B62" s="60">
        <f t="shared" si="0"/>
        <v>0</v>
      </c>
      <c r="C62" s="52">
        <v>1</v>
      </c>
      <c r="D62" s="54">
        <v>44956</v>
      </c>
      <c r="E62" s="62">
        <v>33.619999999999997</v>
      </c>
      <c r="F62" s="62">
        <f t="shared" si="2"/>
        <v>0</v>
      </c>
      <c r="G62" s="60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1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>
        <v>4</v>
      </c>
      <c r="DC62" s="35"/>
      <c r="DD62" s="35"/>
      <c r="DE62" s="35"/>
      <c r="DF62" s="35">
        <v>4</v>
      </c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28">
        <f t="shared" si="1"/>
        <v>0</v>
      </c>
      <c r="DX62" s="5"/>
    </row>
    <row r="63" spans="1:128" s="33" customFormat="1" x14ac:dyDescent="0.25">
      <c r="A63" s="47" t="s">
        <v>265</v>
      </c>
      <c r="B63" s="60">
        <f t="shared" si="0"/>
        <v>20</v>
      </c>
      <c r="C63" s="52">
        <v>10</v>
      </c>
      <c r="D63" s="54">
        <v>44956</v>
      </c>
      <c r="E63" s="62">
        <v>29.41</v>
      </c>
      <c r="F63" s="62">
        <f t="shared" si="2"/>
        <v>588.20000000000005</v>
      </c>
      <c r="G63" s="60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1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>
        <v>20</v>
      </c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>
        <v>20</v>
      </c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28">
        <f t="shared" si="1"/>
        <v>0</v>
      </c>
      <c r="DX63" s="5"/>
    </row>
    <row r="64" spans="1:128" s="33" customFormat="1" x14ac:dyDescent="0.25">
      <c r="A64" s="47" t="s">
        <v>482</v>
      </c>
      <c r="B64" s="60">
        <f t="shared" si="0"/>
        <v>12</v>
      </c>
      <c r="C64" s="52">
        <v>12</v>
      </c>
      <c r="D64" s="54">
        <v>44725</v>
      </c>
      <c r="E64" s="62">
        <v>17.52</v>
      </c>
      <c r="F64" s="62">
        <f t="shared" si="2"/>
        <v>210.24</v>
      </c>
      <c r="G64" s="60">
        <v>12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1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>
        <v>12</v>
      </c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28">
        <f t="shared" si="1"/>
        <v>0</v>
      </c>
      <c r="DX64" s="5"/>
    </row>
    <row r="65" spans="1:128" s="33" customFormat="1" x14ac:dyDescent="0.25">
      <c r="A65" s="47" t="s">
        <v>419</v>
      </c>
      <c r="B65" s="60">
        <f t="shared" si="0"/>
        <v>0</v>
      </c>
      <c r="C65" s="52">
        <v>12</v>
      </c>
      <c r="D65" s="54">
        <v>44865</v>
      </c>
      <c r="E65" s="62">
        <v>19.93</v>
      </c>
      <c r="F65" s="62">
        <f t="shared" si="2"/>
        <v>0</v>
      </c>
      <c r="G65" s="60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1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28">
        <f t="shared" si="1"/>
        <v>0</v>
      </c>
      <c r="DX65" s="5"/>
    </row>
    <row r="66" spans="1:128" s="33" customFormat="1" x14ac:dyDescent="0.25">
      <c r="A66" s="47" t="s">
        <v>459</v>
      </c>
      <c r="B66" s="60">
        <f t="shared" si="0"/>
        <v>0</v>
      </c>
      <c r="C66" s="52">
        <v>1</v>
      </c>
      <c r="D66" s="54">
        <v>44711</v>
      </c>
      <c r="E66" s="62">
        <v>47.01</v>
      </c>
      <c r="F66" s="62">
        <f t="shared" si="2"/>
        <v>0</v>
      </c>
      <c r="G66" s="60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1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28">
        <f t="shared" si="1"/>
        <v>0</v>
      </c>
      <c r="DX66" s="5"/>
    </row>
    <row r="67" spans="1:128" s="33" customFormat="1" ht="13.5" customHeight="1" x14ac:dyDescent="0.25">
      <c r="A67" s="47" t="s">
        <v>66</v>
      </c>
      <c r="B67" s="60">
        <f t="shared" si="0"/>
        <v>180</v>
      </c>
      <c r="C67" s="52">
        <v>10</v>
      </c>
      <c r="D67" s="55">
        <v>44781</v>
      </c>
      <c r="E67" s="62">
        <v>32.86</v>
      </c>
      <c r="F67" s="62">
        <f t="shared" si="2"/>
        <v>5914.8</v>
      </c>
      <c r="G67" s="60">
        <v>200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1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>
        <v>20</v>
      </c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>
        <v>180</v>
      </c>
      <c r="DW67" s="28">
        <f t="shared" si="1"/>
        <v>0</v>
      </c>
      <c r="DX67" s="5"/>
    </row>
    <row r="68" spans="1:128" s="33" customFormat="1" ht="13.5" customHeight="1" x14ac:dyDescent="0.25">
      <c r="A68" s="47" t="s">
        <v>66</v>
      </c>
      <c r="B68" s="60">
        <f t="shared" ref="B68:B131" si="3">SUMIF(G$3:DV$3,"прих",G68:DV68)-SUMIF(G$3:DV$3,"отгр",G68:DV68)</f>
        <v>0</v>
      </c>
      <c r="C68" s="52">
        <v>10</v>
      </c>
      <c r="D68" s="55">
        <v>44775</v>
      </c>
      <c r="E68" s="62">
        <v>33.47</v>
      </c>
      <c r="F68" s="62">
        <f t="shared" si="2"/>
        <v>0</v>
      </c>
      <c r="G68" s="60">
        <v>50</v>
      </c>
      <c r="H68" s="35"/>
      <c r="I68" s="35"/>
      <c r="J68" s="35">
        <v>10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1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>
        <v>40</v>
      </c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28">
        <f t="shared" ref="DW68:DW131" si="4">$B68-SUMIF($G$3:$IK$3,"",$G68:$IK68)</f>
        <v>0</v>
      </c>
      <c r="DX68" s="5"/>
    </row>
    <row r="69" spans="1:128" s="33" customFormat="1" ht="13.5" customHeight="1" x14ac:dyDescent="0.25">
      <c r="A69" s="47" t="s">
        <v>446</v>
      </c>
      <c r="B69" s="60">
        <f t="shared" si="3"/>
        <v>0</v>
      </c>
      <c r="C69" s="52">
        <v>1</v>
      </c>
      <c r="D69" s="55">
        <v>44753</v>
      </c>
      <c r="E69" s="62">
        <v>21.65</v>
      </c>
      <c r="F69" s="62">
        <f t="shared" si="2"/>
        <v>0</v>
      </c>
      <c r="G69" s="60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1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28">
        <f t="shared" si="4"/>
        <v>0</v>
      </c>
      <c r="DX69" s="5"/>
    </row>
    <row r="70" spans="1:128" s="33" customFormat="1" ht="13.5" customHeight="1" x14ac:dyDescent="0.25">
      <c r="A70" s="47" t="s">
        <v>366</v>
      </c>
      <c r="B70" s="60">
        <f t="shared" si="3"/>
        <v>0</v>
      </c>
      <c r="C70" s="52">
        <v>10</v>
      </c>
      <c r="D70" s="55">
        <v>44851</v>
      </c>
      <c r="E70" s="62">
        <v>43.81</v>
      </c>
      <c r="F70" s="62">
        <f t="shared" si="2"/>
        <v>0</v>
      </c>
      <c r="G70" s="60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1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28">
        <f t="shared" si="4"/>
        <v>0</v>
      </c>
      <c r="DX70" s="5"/>
    </row>
    <row r="71" spans="1:128" s="33" customFormat="1" ht="13.5" customHeight="1" x14ac:dyDescent="0.25">
      <c r="A71" s="47" t="s">
        <v>337</v>
      </c>
      <c r="B71" s="60">
        <f t="shared" si="3"/>
        <v>90</v>
      </c>
      <c r="C71" s="52">
        <v>10</v>
      </c>
      <c r="D71" s="55">
        <v>44879</v>
      </c>
      <c r="E71" s="62">
        <v>46.54</v>
      </c>
      <c r="F71" s="62">
        <f t="shared" si="2"/>
        <v>4188.6000000000004</v>
      </c>
      <c r="G71" s="60">
        <v>200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1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>
        <v>20</v>
      </c>
      <c r="AK71" s="35">
        <v>60</v>
      </c>
      <c r="AL71" s="35">
        <v>90</v>
      </c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>
        <v>30</v>
      </c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28">
        <f t="shared" si="4"/>
        <v>0</v>
      </c>
      <c r="DX71" s="5"/>
    </row>
    <row r="72" spans="1:128" s="33" customFormat="1" ht="13.5" customHeight="1" x14ac:dyDescent="0.25">
      <c r="A72" s="47" t="s">
        <v>337</v>
      </c>
      <c r="B72" s="60">
        <f t="shared" si="3"/>
        <v>50</v>
      </c>
      <c r="C72" s="52">
        <v>10</v>
      </c>
      <c r="D72" s="55">
        <v>44949</v>
      </c>
      <c r="E72" s="62">
        <v>44.13</v>
      </c>
      <c r="F72" s="62">
        <f t="shared" si="2"/>
        <v>2206.5</v>
      </c>
      <c r="G72" s="60">
        <v>40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1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>
        <v>50</v>
      </c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>
        <v>10</v>
      </c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28">
        <f t="shared" si="4"/>
        <v>0</v>
      </c>
      <c r="DX72" s="5"/>
    </row>
    <row r="73" spans="1:128" s="33" customFormat="1" ht="13.5" customHeight="1" x14ac:dyDescent="0.25">
      <c r="A73" s="47" t="s">
        <v>337</v>
      </c>
      <c r="B73" s="60">
        <f t="shared" si="3"/>
        <v>2</v>
      </c>
      <c r="C73" s="52">
        <v>1</v>
      </c>
      <c r="D73" s="55">
        <v>44970</v>
      </c>
      <c r="E73" s="62">
        <v>46.08</v>
      </c>
      <c r="F73" s="62">
        <f t="shared" si="2"/>
        <v>92.16</v>
      </c>
      <c r="G73" s="60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1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>
        <v>2</v>
      </c>
      <c r="DR73" s="35"/>
      <c r="DS73" s="35"/>
      <c r="DT73" s="35"/>
      <c r="DU73" s="35"/>
      <c r="DV73" s="35"/>
      <c r="DW73" s="28">
        <f t="shared" si="4"/>
        <v>2</v>
      </c>
      <c r="DX73" s="5"/>
    </row>
    <row r="74" spans="1:128" s="33" customFormat="1" ht="13.5" customHeight="1" x14ac:dyDescent="0.25">
      <c r="A74" s="47" t="s">
        <v>462</v>
      </c>
      <c r="B74" s="60">
        <f t="shared" si="3"/>
        <v>0</v>
      </c>
      <c r="C74" s="52">
        <v>1</v>
      </c>
      <c r="D74" s="55">
        <v>44753</v>
      </c>
      <c r="E74" s="62">
        <v>55.3</v>
      </c>
      <c r="F74" s="62">
        <f t="shared" si="2"/>
        <v>0</v>
      </c>
      <c r="G74" s="60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1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28">
        <f t="shared" si="4"/>
        <v>0</v>
      </c>
      <c r="DX74" s="5"/>
    </row>
    <row r="75" spans="1:128" s="33" customFormat="1" ht="13.5" customHeight="1" x14ac:dyDescent="0.25">
      <c r="A75" s="47" t="s">
        <v>336</v>
      </c>
      <c r="B75" s="60">
        <f t="shared" si="3"/>
        <v>30</v>
      </c>
      <c r="C75" s="52">
        <v>10</v>
      </c>
      <c r="D75" s="55">
        <v>44732</v>
      </c>
      <c r="E75" s="62">
        <v>14.6</v>
      </c>
      <c r="F75" s="62">
        <f t="shared" si="2"/>
        <v>438</v>
      </c>
      <c r="G75" s="60">
        <v>30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1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>
        <v>30</v>
      </c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28">
        <f t="shared" si="4"/>
        <v>0</v>
      </c>
      <c r="DX75" s="5"/>
    </row>
    <row r="76" spans="1:128" s="33" customFormat="1" ht="13.5" customHeight="1" x14ac:dyDescent="0.25">
      <c r="A76" s="47" t="s">
        <v>200</v>
      </c>
      <c r="B76" s="60">
        <f t="shared" si="3"/>
        <v>170</v>
      </c>
      <c r="C76" s="52">
        <v>10</v>
      </c>
      <c r="D76" s="55">
        <v>44897</v>
      </c>
      <c r="E76" s="62">
        <v>39.54</v>
      </c>
      <c r="F76" s="62">
        <f t="shared" si="2"/>
        <v>6721.8</v>
      </c>
      <c r="G76" s="60">
        <v>190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1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>
        <v>20</v>
      </c>
      <c r="AK76" s="35"/>
      <c r="AL76" s="35">
        <v>170</v>
      </c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28">
        <f t="shared" si="4"/>
        <v>0</v>
      </c>
      <c r="DX76" s="5"/>
    </row>
    <row r="77" spans="1:128" s="33" customFormat="1" ht="13.5" customHeight="1" x14ac:dyDescent="0.25">
      <c r="A77" s="47" t="s">
        <v>200</v>
      </c>
      <c r="B77" s="60">
        <f t="shared" si="3"/>
        <v>0</v>
      </c>
      <c r="C77" s="52">
        <v>10</v>
      </c>
      <c r="D77" s="55">
        <v>44924</v>
      </c>
      <c r="E77" s="62">
        <v>37.83</v>
      </c>
      <c r="F77" s="62">
        <f t="shared" si="2"/>
        <v>0</v>
      </c>
      <c r="G77" s="60">
        <v>60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1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>
        <v>60</v>
      </c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28">
        <f t="shared" si="4"/>
        <v>0</v>
      </c>
      <c r="DX77" s="5"/>
    </row>
    <row r="78" spans="1:128" s="33" customFormat="1" x14ac:dyDescent="0.25">
      <c r="A78" s="47" t="s">
        <v>237</v>
      </c>
      <c r="B78" s="60">
        <f t="shared" si="3"/>
        <v>0</v>
      </c>
      <c r="C78" s="89">
        <v>1.1000000000000001</v>
      </c>
      <c r="D78" s="54">
        <v>44781</v>
      </c>
      <c r="E78" s="62">
        <v>53.83</v>
      </c>
      <c r="F78" s="62">
        <f t="shared" si="2"/>
        <v>0</v>
      </c>
      <c r="G78" s="60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1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28">
        <f t="shared" si="4"/>
        <v>0</v>
      </c>
      <c r="DX78" s="5"/>
    </row>
    <row r="79" spans="1:128" s="33" customFormat="1" x14ac:dyDescent="0.25">
      <c r="A79" s="47" t="s">
        <v>212</v>
      </c>
      <c r="B79" s="60">
        <f t="shared" si="3"/>
        <v>0</v>
      </c>
      <c r="C79" s="89">
        <v>1</v>
      </c>
      <c r="D79" s="54">
        <v>44753</v>
      </c>
      <c r="E79" s="62">
        <v>45.7</v>
      </c>
      <c r="F79" s="62">
        <f t="shared" si="2"/>
        <v>0</v>
      </c>
      <c r="G79" s="60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1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28">
        <f t="shared" si="4"/>
        <v>0</v>
      </c>
      <c r="DX79" s="5"/>
    </row>
    <row r="80" spans="1:128" s="33" customFormat="1" x14ac:dyDescent="0.25">
      <c r="A80" s="47" t="s">
        <v>486</v>
      </c>
      <c r="B80" s="60">
        <f t="shared" si="3"/>
        <v>0</v>
      </c>
      <c r="C80" s="89">
        <v>1.1000000000000001</v>
      </c>
      <c r="D80" s="54">
        <v>44851</v>
      </c>
      <c r="E80" s="62">
        <v>145.25</v>
      </c>
      <c r="F80" s="62">
        <f t="shared" si="2"/>
        <v>0</v>
      </c>
      <c r="G80" s="60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1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28">
        <f t="shared" si="4"/>
        <v>0</v>
      </c>
      <c r="DX80" s="5"/>
    </row>
    <row r="81" spans="1:128" s="33" customFormat="1" ht="12" customHeight="1" x14ac:dyDescent="0.25">
      <c r="A81" s="47" t="s">
        <v>117</v>
      </c>
      <c r="B81" s="60">
        <f t="shared" si="3"/>
        <v>60</v>
      </c>
      <c r="C81" s="52">
        <v>10</v>
      </c>
      <c r="D81" s="55">
        <v>44886</v>
      </c>
      <c r="E81" s="62">
        <v>31.85</v>
      </c>
      <c r="F81" s="62">
        <f t="shared" ref="F81:F161" si="5">E81*B81</f>
        <v>1911</v>
      </c>
      <c r="G81" s="60">
        <v>440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1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>
        <v>60</v>
      </c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>
        <v>140</v>
      </c>
      <c r="CL81" s="35"/>
      <c r="CM81" s="35"/>
      <c r="CN81" s="35"/>
      <c r="CO81" s="35"/>
      <c r="CP81" s="35"/>
      <c r="CQ81" s="35"/>
      <c r="CR81" s="35">
        <v>100</v>
      </c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>
        <v>80</v>
      </c>
      <c r="DI81" s="35"/>
      <c r="DJ81" s="35"/>
      <c r="DK81" s="35"/>
      <c r="DL81" s="35"/>
      <c r="DM81" s="35">
        <v>60</v>
      </c>
      <c r="DN81" s="35"/>
      <c r="DO81" s="35"/>
      <c r="DP81" s="35"/>
      <c r="DQ81" s="35"/>
      <c r="DR81" s="35"/>
      <c r="DS81" s="35"/>
      <c r="DT81" s="35"/>
      <c r="DU81" s="35"/>
      <c r="DV81" s="35"/>
      <c r="DW81" s="28">
        <f t="shared" si="4"/>
        <v>0</v>
      </c>
      <c r="DX81" s="5"/>
    </row>
    <row r="82" spans="1:128" s="33" customFormat="1" ht="12" customHeight="1" x14ac:dyDescent="0.25">
      <c r="A82" s="47" t="s">
        <v>117</v>
      </c>
      <c r="B82" s="60">
        <f t="shared" si="3"/>
        <v>90</v>
      </c>
      <c r="C82" s="52">
        <v>10</v>
      </c>
      <c r="D82" s="55">
        <v>44949</v>
      </c>
      <c r="E82" s="62">
        <v>31.64</v>
      </c>
      <c r="F82" s="62">
        <f t="shared" si="5"/>
        <v>2847.6</v>
      </c>
      <c r="G82" s="60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1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>
        <v>100</v>
      </c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>
        <v>10</v>
      </c>
      <c r="DN82" s="35"/>
      <c r="DO82" s="35"/>
      <c r="DP82" s="35"/>
      <c r="DQ82" s="35"/>
      <c r="DR82" s="35"/>
      <c r="DS82" s="35"/>
      <c r="DT82" s="35"/>
      <c r="DU82" s="35"/>
      <c r="DV82" s="35">
        <v>90</v>
      </c>
      <c r="DW82" s="28">
        <f t="shared" si="4"/>
        <v>0</v>
      </c>
      <c r="DX82" s="5"/>
    </row>
    <row r="83" spans="1:128" s="33" customFormat="1" ht="12" customHeight="1" x14ac:dyDescent="0.25">
      <c r="A83" s="47" t="s">
        <v>117</v>
      </c>
      <c r="B83" s="60">
        <f t="shared" si="3"/>
        <v>370</v>
      </c>
      <c r="C83" s="52">
        <v>10</v>
      </c>
      <c r="D83" s="55">
        <v>44970</v>
      </c>
      <c r="E83" s="62">
        <v>30.39</v>
      </c>
      <c r="F83" s="62">
        <f t="shared" si="5"/>
        <v>11244.300000000001</v>
      </c>
      <c r="G83" s="60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1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>
        <v>370</v>
      </c>
      <c r="DR83" s="35"/>
      <c r="DS83" s="35"/>
      <c r="DT83" s="35"/>
      <c r="DU83" s="35"/>
      <c r="DV83" s="35"/>
      <c r="DW83" s="28">
        <f t="shared" si="4"/>
        <v>370</v>
      </c>
      <c r="DX83" s="5"/>
    </row>
    <row r="84" spans="1:128" s="33" customFormat="1" ht="12" customHeight="1" x14ac:dyDescent="0.25">
      <c r="A84" s="47" t="s">
        <v>235</v>
      </c>
      <c r="B84" s="60">
        <f t="shared" si="3"/>
        <v>0</v>
      </c>
      <c r="C84" s="52">
        <v>1</v>
      </c>
      <c r="D84" s="55">
        <v>44858</v>
      </c>
      <c r="E84" s="62">
        <v>53.66</v>
      </c>
      <c r="F84" s="62">
        <f t="shared" si="5"/>
        <v>0</v>
      </c>
      <c r="G84" s="60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1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28">
        <f t="shared" si="4"/>
        <v>0</v>
      </c>
      <c r="DX84" s="5"/>
    </row>
    <row r="85" spans="1:128" s="33" customFormat="1" ht="12" customHeight="1" x14ac:dyDescent="0.25">
      <c r="A85" s="47" t="s">
        <v>436</v>
      </c>
      <c r="B85" s="60">
        <f t="shared" si="3"/>
        <v>0</v>
      </c>
      <c r="C85" s="52">
        <v>0.8</v>
      </c>
      <c r="D85" s="55">
        <v>44970</v>
      </c>
      <c r="E85" s="62">
        <v>69.12</v>
      </c>
      <c r="F85" s="62">
        <f t="shared" si="5"/>
        <v>0</v>
      </c>
      <c r="G85" s="60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1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>
        <v>0.8</v>
      </c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>
        <v>0.8</v>
      </c>
      <c r="DR85" s="35"/>
      <c r="DS85" s="35"/>
      <c r="DT85" s="35"/>
      <c r="DU85" s="35"/>
      <c r="DV85" s="35"/>
      <c r="DW85" s="28">
        <f t="shared" si="4"/>
        <v>0</v>
      </c>
      <c r="DX85" s="5"/>
    </row>
    <row r="86" spans="1:128" s="33" customFormat="1" ht="12" customHeight="1" x14ac:dyDescent="0.25">
      <c r="A86" s="47" t="s">
        <v>497</v>
      </c>
      <c r="B86" s="60">
        <f t="shared" si="3"/>
        <v>0</v>
      </c>
      <c r="C86" s="52">
        <v>9</v>
      </c>
      <c r="D86" s="55">
        <v>44775</v>
      </c>
      <c r="E86" s="62">
        <v>62.16</v>
      </c>
      <c r="F86" s="62">
        <f t="shared" si="5"/>
        <v>0</v>
      </c>
      <c r="G86" s="60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1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28">
        <f t="shared" si="4"/>
        <v>0</v>
      </c>
      <c r="DX86" s="5"/>
    </row>
    <row r="87" spans="1:128" s="33" customFormat="1" ht="12" customHeight="1" x14ac:dyDescent="0.25">
      <c r="A87" s="47" t="s">
        <v>464</v>
      </c>
      <c r="B87" s="60">
        <f t="shared" si="3"/>
        <v>0</v>
      </c>
      <c r="C87" s="52">
        <v>0.9</v>
      </c>
      <c r="D87" s="55">
        <v>44949</v>
      </c>
      <c r="E87" s="62">
        <v>101.29</v>
      </c>
      <c r="F87" s="62">
        <f t="shared" si="5"/>
        <v>0</v>
      </c>
      <c r="G87" s="60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1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>
        <v>2.7</v>
      </c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>
        <v>2.7</v>
      </c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28">
        <f t="shared" si="4"/>
        <v>0</v>
      </c>
      <c r="DX87" s="5"/>
    </row>
    <row r="88" spans="1:128" s="33" customFormat="1" x14ac:dyDescent="0.25">
      <c r="A88" s="47" t="s">
        <v>13</v>
      </c>
      <c r="B88" s="60">
        <f t="shared" si="3"/>
        <v>306</v>
      </c>
      <c r="C88" s="52">
        <v>9</v>
      </c>
      <c r="D88" s="54">
        <v>44914</v>
      </c>
      <c r="E88" s="65">
        <v>29.63</v>
      </c>
      <c r="F88" s="62">
        <f t="shared" si="5"/>
        <v>9066.7799999999988</v>
      </c>
      <c r="G88" s="60">
        <v>351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1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>
        <v>45</v>
      </c>
      <c r="AZ88" s="35"/>
      <c r="BA88" s="35"/>
      <c r="BB88" s="35">
        <v>306</v>
      </c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28">
        <f t="shared" si="4"/>
        <v>0</v>
      </c>
      <c r="DX88" s="5"/>
    </row>
    <row r="89" spans="1:128" s="33" customFormat="1" x14ac:dyDescent="0.25">
      <c r="A89" s="47" t="s">
        <v>244</v>
      </c>
      <c r="B89" s="60">
        <f t="shared" si="3"/>
        <v>0</v>
      </c>
      <c r="C89" s="52">
        <v>1</v>
      </c>
      <c r="D89" s="54">
        <v>44949</v>
      </c>
      <c r="E89" s="65">
        <v>35.869999999999997</v>
      </c>
      <c r="F89" s="62">
        <f t="shared" si="5"/>
        <v>0</v>
      </c>
      <c r="G89" s="60"/>
      <c r="H89" s="35"/>
      <c r="I89" s="35"/>
      <c r="J89" s="35"/>
      <c r="K89" s="35">
        <v>5</v>
      </c>
      <c r="L89" s="35"/>
      <c r="M89" s="35"/>
      <c r="N89" s="35"/>
      <c r="O89" s="35"/>
      <c r="P89" s="35"/>
      <c r="Q89" s="35"/>
      <c r="R89" s="35"/>
      <c r="S89" s="35"/>
      <c r="T89" s="35"/>
      <c r="U89" s="1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>
        <v>5</v>
      </c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28">
        <f t="shared" si="4"/>
        <v>0</v>
      </c>
      <c r="DX89" s="5"/>
    </row>
    <row r="90" spans="1:128" s="33" customFormat="1" x14ac:dyDescent="0.25">
      <c r="A90" s="47" t="s">
        <v>257</v>
      </c>
      <c r="B90" s="60">
        <f t="shared" si="3"/>
        <v>10</v>
      </c>
      <c r="C90" s="52">
        <v>10</v>
      </c>
      <c r="D90" s="55">
        <v>44893</v>
      </c>
      <c r="E90" s="65">
        <v>31.16</v>
      </c>
      <c r="F90" s="62">
        <f t="shared" si="5"/>
        <v>311.60000000000002</v>
      </c>
      <c r="G90" s="60">
        <v>10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1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>
        <v>10</v>
      </c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28">
        <f t="shared" si="4"/>
        <v>0</v>
      </c>
      <c r="DX90" s="5"/>
    </row>
    <row r="91" spans="1:128" s="33" customFormat="1" x14ac:dyDescent="0.25">
      <c r="A91" s="47" t="s">
        <v>498</v>
      </c>
      <c r="B91" s="60">
        <f t="shared" si="3"/>
        <v>0</v>
      </c>
      <c r="C91" s="52">
        <v>1</v>
      </c>
      <c r="D91" s="54">
        <v>44775</v>
      </c>
      <c r="E91" s="65">
        <v>45.44</v>
      </c>
      <c r="F91" s="62">
        <f t="shared" si="5"/>
        <v>0</v>
      </c>
      <c r="G91" s="60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1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28">
        <f t="shared" si="4"/>
        <v>0</v>
      </c>
      <c r="DX91" s="5"/>
    </row>
    <row r="92" spans="1:128" s="33" customFormat="1" x14ac:dyDescent="0.25">
      <c r="A92" s="47" t="s">
        <v>537</v>
      </c>
      <c r="B92" s="60">
        <f t="shared" si="3"/>
        <v>0</v>
      </c>
      <c r="C92" s="52">
        <v>1</v>
      </c>
      <c r="D92" s="54">
        <v>44949</v>
      </c>
      <c r="E92" s="65">
        <v>38.01</v>
      </c>
      <c r="F92" s="62">
        <f t="shared" si="5"/>
        <v>0</v>
      </c>
      <c r="G92" s="60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1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>
        <v>3</v>
      </c>
      <c r="CT92" s="35"/>
      <c r="CU92" s="35"/>
      <c r="CV92" s="35"/>
      <c r="CW92" s="35">
        <v>3</v>
      </c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28">
        <f t="shared" si="4"/>
        <v>0</v>
      </c>
      <c r="DX92" s="5"/>
    </row>
    <row r="93" spans="1:128" s="33" customFormat="1" x14ac:dyDescent="0.25">
      <c r="A93" s="39" t="s">
        <v>135</v>
      </c>
      <c r="B93" s="60">
        <f t="shared" si="3"/>
        <v>0</v>
      </c>
      <c r="C93" s="52">
        <v>1</v>
      </c>
      <c r="D93" s="55">
        <v>44897</v>
      </c>
      <c r="E93" s="65">
        <v>39.54</v>
      </c>
      <c r="F93" s="62">
        <f t="shared" si="5"/>
        <v>0</v>
      </c>
      <c r="G93" s="60">
        <v>5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1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>
        <v>5</v>
      </c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28">
        <f t="shared" si="4"/>
        <v>0</v>
      </c>
      <c r="DX93" s="5"/>
    </row>
    <row r="94" spans="1:128" s="33" customFormat="1" x14ac:dyDescent="0.25">
      <c r="A94" s="39" t="s">
        <v>495</v>
      </c>
      <c r="B94" s="60">
        <f t="shared" si="3"/>
        <v>0</v>
      </c>
      <c r="C94" s="52">
        <v>1.1000000000000001</v>
      </c>
      <c r="D94" s="55">
        <v>44753</v>
      </c>
      <c r="E94" s="65">
        <v>74.540000000000006</v>
      </c>
      <c r="F94" s="62">
        <f t="shared" si="5"/>
        <v>0</v>
      </c>
      <c r="G94" s="60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1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28">
        <f t="shared" si="4"/>
        <v>0</v>
      </c>
      <c r="DX94" s="5"/>
    </row>
    <row r="95" spans="1:128" s="33" customFormat="1" x14ac:dyDescent="0.25">
      <c r="A95" s="39" t="s">
        <v>78</v>
      </c>
      <c r="B95" s="60">
        <f t="shared" si="3"/>
        <v>0</v>
      </c>
      <c r="C95" s="52">
        <v>1</v>
      </c>
      <c r="D95" s="55">
        <v>44956</v>
      </c>
      <c r="E95" s="65">
        <v>37.83</v>
      </c>
      <c r="F95" s="62">
        <f t="shared" si="5"/>
        <v>0</v>
      </c>
      <c r="G95" s="60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15"/>
      <c r="V95" s="35"/>
      <c r="W95" s="35"/>
      <c r="X95" s="35">
        <v>2</v>
      </c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>
        <v>2</v>
      </c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28">
        <f t="shared" si="4"/>
        <v>0</v>
      </c>
      <c r="DX95" s="5"/>
    </row>
    <row r="96" spans="1:128" s="33" customFormat="1" x14ac:dyDescent="0.25">
      <c r="A96" s="39" t="s">
        <v>106</v>
      </c>
      <c r="B96" s="60">
        <f t="shared" si="3"/>
        <v>0</v>
      </c>
      <c r="C96" s="52">
        <v>0.9</v>
      </c>
      <c r="D96" s="55">
        <v>44732</v>
      </c>
      <c r="E96" s="65">
        <v>33.85</v>
      </c>
      <c r="F96" s="62">
        <f t="shared" si="5"/>
        <v>0</v>
      </c>
      <c r="G96" s="60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1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28">
        <f t="shared" si="4"/>
        <v>0</v>
      </c>
      <c r="DX96" s="5"/>
    </row>
    <row r="97" spans="1:128" s="33" customFormat="1" x14ac:dyDescent="0.25">
      <c r="A97" s="39" t="s">
        <v>324</v>
      </c>
      <c r="B97" s="60">
        <f t="shared" si="3"/>
        <v>0</v>
      </c>
      <c r="C97" s="52">
        <v>1</v>
      </c>
      <c r="D97" s="55">
        <v>44760</v>
      </c>
      <c r="E97" s="65">
        <v>51.23</v>
      </c>
      <c r="F97" s="62">
        <f t="shared" si="5"/>
        <v>0</v>
      </c>
      <c r="G97" s="60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1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28">
        <f t="shared" si="4"/>
        <v>0</v>
      </c>
      <c r="DX97" s="5"/>
    </row>
    <row r="98" spans="1:128" s="33" customFormat="1" x14ac:dyDescent="0.25">
      <c r="A98" s="39" t="s">
        <v>256</v>
      </c>
      <c r="B98" s="60">
        <f t="shared" si="3"/>
        <v>30</v>
      </c>
      <c r="C98" s="52">
        <v>10</v>
      </c>
      <c r="D98" s="55">
        <v>44949</v>
      </c>
      <c r="E98" s="65">
        <v>35.869999999999997</v>
      </c>
      <c r="F98" s="62">
        <f t="shared" si="5"/>
        <v>1076.0999999999999</v>
      </c>
      <c r="G98" s="60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1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>
        <v>50</v>
      </c>
      <c r="BW98" s="35">
        <v>30</v>
      </c>
      <c r="BX98" s="35"/>
      <c r="BY98" s="35"/>
      <c r="BZ98" s="35"/>
      <c r="CA98" s="35"/>
      <c r="CB98" s="35"/>
      <c r="CC98" s="35"/>
      <c r="CD98" s="35"/>
      <c r="CE98" s="35">
        <v>10</v>
      </c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>
        <v>90</v>
      </c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28">
        <f t="shared" si="4"/>
        <v>0</v>
      </c>
      <c r="DX98" s="5"/>
    </row>
    <row r="99" spans="1:128" s="33" customFormat="1" x14ac:dyDescent="0.25">
      <c r="A99" s="39" t="s">
        <v>220</v>
      </c>
      <c r="B99" s="60">
        <f t="shared" si="3"/>
        <v>0</v>
      </c>
      <c r="C99" s="52">
        <v>10</v>
      </c>
      <c r="D99" s="54">
        <v>44760</v>
      </c>
      <c r="E99" s="65">
        <v>27.94</v>
      </c>
      <c r="F99" s="62">
        <f t="shared" si="5"/>
        <v>0</v>
      </c>
      <c r="G99" s="60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1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28">
        <f t="shared" si="4"/>
        <v>0</v>
      </c>
      <c r="DX99" s="5"/>
    </row>
    <row r="100" spans="1:128" s="33" customFormat="1" ht="13.5" customHeight="1" x14ac:dyDescent="0.25">
      <c r="A100" s="39" t="s">
        <v>80</v>
      </c>
      <c r="B100" s="60">
        <f t="shared" si="3"/>
        <v>20</v>
      </c>
      <c r="C100" s="52">
        <v>10</v>
      </c>
      <c r="D100" s="54">
        <v>44651</v>
      </c>
      <c r="E100" s="65">
        <v>30.87</v>
      </c>
      <c r="F100" s="62">
        <f t="shared" si="5"/>
        <v>617.4</v>
      </c>
      <c r="G100" s="60">
        <v>20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1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>
        <v>20</v>
      </c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28">
        <f t="shared" si="4"/>
        <v>0</v>
      </c>
      <c r="DX100" s="5"/>
    </row>
    <row r="101" spans="1:128" s="33" customFormat="1" x14ac:dyDescent="0.25">
      <c r="A101" s="39" t="s">
        <v>489</v>
      </c>
      <c r="B101" s="60">
        <f t="shared" si="3"/>
        <v>0</v>
      </c>
      <c r="C101" s="52">
        <v>1</v>
      </c>
      <c r="D101" s="54">
        <v>44753</v>
      </c>
      <c r="E101" s="65">
        <v>79.349999999999994</v>
      </c>
      <c r="F101" s="62">
        <f t="shared" si="5"/>
        <v>0</v>
      </c>
      <c r="G101" s="60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1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28">
        <f t="shared" si="4"/>
        <v>0</v>
      </c>
      <c r="DX101" s="5"/>
    </row>
    <row r="102" spans="1:128" s="33" customFormat="1" x14ac:dyDescent="0.25">
      <c r="A102" s="39" t="s">
        <v>162</v>
      </c>
      <c r="B102" s="60">
        <f t="shared" si="3"/>
        <v>0</v>
      </c>
      <c r="C102" s="52">
        <v>1</v>
      </c>
      <c r="D102" s="54">
        <v>44732</v>
      </c>
      <c r="E102" s="65">
        <v>43.48</v>
      </c>
      <c r="F102" s="62">
        <f t="shared" si="5"/>
        <v>0</v>
      </c>
      <c r="G102" s="60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1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28">
        <f t="shared" si="4"/>
        <v>0</v>
      </c>
      <c r="DX102" s="5"/>
    </row>
    <row r="103" spans="1:128" s="33" customFormat="1" x14ac:dyDescent="0.25">
      <c r="A103" s="39" t="s">
        <v>490</v>
      </c>
      <c r="B103" s="60">
        <f t="shared" si="3"/>
        <v>0</v>
      </c>
      <c r="C103" s="52">
        <v>0.9</v>
      </c>
      <c r="D103" s="54">
        <v>44753</v>
      </c>
      <c r="E103" s="65">
        <v>105.8</v>
      </c>
      <c r="F103" s="62">
        <f t="shared" si="5"/>
        <v>0</v>
      </c>
      <c r="G103" s="60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1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28">
        <f t="shared" si="4"/>
        <v>0</v>
      </c>
      <c r="DX103" s="5"/>
    </row>
    <row r="104" spans="1:128" s="33" customFormat="1" x14ac:dyDescent="0.25">
      <c r="A104" s="47" t="s">
        <v>60</v>
      </c>
      <c r="B104" s="60">
        <f t="shared" si="3"/>
        <v>2.7000000000000006</v>
      </c>
      <c r="C104" s="52">
        <v>0.9</v>
      </c>
      <c r="D104" s="55">
        <v>44970</v>
      </c>
      <c r="E104" s="66">
        <v>73.319999999999993</v>
      </c>
      <c r="F104" s="62">
        <f t="shared" si="5"/>
        <v>197.96400000000003</v>
      </c>
      <c r="G104" s="60">
        <v>3.6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15"/>
      <c r="V104" s="35"/>
      <c r="W104" s="35"/>
      <c r="X104" s="35"/>
      <c r="Y104" s="35"/>
      <c r="Z104" s="35"/>
      <c r="AA104" s="35"/>
      <c r="AB104" s="35">
        <v>3.6</v>
      </c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>
        <v>2.7</v>
      </c>
      <c r="DR104" s="35"/>
      <c r="DS104" s="35"/>
      <c r="DT104" s="35"/>
      <c r="DU104" s="35"/>
      <c r="DV104" s="35"/>
      <c r="DW104" s="28">
        <f t="shared" si="4"/>
        <v>2.7000000000000006</v>
      </c>
      <c r="DX104" s="5"/>
    </row>
    <row r="105" spans="1:128" s="33" customFormat="1" x14ac:dyDescent="0.25">
      <c r="A105" s="47" t="s">
        <v>60</v>
      </c>
      <c r="B105" s="60">
        <f t="shared" si="3"/>
        <v>0</v>
      </c>
      <c r="C105" s="52">
        <v>9</v>
      </c>
      <c r="D105" s="55">
        <v>44956</v>
      </c>
      <c r="E105" s="66">
        <v>69.319999999999993</v>
      </c>
      <c r="F105" s="62">
        <f t="shared" si="5"/>
        <v>0</v>
      </c>
      <c r="G105" s="60">
        <v>18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1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>
        <v>18</v>
      </c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>
        <v>27</v>
      </c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>
        <v>27</v>
      </c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28">
        <f t="shared" si="4"/>
        <v>0</v>
      </c>
      <c r="DX105" s="5"/>
    </row>
    <row r="106" spans="1:128" s="33" customFormat="1" x14ac:dyDescent="0.25">
      <c r="A106" s="47" t="s">
        <v>27</v>
      </c>
      <c r="B106" s="60">
        <f t="shared" si="3"/>
        <v>0</v>
      </c>
      <c r="C106" s="52">
        <v>1</v>
      </c>
      <c r="D106" s="54">
        <v>44956</v>
      </c>
      <c r="E106" s="62">
        <v>33.619999999999997</v>
      </c>
      <c r="F106" s="62">
        <f t="shared" si="5"/>
        <v>0</v>
      </c>
      <c r="G106" s="60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15"/>
      <c r="V106" s="35"/>
      <c r="W106" s="35"/>
      <c r="X106" s="35">
        <v>2</v>
      </c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>
        <v>2</v>
      </c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28">
        <f t="shared" si="4"/>
        <v>0</v>
      </c>
      <c r="DX106" s="5"/>
    </row>
    <row r="107" spans="1:128" s="33" customFormat="1" x14ac:dyDescent="0.25">
      <c r="A107" s="47" t="s">
        <v>207</v>
      </c>
      <c r="B107" s="60">
        <f t="shared" si="3"/>
        <v>20</v>
      </c>
      <c r="C107" s="52">
        <v>10</v>
      </c>
      <c r="D107" s="54">
        <v>44893</v>
      </c>
      <c r="E107" s="62">
        <v>39.630000000000003</v>
      </c>
      <c r="F107" s="62">
        <f t="shared" si="5"/>
        <v>792.6</v>
      </c>
      <c r="G107" s="60">
        <v>20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1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>
        <v>20</v>
      </c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28">
        <f t="shared" si="4"/>
        <v>0</v>
      </c>
    </row>
    <row r="108" spans="1:128" s="33" customFormat="1" x14ac:dyDescent="0.25">
      <c r="A108" s="47" t="s">
        <v>207</v>
      </c>
      <c r="B108" s="60">
        <f t="shared" si="3"/>
        <v>0</v>
      </c>
      <c r="C108" s="52">
        <v>1</v>
      </c>
      <c r="D108" s="54">
        <v>44956</v>
      </c>
      <c r="E108" s="62">
        <v>39.92</v>
      </c>
      <c r="F108" s="62">
        <f t="shared" si="5"/>
        <v>0</v>
      </c>
      <c r="G108" s="60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1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>
        <v>1</v>
      </c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>
        <v>1</v>
      </c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28">
        <f t="shared" si="4"/>
        <v>0</v>
      </c>
    </row>
    <row r="109" spans="1:128" s="33" customFormat="1" x14ac:dyDescent="0.25">
      <c r="A109" s="39" t="s">
        <v>71</v>
      </c>
      <c r="B109" s="60">
        <f t="shared" si="3"/>
        <v>70</v>
      </c>
      <c r="C109" s="52">
        <v>10</v>
      </c>
      <c r="D109" s="54">
        <v>44669</v>
      </c>
      <c r="E109" s="62">
        <v>37.74</v>
      </c>
      <c r="F109" s="62">
        <f t="shared" si="5"/>
        <v>2641.8</v>
      </c>
      <c r="G109" s="60">
        <v>70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1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>
        <v>70</v>
      </c>
      <c r="DW109" s="28">
        <f t="shared" si="4"/>
        <v>0</v>
      </c>
      <c r="DX109" s="5"/>
    </row>
    <row r="110" spans="1:128" s="33" customFormat="1" x14ac:dyDescent="0.25">
      <c r="A110" s="39" t="s">
        <v>71</v>
      </c>
      <c r="B110" s="60">
        <f t="shared" si="3"/>
        <v>0</v>
      </c>
      <c r="C110" s="52">
        <v>1</v>
      </c>
      <c r="D110" s="54">
        <v>44924</v>
      </c>
      <c r="E110" s="62">
        <v>42</v>
      </c>
      <c r="F110" s="62">
        <f t="shared" si="5"/>
        <v>0</v>
      </c>
      <c r="G110" s="60">
        <v>1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1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>
        <v>1</v>
      </c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28">
        <f t="shared" si="4"/>
        <v>0</v>
      </c>
      <c r="DX110" s="5"/>
    </row>
    <row r="111" spans="1:128" s="33" customFormat="1" x14ac:dyDescent="0.25">
      <c r="A111" s="39" t="s">
        <v>118</v>
      </c>
      <c r="B111" s="60">
        <f t="shared" si="3"/>
        <v>0</v>
      </c>
      <c r="C111" s="52">
        <v>1</v>
      </c>
      <c r="D111" s="54">
        <v>44760</v>
      </c>
      <c r="E111" s="62">
        <v>51.23</v>
      </c>
      <c r="F111" s="62">
        <f t="shared" si="5"/>
        <v>0</v>
      </c>
      <c r="G111" s="60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1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28">
        <f t="shared" si="4"/>
        <v>0</v>
      </c>
      <c r="DX111" s="5"/>
    </row>
    <row r="112" spans="1:128" s="33" customFormat="1" x14ac:dyDescent="0.25">
      <c r="A112" s="39" t="s">
        <v>356</v>
      </c>
      <c r="B112" s="60">
        <f t="shared" si="3"/>
        <v>0</v>
      </c>
      <c r="C112" s="52">
        <v>1</v>
      </c>
      <c r="D112" s="54">
        <v>44886</v>
      </c>
      <c r="E112" s="62">
        <v>50.48</v>
      </c>
      <c r="F112" s="62">
        <f t="shared" si="5"/>
        <v>0</v>
      </c>
      <c r="G112" s="60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1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28">
        <f t="shared" si="4"/>
        <v>0</v>
      </c>
      <c r="DX112" s="5"/>
    </row>
    <row r="113" spans="1:128" s="33" customFormat="1" x14ac:dyDescent="0.25">
      <c r="A113" s="39" t="s">
        <v>233</v>
      </c>
      <c r="B113" s="60">
        <f t="shared" si="3"/>
        <v>10</v>
      </c>
      <c r="C113" s="52">
        <v>10</v>
      </c>
      <c r="D113" s="55">
        <v>44651</v>
      </c>
      <c r="E113" s="62">
        <v>55.39</v>
      </c>
      <c r="F113" s="62">
        <f t="shared" si="5"/>
        <v>553.9</v>
      </c>
      <c r="G113" s="60">
        <v>10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1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>
        <v>10</v>
      </c>
      <c r="DW113" s="28">
        <f t="shared" si="4"/>
        <v>0</v>
      </c>
      <c r="DX113" s="5"/>
    </row>
    <row r="114" spans="1:128" s="33" customFormat="1" x14ac:dyDescent="0.25">
      <c r="A114" s="39" t="s">
        <v>448</v>
      </c>
      <c r="B114" s="60">
        <f t="shared" si="3"/>
        <v>0</v>
      </c>
      <c r="C114" s="52">
        <v>5</v>
      </c>
      <c r="D114" s="55">
        <v>44956</v>
      </c>
      <c r="E114" s="62">
        <v>16.809999999999999</v>
      </c>
      <c r="F114" s="62">
        <f t="shared" si="5"/>
        <v>0</v>
      </c>
      <c r="G114" s="60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1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>
        <v>5</v>
      </c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>
        <v>5</v>
      </c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28">
        <f t="shared" si="4"/>
        <v>0</v>
      </c>
      <c r="DX114" s="5"/>
    </row>
    <row r="115" spans="1:128" s="33" customFormat="1" x14ac:dyDescent="0.25">
      <c r="A115" s="39" t="s">
        <v>164</v>
      </c>
      <c r="B115" s="60">
        <f t="shared" si="3"/>
        <v>0</v>
      </c>
      <c r="C115" s="52">
        <v>10</v>
      </c>
      <c r="D115" s="55">
        <v>44851</v>
      </c>
      <c r="E115" s="62">
        <v>50.73</v>
      </c>
      <c r="F115" s="62">
        <f t="shared" si="5"/>
        <v>0</v>
      </c>
      <c r="G115" s="60">
        <v>10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1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>
        <v>10</v>
      </c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28">
        <f t="shared" si="4"/>
        <v>0</v>
      </c>
      <c r="DX115" s="5"/>
    </row>
    <row r="116" spans="1:128" s="33" customFormat="1" x14ac:dyDescent="0.25">
      <c r="A116" s="47" t="s">
        <v>53</v>
      </c>
      <c r="B116" s="60">
        <f t="shared" si="3"/>
        <v>10</v>
      </c>
      <c r="C116" s="52">
        <v>10</v>
      </c>
      <c r="D116" s="54">
        <v>44858</v>
      </c>
      <c r="E116" s="62">
        <v>64.84</v>
      </c>
      <c r="F116" s="62">
        <f t="shared" si="5"/>
        <v>648.40000000000009</v>
      </c>
      <c r="G116" s="60">
        <v>20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1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>
        <v>10</v>
      </c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>
        <v>10</v>
      </c>
      <c r="DW116" s="28">
        <f t="shared" si="4"/>
        <v>0</v>
      </c>
      <c r="DX116" s="5"/>
    </row>
    <row r="117" spans="1:128" s="33" customFormat="1" x14ac:dyDescent="0.25">
      <c r="A117" s="47" t="s">
        <v>53</v>
      </c>
      <c r="B117" s="60">
        <f t="shared" si="3"/>
        <v>40</v>
      </c>
      <c r="C117" s="52">
        <v>10</v>
      </c>
      <c r="D117" s="55" t="s">
        <v>573</v>
      </c>
      <c r="E117" s="62">
        <v>60.94</v>
      </c>
      <c r="F117" s="62">
        <f t="shared" si="5"/>
        <v>2437.6</v>
      </c>
      <c r="G117" s="60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1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>
        <v>20</v>
      </c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>
        <v>30</v>
      </c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>
        <v>10</v>
      </c>
      <c r="DR117" s="35"/>
      <c r="DS117" s="35"/>
      <c r="DT117" s="35"/>
      <c r="DU117" s="35"/>
      <c r="DV117" s="35">
        <v>10</v>
      </c>
      <c r="DW117" s="28">
        <f t="shared" si="4"/>
        <v>10</v>
      </c>
      <c r="DX117" s="5"/>
    </row>
    <row r="118" spans="1:128" s="33" customFormat="1" x14ac:dyDescent="0.25">
      <c r="A118" s="47" t="s">
        <v>363</v>
      </c>
      <c r="B118" s="60">
        <f t="shared" si="3"/>
        <v>0</v>
      </c>
      <c r="C118" s="52">
        <v>10</v>
      </c>
      <c r="D118" s="54">
        <v>44680</v>
      </c>
      <c r="E118" s="62">
        <v>63</v>
      </c>
      <c r="F118" s="62">
        <f t="shared" si="5"/>
        <v>0</v>
      </c>
      <c r="G118" s="60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1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28">
        <f t="shared" si="4"/>
        <v>0</v>
      </c>
      <c r="DX118" s="5"/>
    </row>
    <row r="119" spans="1:128" s="33" customFormat="1" x14ac:dyDescent="0.25">
      <c r="A119" s="47" t="s">
        <v>14</v>
      </c>
      <c r="B119" s="60">
        <f t="shared" si="3"/>
        <v>100</v>
      </c>
      <c r="C119" s="52">
        <v>10</v>
      </c>
      <c r="D119" s="55">
        <v>44924</v>
      </c>
      <c r="E119" s="62">
        <v>37.83</v>
      </c>
      <c r="F119" s="62">
        <f t="shared" si="5"/>
        <v>3783</v>
      </c>
      <c r="G119" s="60">
        <v>100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1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>
        <v>100</v>
      </c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28">
        <f t="shared" si="4"/>
        <v>0</v>
      </c>
      <c r="DX119" s="5"/>
    </row>
    <row r="120" spans="1:128" s="33" customFormat="1" x14ac:dyDescent="0.25">
      <c r="A120" s="47" t="s">
        <v>14</v>
      </c>
      <c r="B120" s="60">
        <f t="shared" si="3"/>
        <v>140</v>
      </c>
      <c r="C120" s="52">
        <v>10</v>
      </c>
      <c r="D120" s="55" t="s">
        <v>514</v>
      </c>
      <c r="E120" s="62">
        <v>39.9</v>
      </c>
      <c r="F120" s="62">
        <f t="shared" si="5"/>
        <v>5586</v>
      </c>
      <c r="G120" s="60">
        <v>200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1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>
        <v>60</v>
      </c>
      <c r="AL120" s="35">
        <v>140</v>
      </c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28">
        <f t="shared" si="4"/>
        <v>0</v>
      </c>
      <c r="DX120" s="5"/>
    </row>
    <row r="121" spans="1:128" s="33" customFormat="1" x14ac:dyDescent="0.25">
      <c r="A121" s="47" t="s">
        <v>92</v>
      </c>
      <c r="B121" s="60">
        <f t="shared" si="3"/>
        <v>0</v>
      </c>
      <c r="C121" s="52">
        <v>10</v>
      </c>
      <c r="D121" s="54">
        <v>44672</v>
      </c>
      <c r="E121" s="62">
        <v>42.15</v>
      </c>
      <c r="F121" s="62">
        <f t="shared" si="5"/>
        <v>0</v>
      </c>
      <c r="G121" s="60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1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28">
        <f t="shared" si="4"/>
        <v>0</v>
      </c>
      <c r="DX121" s="5"/>
    </row>
    <row r="122" spans="1:128" s="33" customFormat="1" x14ac:dyDescent="0.25">
      <c r="A122" s="39" t="s">
        <v>103</v>
      </c>
      <c r="B122" s="60">
        <f t="shared" si="3"/>
        <v>0</v>
      </c>
      <c r="C122" s="52">
        <v>1</v>
      </c>
      <c r="D122" s="54">
        <v>44788</v>
      </c>
      <c r="E122" s="62">
        <v>53.83</v>
      </c>
      <c r="F122" s="62">
        <f t="shared" si="5"/>
        <v>0</v>
      </c>
      <c r="G122" s="60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1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28">
        <f t="shared" si="4"/>
        <v>0</v>
      </c>
      <c r="DX122" s="5"/>
    </row>
    <row r="123" spans="1:128" s="33" customFormat="1" x14ac:dyDescent="0.25">
      <c r="A123" s="39" t="s">
        <v>173</v>
      </c>
      <c r="B123" s="60">
        <f t="shared" si="3"/>
        <v>0</v>
      </c>
      <c r="C123" s="52">
        <v>10</v>
      </c>
      <c r="D123" s="54">
        <v>44949</v>
      </c>
      <c r="E123" s="62">
        <v>33.78</v>
      </c>
      <c r="F123" s="62">
        <f t="shared" si="5"/>
        <v>0</v>
      </c>
      <c r="G123" s="60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1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>
        <v>10</v>
      </c>
      <c r="CT123" s="35"/>
      <c r="CU123" s="35"/>
      <c r="CV123" s="35">
        <v>10</v>
      </c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28">
        <f t="shared" si="4"/>
        <v>0</v>
      </c>
      <c r="DX123" s="5"/>
    </row>
    <row r="124" spans="1:128" s="33" customFormat="1" x14ac:dyDescent="0.25">
      <c r="A124" s="39" t="s">
        <v>251</v>
      </c>
      <c r="B124" s="60">
        <f t="shared" si="3"/>
        <v>140</v>
      </c>
      <c r="C124" s="52">
        <v>10</v>
      </c>
      <c r="D124" s="55">
        <v>44893</v>
      </c>
      <c r="E124" s="62">
        <v>39.630000000000003</v>
      </c>
      <c r="F124" s="62">
        <f t="shared" si="5"/>
        <v>5548.2000000000007</v>
      </c>
      <c r="G124" s="60">
        <v>170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1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>
        <v>30</v>
      </c>
      <c r="AL124" s="35">
        <v>120</v>
      </c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>
        <v>20</v>
      </c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28">
        <f t="shared" si="4"/>
        <v>0</v>
      </c>
      <c r="DX124" s="5"/>
    </row>
    <row r="125" spans="1:128" s="33" customFormat="1" x14ac:dyDescent="0.25">
      <c r="A125" s="39" t="s">
        <v>251</v>
      </c>
      <c r="B125" s="60">
        <f t="shared" si="3"/>
        <v>0</v>
      </c>
      <c r="C125" s="52">
        <v>10</v>
      </c>
      <c r="D125" s="55">
        <v>44844</v>
      </c>
      <c r="E125" s="62">
        <v>41.18</v>
      </c>
      <c r="F125" s="62">
        <f t="shared" si="5"/>
        <v>0</v>
      </c>
      <c r="G125" s="60">
        <v>30</v>
      </c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1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>
        <v>30</v>
      </c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28">
        <f t="shared" si="4"/>
        <v>0</v>
      </c>
      <c r="DX125" s="5"/>
    </row>
    <row r="126" spans="1:128" s="33" customFormat="1" x14ac:dyDescent="0.25">
      <c r="A126" s="39" t="s">
        <v>251</v>
      </c>
      <c r="B126" s="60">
        <f t="shared" si="3"/>
        <v>150</v>
      </c>
      <c r="C126" s="52">
        <v>10</v>
      </c>
      <c r="D126" s="55">
        <v>44949</v>
      </c>
      <c r="E126" s="62">
        <v>38.01</v>
      </c>
      <c r="F126" s="62">
        <f t="shared" si="5"/>
        <v>5701.5</v>
      </c>
      <c r="G126" s="60">
        <v>20</v>
      </c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1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>
        <v>150</v>
      </c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>
        <v>130</v>
      </c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28">
        <f t="shared" si="4"/>
        <v>0</v>
      </c>
      <c r="DX126" s="5"/>
    </row>
    <row r="127" spans="1:128" s="33" customFormat="1" x14ac:dyDescent="0.25">
      <c r="A127" s="117" t="s">
        <v>522</v>
      </c>
      <c r="B127" s="60">
        <f t="shared" si="3"/>
        <v>0</v>
      </c>
      <c r="C127" s="52">
        <v>10</v>
      </c>
      <c r="D127" s="55">
        <v>44924</v>
      </c>
      <c r="E127" s="62">
        <v>19.809999999999999</v>
      </c>
      <c r="F127" s="62">
        <f t="shared" si="5"/>
        <v>0</v>
      </c>
      <c r="G127" s="60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1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28">
        <f t="shared" si="4"/>
        <v>0</v>
      </c>
      <c r="DX127" s="5"/>
    </row>
    <row r="128" spans="1:128" s="33" customFormat="1" x14ac:dyDescent="0.25">
      <c r="A128" s="39" t="s">
        <v>357</v>
      </c>
      <c r="B128" s="60">
        <f t="shared" si="3"/>
        <v>50</v>
      </c>
      <c r="C128" s="52">
        <v>10</v>
      </c>
      <c r="D128" s="55">
        <v>44851</v>
      </c>
      <c r="E128" s="62">
        <v>48.42</v>
      </c>
      <c r="F128" s="62">
        <f t="shared" si="5"/>
        <v>2421</v>
      </c>
      <c r="G128" s="60">
        <v>70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1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>
        <v>20</v>
      </c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>
        <v>50</v>
      </c>
      <c r="DW128" s="28">
        <f t="shared" si="4"/>
        <v>0</v>
      </c>
      <c r="DX128" s="5"/>
    </row>
    <row r="129" spans="1:128" s="33" customFormat="1" x14ac:dyDescent="0.25">
      <c r="A129" s="39" t="s">
        <v>476</v>
      </c>
      <c r="B129" s="60">
        <f t="shared" si="3"/>
        <v>0</v>
      </c>
      <c r="C129" s="52">
        <v>5</v>
      </c>
      <c r="D129" s="55">
        <v>44760</v>
      </c>
      <c r="E129" s="62">
        <v>18.63</v>
      </c>
      <c r="F129" s="62">
        <f t="shared" si="5"/>
        <v>0</v>
      </c>
      <c r="G129" s="60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1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28">
        <f t="shared" si="4"/>
        <v>0</v>
      </c>
      <c r="DX129" s="5"/>
    </row>
    <row r="130" spans="1:128" s="33" customFormat="1" x14ac:dyDescent="0.25">
      <c r="A130" s="39" t="s">
        <v>511</v>
      </c>
      <c r="B130" s="60">
        <f t="shared" si="3"/>
        <v>40</v>
      </c>
      <c r="C130" s="52">
        <v>10</v>
      </c>
      <c r="D130" s="55">
        <v>44844</v>
      </c>
      <c r="E130" s="62">
        <v>52.62</v>
      </c>
      <c r="F130" s="62">
        <f t="shared" si="5"/>
        <v>2104.7999999999997</v>
      </c>
      <c r="G130" s="60">
        <v>40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1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>
        <v>40</v>
      </c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28">
        <f t="shared" si="4"/>
        <v>0</v>
      </c>
      <c r="DX130" s="5"/>
    </row>
    <row r="131" spans="1:128" s="33" customFormat="1" x14ac:dyDescent="0.25">
      <c r="A131" s="39" t="s">
        <v>452</v>
      </c>
      <c r="B131" s="60">
        <f t="shared" si="3"/>
        <v>0</v>
      </c>
      <c r="C131" s="52">
        <v>10</v>
      </c>
      <c r="D131" s="55">
        <v>44816</v>
      </c>
      <c r="E131" s="62">
        <v>80.88</v>
      </c>
      <c r="F131" s="62">
        <f t="shared" si="5"/>
        <v>0</v>
      </c>
      <c r="G131" s="60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1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28">
        <f t="shared" si="4"/>
        <v>0</v>
      </c>
      <c r="DX131" s="5"/>
    </row>
    <row r="132" spans="1:128" s="33" customFormat="1" x14ac:dyDescent="0.25">
      <c r="A132" s="39" t="s">
        <v>143</v>
      </c>
      <c r="B132" s="60">
        <f t="shared" ref="B132:B195" si="6">SUMIF(G$3:DV$3,"прих",G132:DV132)-SUMIF(G$3:DV$3,"отгр",G132:DV132)</f>
        <v>9</v>
      </c>
      <c r="C132" s="52">
        <v>9</v>
      </c>
      <c r="D132" s="55">
        <v>44781</v>
      </c>
      <c r="E132" s="62">
        <v>35.119999999999997</v>
      </c>
      <c r="F132" s="62">
        <f t="shared" si="5"/>
        <v>316.08</v>
      </c>
      <c r="G132" s="60">
        <v>9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1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>
        <v>9</v>
      </c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28">
        <f t="shared" ref="DW132:DW195" si="7">$B132-SUMIF($G$3:$IK$3,"",$G132:$IK132)</f>
        <v>0</v>
      </c>
      <c r="DX132" s="5"/>
    </row>
    <row r="133" spans="1:128" s="33" customFormat="1" x14ac:dyDescent="0.25">
      <c r="A133" s="39" t="s">
        <v>142</v>
      </c>
      <c r="B133" s="60">
        <f t="shared" si="6"/>
        <v>0</v>
      </c>
      <c r="C133" s="52">
        <v>10</v>
      </c>
      <c r="D133" s="55">
        <v>44651</v>
      </c>
      <c r="E133" s="62">
        <v>43.13</v>
      </c>
      <c r="F133" s="62">
        <f t="shared" si="5"/>
        <v>0</v>
      </c>
      <c r="G133" s="60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1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28">
        <f t="shared" si="7"/>
        <v>0</v>
      </c>
      <c r="DX133" s="5"/>
    </row>
    <row r="134" spans="1:128" s="33" customFormat="1" x14ac:dyDescent="0.25">
      <c r="A134" s="39" t="s">
        <v>48</v>
      </c>
      <c r="B134" s="60">
        <f t="shared" si="6"/>
        <v>200</v>
      </c>
      <c r="C134" s="52">
        <v>10</v>
      </c>
      <c r="D134" s="55">
        <v>44893</v>
      </c>
      <c r="E134" s="62">
        <v>38.35</v>
      </c>
      <c r="F134" s="62">
        <f t="shared" si="5"/>
        <v>7670</v>
      </c>
      <c r="G134" s="60">
        <v>290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15"/>
      <c r="V134" s="35"/>
      <c r="W134" s="35"/>
      <c r="X134" s="35"/>
      <c r="Y134" s="35"/>
      <c r="Z134" s="35"/>
      <c r="AA134" s="35"/>
      <c r="AB134" s="35"/>
      <c r="AC134" s="35"/>
      <c r="AD134" s="35">
        <v>20</v>
      </c>
      <c r="AE134" s="35"/>
      <c r="AF134" s="35"/>
      <c r="AG134" s="35"/>
      <c r="AH134" s="35"/>
      <c r="AI134" s="35">
        <v>190</v>
      </c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>
        <v>10</v>
      </c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>
        <v>10</v>
      </c>
      <c r="CG134" s="35">
        <v>20</v>
      </c>
      <c r="CH134" s="35">
        <v>10</v>
      </c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>
        <v>30</v>
      </c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28">
        <f t="shared" si="7"/>
        <v>0</v>
      </c>
      <c r="DX134" s="5"/>
    </row>
    <row r="135" spans="1:128" s="33" customFormat="1" x14ac:dyDescent="0.25">
      <c r="A135" s="39" t="s">
        <v>483</v>
      </c>
      <c r="B135" s="60">
        <f t="shared" si="6"/>
        <v>0</v>
      </c>
      <c r="C135" s="52">
        <v>1</v>
      </c>
      <c r="D135" s="55">
        <v>44879</v>
      </c>
      <c r="E135" s="62">
        <v>37.659999999999997</v>
      </c>
      <c r="F135" s="62">
        <f t="shared" si="5"/>
        <v>0</v>
      </c>
      <c r="G135" s="60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1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28">
        <f t="shared" si="7"/>
        <v>0</v>
      </c>
      <c r="DX135" s="5"/>
    </row>
    <row r="136" spans="1:128" s="33" customFormat="1" x14ac:dyDescent="0.25">
      <c r="A136" s="39" t="s">
        <v>94</v>
      </c>
      <c r="B136" s="60">
        <f t="shared" si="6"/>
        <v>20</v>
      </c>
      <c r="C136" s="52">
        <v>10</v>
      </c>
      <c r="D136" s="54">
        <v>44924</v>
      </c>
      <c r="E136" s="62">
        <v>77.7</v>
      </c>
      <c r="F136" s="62">
        <f t="shared" si="5"/>
        <v>1554</v>
      </c>
      <c r="G136" s="60">
        <v>20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1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>
        <v>20</v>
      </c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28">
        <f t="shared" si="7"/>
        <v>0</v>
      </c>
      <c r="DX136" s="5"/>
    </row>
    <row r="137" spans="1:128" s="33" customFormat="1" x14ac:dyDescent="0.25">
      <c r="A137" s="47" t="s">
        <v>47</v>
      </c>
      <c r="B137" s="60">
        <f t="shared" si="6"/>
        <v>8</v>
      </c>
      <c r="C137" s="52">
        <v>1</v>
      </c>
      <c r="D137" s="54">
        <v>44697</v>
      </c>
      <c r="E137" s="62">
        <v>48.16</v>
      </c>
      <c r="F137" s="62">
        <f t="shared" si="5"/>
        <v>385.28</v>
      </c>
      <c r="G137" s="60">
        <v>10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1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>
        <v>10</v>
      </c>
      <c r="DL137" s="35"/>
      <c r="DM137" s="35"/>
      <c r="DN137" s="35"/>
      <c r="DO137" s="35"/>
      <c r="DP137" s="35"/>
      <c r="DQ137" s="35">
        <v>8</v>
      </c>
      <c r="DR137" s="35"/>
      <c r="DS137" s="35"/>
      <c r="DT137" s="35"/>
      <c r="DU137" s="35"/>
      <c r="DV137" s="35"/>
      <c r="DW137" s="28">
        <f t="shared" si="7"/>
        <v>8</v>
      </c>
      <c r="DX137" s="5"/>
    </row>
    <row r="138" spans="1:128" s="33" customFormat="1" x14ac:dyDescent="0.25">
      <c r="A138" s="47" t="s">
        <v>47</v>
      </c>
      <c r="B138" s="60">
        <f t="shared" si="6"/>
        <v>1</v>
      </c>
      <c r="C138" s="52">
        <v>1</v>
      </c>
      <c r="D138" s="54">
        <v>44970</v>
      </c>
      <c r="E138" s="62">
        <v>50.43</v>
      </c>
      <c r="F138" s="62">
        <f t="shared" si="5"/>
        <v>50.43</v>
      </c>
      <c r="G138" s="60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15"/>
      <c r="V138" s="35"/>
      <c r="W138" s="35">
        <v>1</v>
      </c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>
        <v>1</v>
      </c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28">
        <f t="shared" si="7"/>
        <v>0</v>
      </c>
      <c r="DX138" s="5"/>
    </row>
    <row r="139" spans="1:128" s="33" customFormat="1" x14ac:dyDescent="0.25">
      <c r="A139" s="47" t="s">
        <v>232</v>
      </c>
      <c r="B139" s="60">
        <f t="shared" si="6"/>
        <v>2.1999999999999993</v>
      </c>
      <c r="C139" s="52">
        <v>1.1000000000000001</v>
      </c>
      <c r="D139" s="54">
        <v>44970</v>
      </c>
      <c r="E139" s="62">
        <v>31.4</v>
      </c>
      <c r="F139" s="62">
        <f t="shared" si="5"/>
        <v>69.07999999999997</v>
      </c>
      <c r="G139" s="60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1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>
        <v>22</v>
      </c>
      <c r="CT139" s="35"/>
      <c r="CU139" s="35"/>
      <c r="CV139" s="35">
        <v>22</v>
      </c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>
        <v>2.2000000000000002</v>
      </c>
      <c r="DR139" s="35"/>
      <c r="DS139" s="35"/>
      <c r="DT139" s="35"/>
      <c r="DU139" s="35"/>
      <c r="DV139" s="35"/>
      <c r="DW139" s="28">
        <f t="shared" si="7"/>
        <v>2.1999999999999993</v>
      </c>
      <c r="DX139" s="5"/>
    </row>
    <row r="140" spans="1:128" s="33" customFormat="1" x14ac:dyDescent="0.25">
      <c r="A140" s="39" t="s">
        <v>182</v>
      </c>
      <c r="B140" s="60">
        <f t="shared" si="6"/>
        <v>1</v>
      </c>
      <c r="C140" s="52">
        <v>1</v>
      </c>
      <c r="D140" s="54">
        <v>44970</v>
      </c>
      <c r="E140" s="62">
        <v>35.6</v>
      </c>
      <c r="F140" s="62">
        <f t="shared" si="5"/>
        <v>35.6</v>
      </c>
      <c r="G140" s="60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1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>
        <v>2</v>
      </c>
      <c r="DR140" s="35"/>
      <c r="DS140" s="35"/>
      <c r="DT140" s="35"/>
      <c r="DU140" s="35">
        <v>1</v>
      </c>
      <c r="DV140" s="35"/>
      <c r="DW140" s="28">
        <f t="shared" si="7"/>
        <v>1</v>
      </c>
      <c r="DX140" s="5"/>
    </row>
    <row r="141" spans="1:128" s="33" customFormat="1" x14ac:dyDescent="0.25">
      <c r="A141" s="39" t="s">
        <v>329</v>
      </c>
      <c r="B141" s="60">
        <f t="shared" si="6"/>
        <v>0</v>
      </c>
      <c r="C141" s="52">
        <v>0.9</v>
      </c>
      <c r="D141" s="54">
        <v>44970</v>
      </c>
      <c r="E141" s="62">
        <v>46.08</v>
      </c>
      <c r="F141" s="62">
        <f t="shared" si="5"/>
        <v>0</v>
      </c>
      <c r="G141" s="60">
        <v>0.9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1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>
        <v>0.9</v>
      </c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>
        <v>1.8</v>
      </c>
      <c r="DR141" s="35"/>
      <c r="DS141" s="35"/>
      <c r="DT141" s="35">
        <v>1.8</v>
      </c>
      <c r="DU141" s="35"/>
      <c r="DV141" s="35"/>
      <c r="DW141" s="28">
        <f t="shared" si="7"/>
        <v>0</v>
      </c>
      <c r="DX141" s="5"/>
    </row>
    <row r="142" spans="1:128" s="33" customFormat="1" x14ac:dyDescent="0.25">
      <c r="A142" s="39" t="s">
        <v>474</v>
      </c>
      <c r="B142" s="60">
        <f t="shared" si="6"/>
        <v>0</v>
      </c>
      <c r="C142" s="52">
        <v>1</v>
      </c>
      <c r="D142" s="54">
        <v>44753</v>
      </c>
      <c r="E142" s="62">
        <v>45.7</v>
      </c>
      <c r="F142" s="62">
        <f t="shared" si="5"/>
        <v>0</v>
      </c>
      <c r="G142" s="60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1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28">
        <f t="shared" si="7"/>
        <v>0</v>
      </c>
      <c r="DX142" s="5"/>
    </row>
    <row r="143" spans="1:128" s="33" customFormat="1" x14ac:dyDescent="0.25">
      <c r="A143" s="39" t="s">
        <v>115</v>
      </c>
      <c r="B143" s="60">
        <f t="shared" si="6"/>
        <v>0</v>
      </c>
      <c r="C143" s="52">
        <v>1</v>
      </c>
      <c r="D143" s="54">
        <v>44949</v>
      </c>
      <c r="E143" s="62">
        <v>35.869999999999997</v>
      </c>
      <c r="F143" s="62">
        <f t="shared" si="5"/>
        <v>0</v>
      </c>
      <c r="G143" s="60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1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>
        <v>5</v>
      </c>
      <c r="CT143" s="35"/>
      <c r="CU143" s="35"/>
      <c r="CV143" s="35">
        <v>5</v>
      </c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28">
        <f t="shared" si="7"/>
        <v>0</v>
      </c>
      <c r="DX143" s="5"/>
    </row>
    <row r="144" spans="1:128" s="33" customFormat="1" x14ac:dyDescent="0.25">
      <c r="A144" s="39" t="s">
        <v>115</v>
      </c>
      <c r="B144" s="60">
        <f t="shared" si="6"/>
        <v>0</v>
      </c>
      <c r="C144" s="52">
        <v>10</v>
      </c>
      <c r="D144" s="54">
        <v>44949</v>
      </c>
      <c r="E144" s="62">
        <v>33.78</v>
      </c>
      <c r="F144" s="62">
        <f t="shared" si="5"/>
        <v>0</v>
      </c>
      <c r="G144" s="60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1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>
        <v>10</v>
      </c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>
        <v>10</v>
      </c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28">
        <f t="shared" si="7"/>
        <v>0</v>
      </c>
      <c r="DX144" s="5"/>
    </row>
    <row r="145" spans="1:128" s="33" customFormat="1" x14ac:dyDescent="0.25">
      <c r="A145" s="39" t="s">
        <v>288</v>
      </c>
      <c r="B145" s="60">
        <f t="shared" si="6"/>
        <v>0</v>
      </c>
      <c r="C145" s="52">
        <v>1</v>
      </c>
      <c r="D145" s="54">
        <v>44844</v>
      </c>
      <c r="E145" s="62">
        <v>61.78</v>
      </c>
      <c r="F145" s="62">
        <f t="shared" si="5"/>
        <v>0</v>
      </c>
      <c r="G145" s="60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1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28">
        <f t="shared" si="7"/>
        <v>0</v>
      </c>
      <c r="DX145" s="5"/>
    </row>
    <row r="146" spans="1:128" s="33" customFormat="1" x14ac:dyDescent="0.25">
      <c r="A146" s="39" t="s">
        <v>193</v>
      </c>
      <c r="B146" s="60">
        <f t="shared" si="6"/>
        <v>10</v>
      </c>
      <c r="C146" s="52">
        <v>10</v>
      </c>
      <c r="D146" s="54">
        <v>44924</v>
      </c>
      <c r="E146" s="62">
        <v>42</v>
      </c>
      <c r="F146" s="62">
        <f t="shared" si="5"/>
        <v>420</v>
      </c>
      <c r="G146" s="60">
        <v>120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1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>
        <v>100</v>
      </c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>
        <v>10</v>
      </c>
      <c r="CG146" s="35"/>
      <c r="CH146" s="35">
        <v>10</v>
      </c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28">
        <f t="shared" si="7"/>
        <v>0</v>
      </c>
      <c r="DX146" s="5"/>
    </row>
    <row r="147" spans="1:128" s="33" customFormat="1" x14ac:dyDescent="0.25">
      <c r="A147" s="39" t="s">
        <v>150</v>
      </c>
      <c r="B147" s="60">
        <f t="shared" si="6"/>
        <v>0</v>
      </c>
      <c r="C147" s="52">
        <v>12</v>
      </c>
      <c r="D147" s="54">
        <v>44788</v>
      </c>
      <c r="E147" s="62">
        <v>23.41</v>
      </c>
      <c r="F147" s="62">
        <f t="shared" si="5"/>
        <v>0</v>
      </c>
      <c r="G147" s="60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1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28">
        <f t="shared" si="7"/>
        <v>0</v>
      </c>
      <c r="DX147" s="5"/>
    </row>
    <row r="148" spans="1:128" s="33" customFormat="1" x14ac:dyDescent="0.25">
      <c r="A148" s="39" t="s">
        <v>364</v>
      </c>
      <c r="B148" s="60">
        <f t="shared" si="6"/>
        <v>0</v>
      </c>
      <c r="C148" s="52">
        <v>0.9</v>
      </c>
      <c r="D148" s="54">
        <v>44672</v>
      </c>
      <c r="E148" s="62">
        <v>36.76</v>
      </c>
      <c r="F148" s="62">
        <f t="shared" si="5"/>
        <v>0</v>
      </c>
      <c r="G148" s="60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1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28">
        <f t="shared" si="7"/>
        <v>0</v>
      </c>
      <c r="DX148" s="5"/>
    </row>
    <row r="149" spans="1:128" s="33" customFormat="1" x14ac:dyDescent="0.25">
      <c r="A149" s="39" t="s">
        <v>303</v>
      </c>
      <c r="B149" s="60">
        <f t="shared" si="6"/>
        <v>0</v>
      </c>
      <c r="C149" s="52">
        <v>11</v>
      </c>
      <c r="D149" s="54">
        <v>44697</v>
      </c>
      <c r="E149" s="62">
        <v>23.69</v>
      </c>
      <c r="F149" s="62">
        <f t="shared" si="5"/>
        <v>0</v>
      </c>
      <c r="G149" s="60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1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28">
        <f t="shared" si="7"/>
        <v>0</v>
      </c>
      <c r="DX149" s="5"/>
    </row>
    <row r="150" spans="1:128" s="33" customFormat="1" x14ac:dyDescent="0.25">
      <c r="A150" s="39" t="s">
        <v>326</v>
      </c>
      <c r="B150" s="60">
        <f t="shared" si="6"/>
        <v>0</v>
      </c>
      <c r="C150" s="52">
        <v>10</v>
      </c>
      <c r="D150" s="54">
        <v>44914</v>
      </c>
      <c r="E150" s="62">
        <v>43.58</v>
      </c>
      <c r="F150" s="62">
        <f t="shared" si="5"/>
        <v>0</v>
      </c>
      <c r="G150" s="60">
        <v>50</v>
      </c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1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>
        <v>50</v>
      </c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28">
        <f t="shared" si="7"/>
        <v>0</v>
      </c>
      <c r="DX150" s="5"/>
    </row>
    <row r="151" spans="1:128" s="33" customFormat="1" x14ac:dyDescent="0.25">
      <c r="A151" s="39" t="s">
        <v>269</v>
      </c>
      <c r="B151" s="60">
        <f t="shared" si="6"/>
        <v>0</v>
      </c>
      <c r="C151" s="52">
        <v>10</v>
      </c>
      <c r="D151" s="54">
        <v>44893</v>
      </c>
      <c r="E151" s="62">
        <v>44</v>
      </c>
      <c r="F151" s="62">
        <f t="shared" si="5"/>
        <v>0</v>
      </c>
      <c r="G151" s="60">
        <v>10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1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>
        <v>10</v>
      </c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28">
        <f t="shared" si="7"/>
        <v>0</v>
      </c>
      <c r="DX151" s="5"/>
    </row>
    <row r="152" spans="1:128" s="33" customFormat="1" x14ac:dyDescent="0.25">
      <c r="A152" s="39" t="s">
        <v>269</v>
      </c>
      <c r="B152" s="60">
        <f t="shared" si="6"/>
        <v>20</v>
      </c>
      <c r="C152" s="52">
        <v>10</v>
      </c>
      <c r="D152" s="54">
        <v>44914</v>
      </c>
      <c r="E152" s="62">
        <v>43.58</v>
      </c>
      <c r="F152" s="62">
        <f t="shared" si="5"/>
        <v>871.59999999999991</v>
      </c>
      <c r="G152" s="60">
        <v>20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1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>
        <v>20</v>
      </c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28">
        <f t="shared" si="7"/>
        <v>0</v>
      </c>
      <c r="DX152" s="5"/>
    </row>
    <row r="153" spans="1:128" s="33" customFormat="1" x14ac:dyDescent="0.25">
      <c r="A153" s="39" t="s">
        <v>373</v>
      </c>
      <c r="B153" s="60">
        <f t="shared" si="6"/>
        <v>0</v>
      </c>
      <c r="C153" s="52">
        <v>10</v>
      </c>
      <c r="D153" s="54">
        <v>44851</v>
      </c>
      <c r="E153" s="62">
        <v>34.590000000000003</v>
      </c>
      <c r="F153" s="62">
        <f t="shared" si="5"/>
        <v>0</v>
      </c>
      <c r="G153" s="60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1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28">
        <f t="shared" si="7"/>
        <v>0</v>
      </c>
      <c r="DX153" s="5"/>
    </row>
    <row r="154" spans="1:128" s="33" customFormat="1" x14ac:dyDescent="0.25">
      <c r="A154" s="47" t="s">
        <v>171</v>
      </c>
      <c r="B154" s="60">
        <f t="shared" si="6"/>
        <v>0</v>
      </c>
      <c r="C154" s="52">
        <v>1</v>
      </c>
      <c r="D154" s="54">
        <v>44753</v>
      </c>
      <c r="E154" s="62">
        <v>60.12</v>
      </c>
      <c r="F154" s="62">
        <f t="shared" si="5"/>
        <v>0</v>
      </c>
      <c r="G154" s="60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1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28">
        <f t="shared" si="7"/>
        <v>0</v>
      </c>
      <c r="DX154" s="5"/>
    </row>
    <row r="155" spans="1:128" s="33" customFormat="1" x14ac:dyDescent="0.25">
      <c r="A155" s="47" t="s">
        <v>491</v>
      </c>
      <c r="B155" s="60">
        <f t="shared" si="6"/>
        <v>0</v>
      </c>
      <c r="C155" s="52">
        <v>1</v>
      </c>
      <c r="D155" s="54">
        <v>44753</v>
      </c>
      <c r="E155" s="62">
        <v>38.46</v>
      </c>
      <c r="F155" s="62">
        <f t="shared" si="5"/>
        <v>0</v>
      </c>
      <c r="G155" s="60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1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28">
        <f t="shared" si="7"/>
        <v>0</v>
      </c>
      <c r="DX155" s="5"/>
    </row>
    <row r="156" spans="1:128" s="33" customFormat="1" x14ac:dyDescent="0.25">
      <c r="A156" s="47" t="s">
        <v>32</v>
      </c>
      <c r="B156" s="60">
        <f t="shared" si="6"/>
        <v>500</v>
      </c>
      <c r="C156" s="52">
        <v>10</v>
      </c>
      <c r="D156" s="55" t="s">
        <v>552</v>
      </c>
      <c r="E156" s="62">
        <v>39.81</v>
      </c>
      <c r="F156" s="62">
        <f t="shared" si="5"/>
        <v>19905</v>
      </c>
      <c r="G156" s="60">
        <v>400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15"/>
      <c r="V156" s="35"/>
      <c r="W156" s="35"/>
      <c r="X156" s="35"/>
      <c r="Y156" s="35"/>
      <c r="Z156" s="35"/>
      <c r="AA156" s="35"/>
      <c r="AB156" s="35"/>
      <c r="AC156" s="35"/>
      <c r="AD156" s="35">
        <v>200</v>
      </c>
      <c r="AE156" s="35"/>
      <c r="AF156" s="35"/>
      <c r="AG156" s="35"/>
      <c r="AH156" s="35"/>
      <c r="AI156" s="35">
        <v>500</v>
      </c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>
        <v>300</v>
      </c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28">
        <f t="shared" si="7"/>
        <v>0</v>
      </c>
      <c r="DX156" s="5"/>
    </row>
    <row r="157" spans="1:128" s="33" customFormat="1" x14ac:dyDescent="0.25">
      <c r="A157" s="47" t="s">
        <v>341</v>
      </c>
      <c r="B157" s="60">
        <f t="shared" si="6"/>
        <v>0</v>
      </c>
      <c r="C157" s="52">
        <v>1</v>
      </c>
      <c r="D157" s="55">
        <v>44753</v>
      </c>
      <c r="E157" s="62">
        <v>48.1</v>
      </c>
      <c r="F157" s="62">
        <f t="shared" si="5"/>
        <v>0</v>
      </c>
      <c r="G157" s="60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1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28">
        <f t="shared" si="7"/>
        <v>0</v>
      </c>
      <c r="DX157" s="5"/>
    </row>
    <row r="158" spans="1:128" s="33" customFormat="1" x14ac:dyDescent="0.25">
      <c r="A158" s="47" t="s">
        <v>61</v>
      </c>
      <c r="B158" s="60">
        <f t="shared" si="6"/>
        <v>0</v>
      </c>
      <c r="C158" s="52">
        <v>1</v>
      </c>
      <c r="D158" s="55">
        <v>44753</v>
      </c>
      <c r="E158" s="62">
        <v>45.7</v>
      </c>
      <c r="F158" s="62">
        <f t="shared" si="5"/>
        <v>0</v>
      </c>
      <c r="G158" s="60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1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28">
        <f t="shared" si="7"/>
        <v>0</v>
      </c>
      <c r="DX158" s="5"/>
    </row>
    <row r="159" spans="1:128" s="33" customFormat="1" ht="14.25" customHeight="1" x14ac:dyDescent="0.25">
      <c r="A159" s="39" t="s">
        <v>163</v>
      </c>
      <c r="B159" s="60">
        <f t="shared" si="6"/>
        <v>0</v>
      </c>
      <c r="C159" s="52">
        <v>1</v>
      </c>
      <c r="D159" s="96">
        <v>44753</v>
      </c>
      <c r="E159" s="62">
        <v>45.7</v>
      </c>
      <c r="F159" s="62">
        <f t="shared" si="5"/>
        <v>0</v>
      </c>
      <c r="G159" s="60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1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28">
        <f t="shared" si="7"/>
        <v>0</v>
      </c>
      <c r="DX159" s="5"/>
    </row>
    <row r="160" spans="1:128" s="33" customFormat="1" ht="14.25" customHeight="1" x14ac:dyDescent="0.25">
      <c r="A160" s="39" t="s">
        <v>176</v>
      </c>
      <c r="B160" s="60">
        <f t="shared" si="6"/>
        <v>10</v>
      </c>
      <c r="C160" s="52">
        <v>10</v>
      </c>
      <c r="D160" s="96">
        <v>44970</v>
      </c>
      <c r="E160" s="62">
        <v>54.44</v>
      </c>
      <c r="F160" s="62">
        <f t="shared" si="5"/>
        <v>544.4</v>
      </c>
      <c r="G160" s="60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1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>
        <v>10</v>
      </c>
      <c r="DR160" s="35"/>
      <c r="DS160" s="35"/>
      <c r="DT160" s="35"/>
      <c r="DU160" s="35"/>
      <c r="DV160" s="35"/>
      <c r="DW160" s="28">
        <f t="shared" si="7"/>
        <v>10</v>
      </c>
      <c r="DX160" s="5"/>
    </row>
    <row r="161" spans="1:128" s="33" customFormat="1" ht="13.5" customHeight="1" x14ac:dyDescent="0.25">
      <c r="A161" s="47" t="s">
        <v>51</v>
      </c>
      <c r="B161" s="60">
        <f t="shared" si="6"/>
        <v>0</v>
      </c>
      <c r="C161" s="52">
        <v>10</v>
      </c>
      <c r="D161" s="54">
        <v>44914</v>
      </c>
      <c r="E161" s="62">
        <v>34.880000000000003</v>
      </c>
      <c r="F161" s="62">
        <f t="shared" si="5"/>
        <v>0</v>
      </c>
      <c r="G161" s="60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1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28">
        <f t="shared" si="7"/>
        <v>0</v>
      </c>
      <c r="DX161" s="5"/>
    </row>
    <row r="162" spans="1:128" s="33" customFormat="1" ht="13.5" customHeight="1" x14ac:dyDescent="0.25">
      <c r="A162" s="47" t="s">
        <v>144</v>
      </c>
      <c r="B162" s="60">
        <f t="shared" si="6"/>
        <v>6</v>
      </c>
      <c r="C162" s="52">
        <v>1</v>
      </c>
      <c r="D162" s="55">
        <v>44970</v>
      </c>
      <c r="E162" s="62">
        <v>52.36</v>
      </c>
      <c r="F162" s="62">
        <f t="shared" ref="F162:F220" si="8">E162*B162</f>
        <v>314.15999999999997</v>
      </c>
      <c r="G162" s="60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1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>
        <v>60</v>
      </c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>
        <v>60</v>
      </c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>
        <v>6</v>
      </c>
      <c r="DR162" s="35"/>
      <c r="DS162" s="35"/>
      <c r="DT162" s="35"/>
      <c r="DU162" s="35"/>
      <c r="DV162" s="35"/>
      <c r="DW162" s="28">
        <f t="shared" si="7"/>
        <v>6</v>
      </c>
      <c r="DX162" s="5"/>
    </row>
    <row r="163" spans="1:128" s="33" customFormat="1" ht="13.5" customHeight="1" x14ac:dyDescent="0.25">
      <c r="A163" s="47" t="s">
        <v>450</v>
      </c>
      <c r="B163" s="60">
        <f t="shared" si="6"/>
        <v>0</v>
      </c>
      <c r="C163" s="52">
        <v>10</v>
      </c>
      <c r="D163" s="55">
        <v>44824</v>
      </c>
      <c r="E163" s="62">
        <v>27.53</v>
      </c>
      <c r="F163" s="62">
        <f t="shared" si="8"/>
        <v>0</v>
      </c>
      <c r="G163" s="60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1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28">
        <f t="shared" si="7"/>
        <v>0</v>
      </c>
      <c r="DX163" s="5"/>
    </row>
    <row r="164" spans="1:128" s="33" customFormat="1" ht="13.5" customHeight="1" x14ac:dyDescent="0.25">
      <c r="A164" s="47" t="s">
        <v>477</v>
      </c>
      <c r="B164" s="60">
        <f t="shared" si="6"/>
        <v>0</v>
      </c>
      <c r="C164" s="52">
        <v>1</v>
      </c>
      <c r="D164" s="55">
        <v>44753</v>
      </c>
      <c r="E164" s="62">
        <v>28.87</v>
      </c>
      <c r="F164" s="62">
        <f t="shared" si="8"/>
        <v>0</v>
      </c>
      <c r="G164" s="60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1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28">
        <f t="shared" si="7"/>
        <v>0</v>
      </c>
      <c r="DX164" s="5"/>
    </row>
    <row r="165" spans="1:128" s="33" customFormat="1" x14ac:dyDescent="0.25">
      <c r="A165" s="23" t="s">
        <v>15</v>
      </c>
      <c r="B165" s="60">
        <f t="shared" si="6"/>
        <v>0</v>
      </c>
      <c r="C165" s="52">
        <v>9</v>
      </c>
      <c r="D165" s="54">
        <v>44956</v>
      </c>
      <c r="E165" s="62">
        <v>50.43</v>
      </c>
      <c r="F165" s="62">
        <f t="shared" si="8"/>
        <v>0</v>
      </c>
      <c r="G165" s="60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1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>
        <v>27</v>
      </c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>
        <v>27</v>
      </c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28">
        <f t="shared" si="7"/>
        <v>0</v>
      </c>
      <c r="DX165" s="5"/>
    </row>
    <row r="166" spans="1:128" s="33" customFormat="1" x14ac:dyDescent="0.25">
      <c r="A166" s="47" t="s">
        <v>95</v>
      </c>
      <c r="B166" s="60">
        <f t="shared" si="6"/>
        <v>0</v>
      </c>
      <c r="C166" s="52">
        <v>8</v>
      </c>
      <c r="D166" s="54">
        <v>44956</v>
      </c>
      <c r="E166" s="62">
        <v>71.400000000000006</v>
      </c>
      <c r="F166" s="62">
        <f t="shared" si="8"/>
        <v>0</v>
      </c>
      <c r="G166" s="60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1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>
        <v>32</v>
      </c>
      <c r="DC166" s="35"/>
      <c r="DD166" s="35"/>
      <c r="DE166" s="35">
        <v>32</v>
      </c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28">
        <f t="shared" si="7"/>
        <v>0</v>
      </c>
      <c r="DX166" s="5"/>
    </row>
    <row r="167" spans="1:128" s="33" customFormat="1" x14ac:dyDescent="0.25">
      <c r="A167" s="39" t="s">
        <v>59</v>
      </c>
      <c r="B167" s="60">
        <f t="shared" si="6"/>
        <v>32</v>
      </c>
      <c r="C167" s="52">
        <v>8</v>
      </c>
      <c r="D167" s="55" t="s">
        <v>574</v>
      </c>
      <c r="E167" s="62">
        <v>52.51</v>
      </c>
      <c r="F167" s="62">
        <f t="shared" si="8"/>
        <v>1680.32</v>
      </c>
      <c r="G167" s="60">
        <v>32</v>
      </c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1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>
        <v>16</v>
      </c>
      <c r="BM167" s="35">
        <v>16</v>
      </c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>
        <v>8</v>
      </c>
      <c r="CG167" s="35">
        <v>8</v>
      </c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>
        <v>16</v>
      </c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>
        <v>16</v>
      </c>
      <c r="DR167" s="35"/>
      <c r="DS167" s="35"/>
      <c r="DT167" s="35"/>
      <c r="DU167" s="35"/>
      <c r="DV167" s="35"/>
      <c r="DW167" s="28">
        <f t="shared" si="7"/>
        <v>16</v>
      </c>
      <c r="DX167" s="5"/>
    </row>
    <row r="168" spans="1:128" s="33" customFormat="1" x14ac:dyDescent="0.25">
      <c r="A168" s="39" t="s">
        <v>465</v>
      </c>
      <c r="B168" s="60">
        <f t="shared" si="6"/>
        <v>0</v>
      </c>
      <c r="C168" s="52">
        <v>5</v>
      </c>
      <c r="D168" s="55">
        <v>44886</v>
      </c>
      <c r="E168" s="62">
        <v>30.73</v>
      </c>
      <c r="F168" s="62">
        <f t="shared" si="8"/>
        <v>0</v>
      </c>
      <c r="G168" s="60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1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28">
        <f t="shared" si="7"/>
        <v>0</v>
      </c>
      <c r="DX168" s="5"/>
    </row>
    <row r="169" spans="1:128" s="33" customFormat="1" x14ac:dyDescent="0.25">
      <c r="A169" s="47" t="s">
        <v>211</v>
      </c>
      <c r="B169" s="60">
        <f t="shared" si="6"/>
        <v>10</v>
      </c>
      <c r="C169" s="52">
        <v>10</v>
      </c>
      <c r="D169" s="55">
        <v>44970</v>
      </c>
      <c r="E169" s="62">
        <v>20.96</v>
      </c>
      <c r="F169" s="62">
        <f t="shared" si="8"/>
        <v>209.60000000000002</v>
      </c>
      <c r="G169" s="60">
        <v>10</v>
      </c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1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>
        <v>10</v>
      </c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>
        <v>10</v>
      </c>
      <c r="CJ169" s="35"/>
      <c r="CK169" s="35"/>
      <c r="CL169" s="35"/>
      <c r="CM169" s="35"/>
      <c r="CN169" s="35"/>
      <c r="CO169" s="35"/>
      <c r="CP169" s="35"/>
      <c r="CQ169" s="35"/>
      <c r="CR169" s="35"/>
      <c r="CS169" s="35">
        <v>10</v>
      </c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>
        <v>10</v>
      </c>
      <c r="DR169" s="35"/>
      <c r="DS169" s="35"/>
      <c r="DT169" s="35"/>
      <c r="DU169" s="35"/>
      <c r="DV169" s="35"/>
      <c r="DW169" s="28">
        <f t="shared" si="7"/>
        <v>10</v>
      </c>
      <c r="DX169" s="5"/>
    </row>
    <row r="170" spans="1:128" s="33" customFormat="1" x14ac:dyDescent="0.25">
      <c r="A170" s="47" t="s">
        <v>187</v>
      </c>
      <c r="B170" s="60">
        <f t="shared" si="6"/>
        <v>0</v>
      </c>
      <c r="C170" s="52">
        <v>8</v>
      </c>
      <c r="D170" s="55">
        <v>44879</v>
      </c>
      <c r="E170" s="62">
        <v>64.27</v>
      </c>
      <c r="F170" s="62">
        <f t="shared" si="8"/>
        <v>0</v>
      </c>
      <c r="G170" s="60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1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28">
        <f t="shared" si="7"/>
        <v>0</v>
      </c>
      <c r="DX170" s="5"/>
    </row>
    <row r="171" spans="1:128" s="33" customFormat="1" x14ac:dyDescent="0.25">
      <c r="A171" s="47" t="s">
        <v>262</v>
      </c>
      <c r="B171" s="60">
        <f t="shared" si="6"/>
        <v>0</v>
      </c>
      <c r="C171" s="52">
        <v>1</v>
      </c>
      <c r="D171" s="55">
        <v>44795</v>
      </c>
      <c r="E171" s="62">
        <v>41.25</v>
      </c>
      <c r="F171" s="62">
        <f t="shared" si="8"/>
        <v>0</v>
      </c>
      <c r="G171" s="60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1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28">
        <f t="shared" si="7"/>
        <v>0</v>
      </c>
      <c r="DX171" s="5"/>
    </row>
    <row r="172" spans="1:128" s="33" customFormat="1" x14ac:dyDescent="0.25">
      <c r="A172" s="47" t="s">
        <v>221</v>
      </c>
      <c r="B172" s="60">
        <f t="shared" si="6"/>
        <v>0</v>
      </c>
      <c r="C172" s="52">
        <v>0.9</v>
      </c>
      <c r="D172" s="55">
        <v>44879</v>
      </c>
      <c r="E172" s="62">
        <v>42.1</v>
      </c>
      <c r="F172" s="62">
        <f t="shared" si="8"/>
        <v>0</v>
      </c>
      <c r="G172" s="60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1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28">
        <f t="shared" si="7"/>
        <v>0</v>
      </c>
      <c r="DX172" s="5"/>
    </row>
    <row r="173" spans="1:128" s="33" customFormat="1" x14ac:dyDescent="0.25">
      <c r="A173" s="47" t="s">
        <v>239</v>
      </c>
      <c r="B173" s="60">
        <f t="shared" si="6"/>
        <v>50</v>
      </c>
      <c r="C173" s="52">
        <v>10</v>
      </c>
      <c r="D173" s="54">
        <v>44788</v>
      </c>
      <c r="E173" s="62">
        <v>35.11</v>
      </c>
      <c r="F173" s="62">
        <f t="shared" si="8"/>
        <v>1755.5</v>
      </c>
      <c r="G173" s="60">
        <v>50</v>
      </c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1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>
        <v>50</v>
      </c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28">
        <f t="shared" si="7"/>
        <v>0</v>
      </c>
      <c r="DX173" s="5"/>
    </row>
    <row r="174" spans="1:128" s="33" customFormat="1" x14ac:dyDescent="0.25">
      <c r="A174" s="47" t="s">
        <v>473</v>
      </c>
      <c r="B174" s="60">
        <f t="shared" si="6"/>
        <v>0</v>
      </c>
      <c r="C174" s="52">
        <v>1</v>
      </c>
      <c r="D174" s="54">
        <v>44753</v>
      </c>
      <c r="E174" s="62">
        <v>45.7</v>
      </c>
      <c r="F174" s="62">
        <f t="shared" si="8"/>
        <v>0</v>
      </c>
      <c r="G174" s="60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1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28">
        <f t="shared" si="7"/>
        <v>0</v>
      </c>
      <c r="DX174" s="5"/>
    </row>
    <row r="175" spans="1:128" s="33" customFormat="1" x14ac:dyDescent="0.25">
      <c r="A175" s="47" t="s">
        <v>510</v>
      </c>
      <c r="B175" s="60">
        <f t="shared" si="6"/>
        <v>0</v>
      </c>
      <c r="C175" s="52">
        <v>9</v>
      </c>
      <c r="D175" s="54">
        <v>44949</v>
      </c>
      <c r="E175" s="62">
        <v>33.78</v>
      </c>
      <c r="F175" s="62">
        <f t="shared" si="8"/>
        <v>0</v>
      </c>
      <c r="G175" s="60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1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>
        <v>27</v>
      </c>
      <c r="CT175" s="35"/>
      <c r="CU175" s="35"/>
      <c r="CV175" s="35">
        <v>27</v>
      </c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28">
        <f t="shared" si="7"/>
        <v>0</v>
      </c>
      <c r="DX175" s="5"/>
    </row>
    <row r="176" spans="1:128" s="33" customFormat="1" x14ac:dyDescent="0.25">
      <c r="A176" s="47" t="s">
        <v>1</v>
      </c>
      <c r="B176" s="60">
        <f t="shared" si="6"/>
        <v>0</v>
      </c>
      <c r="C176" s="52">
        <v>1</v>
      </c>
      <c r="D176" s="55">
        <v>44816</v>
      </c>
      <c r="E176" s="62">
        <v>39.29</v>
      </c>
      <c r="F176" s="62">
        <f t="shared" si="8"/>
        <v>0</v>
      </c>
      <c r="G176" s="60">
        <v>1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1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>
        <v>1</v>
      </c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28">
        <f t="shared" si="7"/>
        <v>0</v>
      </c>
      <c r="DX176" s="5"/>
    </row>
    <row r="177" spans="1:128" s="33" customFormat="1" x14ac:dyDescent="0.25">
      <c r="A177" s="47" t="s">
        <v>1</v>
      </c>
      <c r="B177" s="60">
        <f t="shared" si="6"/>
        <v>100</v>
      </c>
      <c r="C177" s="52">
        <v>10</v>
      </c>
      <c r="D177" s="55">
        <v>44970</v>
      </c>
      <c r="E177" s="62">
        <v>30.05</v>
      </c>
      <c r="F177" s="62">
        <f t="shared" si="8"/>
        <v>3005</v>
      </c>
      <c r="G177" s="60">
        <v>160</v>
      </c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1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>
        <v>120</v>
      </c>
      <c r="AL177" s="35"/>
      <c r="AM177" s="35">
        <v>10</v>
      </c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>
        <v>30</v>
      </c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>
        <v>100</v>
      </c>
      <c r="DR177" s="35"/>
      <c r="DS177" s="35"/>
      <c r="DT177" s="35"/>
      <c r="DU177" s="35"/>
      <c r="DV177" s="35"/>
      <c r="DW177" s="28">
        <f t="shared" si="7"/>
        <v>100</v>
      </c>
      <c r="DX177" s="5"/>
    </row>
    <row r="178" spans="1:128" s="33" customFormat="1" x14ac:dyDescent="0.25">
      <c r="A178" s="47" t="s">
        <v>1</v>
      </c>
      <c r="B178" s="60">
        <f t="shared" si="6"/>
        <v>10</v>
      </c>
      <c r="C178" s="52">
        <v>10</v>
      </c>
      <c r="D178" s="55">
        <v>44924</v>
      </c>
      <c r="E178" s="62">
        <v>30.14</v>
      </c>
      <c r="F178" s="62">
        <f t="shared" si="8"/>
        <v>301.39999999999998</v>
      </c>
      <c r="G178" s="60">
        <v>40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1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>
        <v>20</v>
      </c>
      <c r="AL178" s="35">
        <v>10</v>
      </c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>
        <v>10</v>
      </c>
      <c r="DO178" s="35"/>
      <c r="DP178" s="35"/>
      <c r="DQ178" s="35"/>
      <c r="DR178" s="35"/>
      <c r="DS178" s="35"/>
      <c r="DT178" s="35"/>
      <c r="DU178" s="35"/>
      <c r="DV178" s="35"/>
      <c r="DW178" s="28">
        <f t="shared" si="7"/>
        <v>0</v>
      </c>
      <c r="DX178" s="5"/>
    </row>
    <row r="179" spans="1:128" s="33" customFormat="1" x14ac:dyDescent="0.25">
      <c r="A179" s="47" t="s">
        <v>299</v>
      </c>
      <c r="B179" s="60">
        <f t="shared" si="6"/>
        <v>0</v>
      </c>
      <c r="C179" s="52">
        <v>1.1000000000000001</v>
      </c>
      <c r="D179" s="54">
        <v>44802</v>
      </c>
      <c r="E179" s="62">
        <v>127.31</v>
      </c>
      <c r="F179" s="62">
        <f t="shared" si="8"/>
        <v>0</v>
      </c>
      <c r="G179" s="60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1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28">
        <f t="shared" si="7"/>
        <v>0</v>
      </c>
      <c r="DX179" s="5"/>
    </row>
    <row r="180" spans="1:128" s="33" customFormat="1" x14ac:dyDescent="0.25">
      <c r="A180" s="47" t="s">
        <v>72</v>
      </c>
      <c r="B180" s="60">
        <f t="shared" si="6"/>
        <v>10</v>
      </c>
      <c r="C180" s="52">
        <v>10</v>
      </c>
      <c r="D180" s="54">
        <v>44924</v>
      </c>
      <c r="E180" s="62">
        <v>39.909999999999997</v>
      </c>
      <c r="F180" s="62">
        <f t="shared" si="8"/>
        <v>399.09999999999997</v>
      </c>
      <c r="G180" s="60">
        <v>10</v>
      </c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1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>
        <v>10</v>
      </c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28">
        <f t="shared" si="7"/>
        <v>0</v>
      </c>
      <c r="DX180" s="5"/>
    </row>
    <row r="181" spans="1:128" s="33" customFormat="1" x14ac:dyDescent="0.25">
      <c r="A181" s="47" t="s">
        <v>72</v>
      </c>
      <c r="B181" s="60">
        <f t="shared" si="6"/>
        <v>0</v>
      </c>
      <c r="C181" s="52">
        <v>1</v>
      </c>
      <c r="D181" s="54">
        <v>44844</v>
      </c>
      <c r="E181" s="62">
        <v>48.05</v>
      </c>
      <c r="F181" s="62">
        <f t="shared" si="8"/>
        <v>0</v>
      </c>
      <c r="G181" s="60">
        <v>2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1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>
        <v>2</v>
      </c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28">
        <f t="shared" si="7"/>
        <v>0</v>
      </c>
      <c r="DX181" s="5"/>
    </row>
    <row r="182" spans="1:128" s="33" customFormat="1" x14ac:dyDescent="0.25">
      <c r="A182" s="39" t="s">
        <v>158</v>
      </c>
      <c r="B182" s="60">
        <f t="shared" si="6"/>
        <v>50</v>
      </c>
      <c r="C182" s="52">
        <v>10</v>
      </c>
      <c r="D182" s="54">
        <v>44851</v>
      </c>
      <c r="E182" s="62">
        <v>57.64</v>
      </c>
      <c r="F182" s="62">
        <f t="shared" si="8"/>
        <v>2882</v>
      </c>
      <c r="G182" s="60">
        <v>50</v>
      </c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1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>
        <v>50</v>
      </c>
      <c r="DW182" s="28">
        <f t="shared" si="7"/>
        <v>0</v>
      </c>
      <c r="DX182" s="5"/>
    </row>
    <row r="183" spans="1:128" s="33" customFormat="1" x14ac:dyDescent="0.25">
      <c r="A183" s="39" t="s">
        <v>512</v>
      </c>
      <c r="B183" s="60">
        <f t="shared" si="6"/>
        <v>7</v>
      </c>
      <c r="C183" s="52">
        <v>1</v>
      </c>
      <c r="D183" s="54">
        <v>44970</v>
      </c>
      <c r="E183" s="62">
        <v>37.72</v>
      </c>
      <c r="F183" s="62">
        <f t="shared" si="8"/>
        <v>264.03999999999996</v>
      </c>
      <c r="G183" s="60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1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>
        <v>7</v>
      </c>
      <c r="DR183" s="35"/>
      <c r="DS183" s="35"/>
      <c r="DT183" s="35"/>
      <c r="DU183" s="35"/>
      <c r="DV183" s="35"/>
      <c r="DW183" s="28">
        <f t="shared" si="7"/>
        <v>7</v>
      </c>
      <c r="DX183" s="5"/>
    </row>
    <row r="184" spans="1:128" s="33" customFormat="1" x14ac:dyDescent="0.25">
      <c r="A184" s="39" t="s">
        <v>492</v>
      </c>
      <c r="B184" s="60">
        <f t="shared" si="6"/>
        <v>0</v>
      </c>
      <c r="C184" s="52">
        <v>0.9</v>
      </c>
      <c r="D184" s="54">
        <v>44753</v>
      </c>
      <c r="E184" s="62">
        <v>43.28</v>
      </c>
      <c r="F184" s="62">
        <f t="shared" si="8"/>
        <v>0</v>
      </c>
      <c r="G184" s="60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1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28">
        <f t="shared" si="7"/>
        <v>0</v>
      </c>
      <c r="DX184" s="5"/>
    </row>
    <row r="185" spans="1:128" s="33" customFormat="1" x14ac:dyDescent="0.25">
      <c r="A185" s="39" t="s">
        <v>306</v>
      </c>
      <c r="B185" s="60">
        <f t="shared" si="6"/>
        <v>0</v>
      </c>
      <c r="C185" s="52">
        <v>1</v>
      </c>
      <c r="D185" s="54">
        <v>44970</v>
      </c>
      <c r="E185" s="62">
        <v>60.76</v>
      </c>
      <c r="F185" s="62">
        <f t="shared" si="8"/>
        <v>0</v>
      </c>
      <c r="G185" s="60">
        <v>10</v>
      </c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1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>
        <v>10</v>
      </c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>
        <v>1</v>
      </c>
      <c r="DR185" s="35"/>
      <c r="DS185" s="35"/>
      <c r="DT185" s="35"/>
      <c r="DU185" s="35">
        <v>1</v>
      </c>
      <c r="DV185" s="35"/>
      <c r="DW185" s="28">
        <f t="shared" si="7"/>
        <v>0</v>
      </c>
      <c r="DX185" s="5"/>
    </row>
    <row r="186" spans="1:128" s="33" customFormat="1" x14ac:dyDescent="0.25">
      <c r="A186" s="39" t="s">
        <v>209</v>
      </c>
      <c r="B186" s="60">
        <f t="shared" si="6"/>
        <v>0</v>
      </c>
      <c r="C186" s="52">
        <v>10</v>
      </c>
      <c r="D186" s="54">
        <v>44651</v>
      </c>
      <c r="E186" s="62">
        <v>43.13</v>
      </c>
      <c r="F186" s="62">
        <f t="shared" si="8"/>
        <v>0</v>
      </c>
      <c r="G186" s="60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111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28">
        <f t="shared" si="7"/>
        <v>0</v>
      </c>
      <c r="DX186" s="5"/>
    </row>
    <row r="187" spans="1:128" s="33" customFormat="1" x14ac:dyDescent="0.25">
      <c r="A187" s="39" t="s">
        <v>247</v>
      </c>
      <c r="B187" s="60">
        <f t="shared" si="6"/>
        <v>0</v>
      </c>
      <c r="C187" s="52">
        <v>1</v>
      </c>
      <c r="D187" s="54">
        <v>44886</v>
      </c>
      <c r="E187" s="62">
        <v>37.32</v>
      </c>
      <c r="F187" s="62">
        <f t="shared" si="8"/>
        <v>0</v>
      </c>
      <c r="G187" s="60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111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28">
        <f t="shared" si="7"/>
        <v>0</v>
      </c>
      <c r="DX187" s="5"/>
    </row>
    <row r="188" spans="1:128" s="33" customFormat="1" x14ac:dyDescent="0.25">
      <c r="A188" s="39" t="s">
        <v>127</v>
      </c>
      <c r="B188" s="60">
        <f t="shared" si="6"/>
        <v>0</v>
      </c>
      <c r="C188" s="52">
        <v>10</v>
      </c>
      <c r="D188" s="54">
        <v>44711</v>
      </c>
      <c r="E188" s="62">
        <v>31.25</v>
      </c>
      <c r="F188" s="62">
        <f t="shared" si="8"/>
        <v>0</v>
      </c>
      <c r="G188" s="60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111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28">
        <f t="shared" si="7"/>
        <v>0</v>
      </c>
      <c r="DX188" s="5"/>
    </row>
    <row r="189" spans="1:128" s="33" customFormat="1" x14ac:dyDescent="0.25">
      <c r="A189" s="39" t="s">
        <v>25</v>
      </c>
      <c r="B189" s="60">
        <f t="shared" si="6"/>
        <v>0</v>
      </c>
      <c r="C189" s="52">
        <v>10</v>
      </c>
      <c r="D189" s="55">
        <v>44775</v>
      </c>
      <c r="E189" s="62">
        <v>33.47</v>
      </c>
      <c r="F189" s="62">
        <f t="shared" si="8"/>
        <v>0</v>
      </c>
      <c r="G189" s="60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1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28">
        <f t="shared" si="7"/>
        <v>0</v>
      </c>
      <c r="DX189" s="5"/>
    </row>
    <row r="190" spans="1:128" s="33" customFormat="1" x14ac:dyDescent="0.25">
      <c r="A190" s="39" t="s">
        <v>345</v>
      </c>
      <c r="B190" s="60">
        <f t="shared" si="6"/>
        <v>0</v>
      </c>
      <c r="C190" s="52">
        <v>10</v>
      </c>
      <c r="D190" s="54">
        <v>44949</v>
      </c>
      <c r="E190" s="62">
        <v>33.78</v>
      </c>
      <c r="F190" s="62">
        <f t="shared" si="8"/>
        <v>0</v>
      </c>
      <c r="G190" s="60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1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>
        <v>10</v>
      </c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>
        <v>20</v>
      </c>
      <c r="CT190" s="35"/>
      <c r="CU190" s="35"/>
      <c r="CV190" s="35"/>
      <c r="CW190" s="35"/>
      <c r="CX190" s="35"/>
      <c r="CY190" s="35"/>
      <c r="CZ190" s="35">
        <v>10</v>
      </c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28">
        <f t="shared" si="7"/>
        <v>0</v>
      </c>
      <c r="DX190" s="5"/>
    </row>
    <row r="191" spans="1:128" s="33" customFormat="1" x14ac:dyDescent="0.25">
      <c r="A191" s="39" t="s">
        <v>345</v>
      </c>
      <c r="B191" s="60">
        <f t="shared" si="6"/>
        <v>30</v>
      </c>
      <c r="C191" s="52">
        <v>10</v>
      </c>
      <c r="D191" s="54">
        <v>44956</v>
      </c>
      <c r="E191" s="62">
        <v>33.619999999999997</v>
      </c>
      <c r="F191" s="62">
        <f t="shared" si="8"/>
        <v>1008.5999999999999</v>
      </c>
      <c r="G191" s="60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1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>
        <v>10</v>
      </c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>
        <v>10</v>
      </c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>
        <v>40</v>
      </c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>
        <v>20</v>
      </c>
      <c r="DW191" s="28">
        <f t="shared" si="7"/>
        <v>0</v>
      </c>
      <c r="DX191" s="5"/>
    </row>
    <row r="192" spans="1:128" s="33" customFormat="1" x14ac:dyDescent="0.25">
      <c r="A192" s="39" t="s">
        <v>463</v>
      </c>
      <c r="B192" s="60">
        <f t="shared" si="6"/>
        <v>0</v>
      </c>
      <c r="C192" s="52">
        <v>1</v>
      </c>
      <c r="D192" s="54">
        <v>44809</v>
      </c>
      <c r="E192" s="62">
        <v>27.77</v>
      </c>
      <c r="F192" s="62">
        <f t="shared" si="8"/>
        <v>0</v>
      </c>
      <c r="G192" s="60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1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28">
        <f t="shared" si="7"/>
        <v>0</v>
      </c>
      <c r="DX192" s="5"/>
    </row>
    <row r="193" spans="1:128" s="33" customFormat="1" x14ac:dyDescent="0.25">
      <c r="A193" s="39" t="s">
        <v>418</v>
      </c>
      <c r="B193" s="60">
        <f t="shared" si="6"/>
        <v>0</v>
      </c>
      <c r="C193" s="52">
        <v>10</v>
      </c>
      <c r="D193" s="54">
        <v>44781</v>
      </c>
      <c r="E193" s="62">
        <v>23.41</v>
      </c>
      <c r="F193" s="62">
        <f t="shared" si="8"/>
        <v>0</v>
      </c>
      <c r="G193" s="60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1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28">
        <f t="shared" si="7"/>
        <v>0</v>
      </c>
      <c r="DX193" s="5"/>
    </row>
    <row r="194" spans="1:128" s="33" customFormat="1" x14ac:dyDescent="0.25">
      <c r="A194" s="95" t="s">
        <v>575</v>
      </c>
      <c r="B194" s="60">
        <f t="shared" si="6"/>
        <v>2.2000000000000002</v>
      </c>
      <c r="C194" s="52">
        <v>1.1000000000000001</v>
      </c>
      <c r="D194" s="54">
        <v>44970</v>
      </c>
      <c r="E194" s="62">
        <v>50.28</v>
      </c>
      <c r="F194" s="62">
        <f t="shared" si="8"/>
        <v>110.61600000000001</v>
      </c>
      <c r="G194" s="60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1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>
        <v>2.2000000000000002</v>
      </c>
      <c r="DR194" s="35"/>
      <c r="DS194" s="35"/>
      <c r="DT194" s="35"/>
      <c r="DU194" s="35"/>
      <c r="DV194" s="35"/>
      <c r="DW194" s="28">
        <f t="shared" si="7"/>
        <v>2.2000000000000002</v>
      </c>
      <c r="DX194" s="5"/>
    </row>
    <row r="195" spans="1:128" s="33" customFormat="1" x14ac:dyDescent="0.25">
      <c r="A195" s="39" t="s">
        <v>493</v>
      </c>
      <c r="B195" s="60">
        <f t="shared" si="6"/>
        <v>0</v>
      </c>
      <c r="C195" s="52">
        <v>0.9</v>
      </c>
      <c r="D195" s="54">
        <v>44753</v>
      </c>
      <c r="E195" s="62">
        <v>117.83</v>
      </c>
      <c r="F195" s="62">
        <f t="shared" si="8"/>
        <v>0</v>
      </c>
      <c r="G195" s="60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1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28">
        <f t="shared" si="7"/>
        <v>0</v>
      </c>
      <c r="DX195" s="5"/>
    </row>
    <row r="196" spans="1:128" s="33" customFormat="1" x14ac:dyDescent="0.25">
      <c r="A196" s="47" t="s">
        <v>40</v>
      </c>
      <c r="B196" s="60">
        <f t="shared" ref="B196:B259" si="9">SUMIF(G$3:DV$3,"прих",G196:DV196)-SUMIF(G$3:DV$3,"отгр",G196:DV196)</f>
        <v>0</v>
      </c>
      <c r="C196" s="52">
        <v>5</v>
      </c>
      <c r="D196" s="55">
        <v>44685</v>
      </c>
      <c r="E196" s="62">
        <v>85.12</v>
      </c>
      <c r="F196" s="62">
        <f t="shared" si="8"/>
        <v>0</v>
      </c>
      <c r="G196" s="60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1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28">
        <f t="shared" ref="DW196:DW259" si="10">$B196-SUMIF($G$3:$IK$3,"",$G196:$IK196)</f>
        <v>0</v>
      </c>
      <c r="DX196" s="5"/>
    </row>
    <row r="197" spans="1:128" s="33" customFormat="1" x14ac:dyDescent="0.25">
      <c r="A197" s="47" t="s">
        <v>161</v>
      </c>
      <c r="B197" s="60">
        <f t="shared" si="9"/>
        <v>15</v>
      </c>
      <c r="C197" s="52">
        <v>5</v>
      </c>
      <c r="D197" s="55">
        <v>44956</v>
      </c>
      <c r="E197" s="62">
        <v>75.62</v>
      </c>
      <c r="F197" s="62">
        <f t="shared" si="8"/>
        <v>1134.3000000000002</v>
      </c>
      <c r="G197" s="60">
        <v>85</v>
      </c>
      <c r="H197" s="35"/>
      <c r="I197" s="35"/>
      <c r="J197" s="35"/>
      <c r="K197" s="35"/>
      <c r="L197" s="35"/>
      <c r="M197" s="35"/>
      <c r="N197" s="35">
        <v>15</v>
      </c>
      <c r="O197" s="35"/>
      <c r="P197" s="35"/>
      <c r="Q197" s="35"/>
      <c r="R197" s="35"/>
      <c r="S197" s="35"/>
      <c r="T197" s="35"/>
      <c r="U197" s="15"/>
      <c r="V197" s="35">
        <v>70</v>
      </c>
      <c r="W197" s="35"/>
      <c r="X197" s="35"/>
      <c r="Y197" s="35"/>
      <c r="Z197" s="35">
        <v>15</v>
      </c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>
        <v>15</v>
      </c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28">
        <f t="shared" si="10"/>
        <v>0</v>
      </c>
      <c r="DX197" s="5"/>
    </row>
    <row r="198" spans="1:128" s="33" customFormat="1" x14ac:dyDescent="0.25">
      <c r="A198" s="47" t="s">
        <v>161</v>
      </c>
      <c r="B198" s="60">
        <f t="shared" si="9"/>
        <v>90</v>
      </c>
      <c r="C198" s="52">
        <v>5</v>
      </c>
      <c r="D198" s="55">
        <v>44949</v>
      </c>
      <c r="E198" s="62">
        <v>75.98</v>
      </c>
      <c r="F198" s="62">
        <f t="shared" si="8"/>
        <v>6838.2000000000007</v>
      </c>
      <c r="G198" s="60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15"/>
      <c r="V198" s="35"/>
      <c r="W198" s="35"/>
      <c r="X198" s="35"/>
      <c r="Y198" s="35">
        <v>30</v>
      </c>
      <c r="Z198" s="35">
        <v>90</v>
      </c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>
        <v>120</v>
      </c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28">
        <f t="shared" si="10"/>
        <v>0</v>
      </c>
      <c r="DX198" s="5"/>
    </row>
    <row r="199" spans="1:128" s="33" customFormat="1" x14ac:dyDescent="0.25">
      <c r="A199" s="47" t="s">
        <v>172</v>
      </c>
      <c r="B199" s="60">
        <f t="shared" si="9"/>
        <v>0</v>
      </c>
      <c r="C199" s="52">
        <v>10</v>
      </c>
      <c r="D199" s="54">
        <v>44865</v>
      </c>
      <c r="E199" s="62">
        <v>48.74</v>
      </c>
      <c r="F199" s="62">
        <f t="shared" si="8"/>
        <v>0</v>
      </c>
      <c r="G199" s="60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1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28">
        <f t="shared" si="10"/>
        <v>0</v>
      </c>
      <c r="DX199" s="5"/>
    </row>
    <row r="200" spans="1:128" s="33" customFormat="1" x14ac:dyDescent="0.25">
      <c r="A200" s="47" t="s">
        <v>26</v>
      </c>
      <c r="B200" s="60">
        <f t="shared" si="9"/>
        <v>0</v>
      </c>
      <c r="C200" s="52">
        <v>10</v>
      </c>
      <c r="D200" s="54">
        <v>44924</v>
      </c>
      <c r="E200" s="62">
        <v>23.11</v>
      </c>
      <c r="F200" s="62">
        <f t="shared" si="8"/>
        <v>0</v>
      </c>
      <c r="G200" s="60">
        <v>20</v>
      </c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15"/>
      <c r="V200" s="35">
        <v>20</v>
      </c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28">
        <f t="shared" si="10"/>
        <v>0</v>
      </c>
      <c r="DX200" s="5"/>
    </row>
    <row r="201" spans="1:128" s="33" customFormat="1" x14ac:dyDescent="0.25">
      <c r="A201" s="47" t="s">
        <v>350</v>
      </c>
      <c r="B201" s="60">
        <f t="shared" si="9"/>
        <v>0</v>
      </c>
      <c r="C201" s="52">
        <v>10</v>
      </c>
      <c r="D201" s="54">
        <v>44970</v>
      </c>
      <c r="E201" s="62">
        <v>37.72</v>
      </c>
      <c r="F201" s="62">
        <f t="shared" si="8"/>
        <v>0</v>
      </c>
      <c r="G201" s="60"/>
      <c r="H201" s="35"/>
      <c r="I201" s="35">
        <v>20</v>
      </c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1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>
        <v>20</v>
      </c>
      <c r="DR201" s="35"/>
      <c r="DS201" s="35"/>
      <c r="DT201" s="35"/>
      <c r="DU201" s="35"/>
      <c r="DV201" s="35"/>
      <c r="DW201" s="28">
        <f t="shared" si="10"/>
        <v>0</v>
      </c>
      <c r="DX201" s="5"/>
    </row>
    <row r="202" spans="1:128" s="33" customFormat="1" x14ac:dyDescent="0.25">
      <c r="A202" s="47" t="s">
        <v>349</v>
      </c>
      <c r="B202" s="60">
        <f t="shared" si="9"/>
        <v>0</v>
      </c>
      <c r="C202" s="52">
        <v>1.1000000000000001</v>
      </c>
      <c r="D202" s="54">
        <v>44893</v>
      </c>
      <c r="E202" s="62">
        <v>35.130000000000003</v>
      </c>
      <c r="F202" s="62">
        <f t="shared" si="8"/>
        <v>0</v>
      </c>
      <c r="G202" s="60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1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28">
        <f t="shared" si="10"/>
        <v>0</v>
      </c>
      <c r="DX202" s="5"/>
    </row>
    <row r="203" spans="1:128" s="33" customFormat="1" x14ac:dyDescent="0.25">
      <c r="A203" s="47" t="s">
        <v>184</v>
      </c>
      <c r="B203" s="60">
        <f t="shared" si="9"/>
        <v>0</v>
      </c>
      <c r="C203" s="52">
        <v>10</v>
      </c>
      <c r="D203" s="54">
        <v>44893</v>
      </c>
      <c r="E203" s="62">
        <v>35.22</v>
      </c>
      <c r="F203" s="62">
        <f t="shared" si="8"/>
        <v>0</v>
      </c>
      <c r="G203" s="60">
        <v>30</v>
      </c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1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>
        <v>30</v>
      </c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28">
        <f t="shared" si="10"/>
        <v>0</v>
      </c>
      <c r="DX203" s="5"/>
    </row>
    <row r="204" spans="1:128" s="33" customFormat="1" x14ac:dyDescent="0.25">
      <c r="A204" s="39" t="s">
        <v>89</v>
      </c>
      <c r="B204" s="60">
        <f t="shared" si="9"/>
        <v>0</v>
      </c>
      <c r="C204" s="52">
        <v>10</v>
      </c>
      <c r="D204" s="54">
        <v>44956</v>
      </c>
      <c r="E204" s="62">
        <v>35.700000000000003</v>
      </c>
      <c r="F204" s="62">
        <f t="shared" si="8"/>
        <v>0</v>
      </c>
      <c r="G204" s="60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15"/>
      <c r="V204" s="35"/>
      <c r="W204" s="35"/>
      <c r="X204" s="35"/>
      <c r="Y204" s="35">
        <v>20</v>
      </c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>
        <v>20</v>
      </c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28">
        <f t="shared" si="10"/>
        <v>0</v>
      </c>
      <c r="DX204" s="5"/>
    </row>
    <row r="205" spans="1:128" s="33" customFormat="1" x14ac:dyDescent="0.25">
      <c r="A205" s="47" t="s">
        <v>67</v>
      </c>
      <c r="B205" s="60">
        <f t="shared" si="9"/>
        <v>40</v>
      </c>
      <c r="C205" s="52">
        <v>10</v>
      </c>
      <c r="D205" s="55">
        <v>44914</v>
      </c>
      <c r="E205" s="62">
        <v>34.880000000000003</v>
      </c>
      <c r="F205" s="62">
        <f t="shared" si="8"/>
        <v>1395.2</v>
      </c>
      <c r="G205" s="60">
        <v>40</v>
      </c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1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>
        <v>40</v>
      </c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28">
        <f t="shared" si="10"/>
        <v>0</v>
      </c>
      <c r="DX205" s="5"/>
    </row>
    <row r="206" spans="1:128" s="33" customFormat="1" x14ac:dyDescent="0.25">
      <c r="A206" s="47" t="s">
        <v>358</v>
      </c>
      <c r="B206" s="60">
        <f t="shared" si="9"/>
        <v>0</v>
      </c>
      <c r="C206" s="52">
        <v>1</v>
      </c>
      <c r="D206" s="55">
        <v>44809</v>
      </c>
      <c r="E206" s="62">
        <v>43.98</v>
      </c>
      <c r="F206" s="62">
        <f t="shared" si="8"/>
        <v>0</v>
      </c>
      <c r="G206" s="60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1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28">
        <f t="shared" si="10"/>
        <v>0</v>
      </c>
      <c r="DX206" s="5"/>
    </row>
    <row r="207" spans="1:128" s="33" customFormat="1" x14ac:dyDescent="0.25">
      <c r="A207" s="47" t="s">
        <v>309</v>
      </c>
      <c r="B207" s="60">
        <f t="shared" si="9"/>
        <v>0</v>
      </c>
      <c r="C207" s="52">
        <v>10</v>
      </c>
      <c r="D207" s="55">
        <v>44354</v>
      </c>
      <c r="E207" s="62">
        <v>19.48</v>
      </c>
      <c r="F207" s="62">
        <f t="shared" si="8"/>
        <v>0</v>
      </c>
      <c r="G207" s="60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1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28">
        <f t="shared" si="10"/>
        <v>0</v>
      </c>
      <c r="DX207" s="5"/>
    </row>
    <row r="208" spans="1:128" s="33" customFormat="1" x14ac:dyDescent="0.25">
      <c r="A208" s="47" t="s">
        <v>416</v>
      </c>
      <c r="B208" s="60">
        <f t="shared" si="9"/>
        <v>0.8</v>
      </c>
      <c r="C208" s="52">
        <v>1.1000000000000001</v>
      </c>
      <c r="D208" s="55">
        <v>44494</v>
      </c>
      <c r="E208" s="62">
        <v>59.37</v>
      </c>
      <c r="F208" s="62">
        <f t="shared" si="8"/>
        <v>47.496000000000002</v>
      </c>
      <c r="G208" s="60">
        <v>0.8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1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>
        <v>0.8</v>
      </c>
      <c r="DW208" s="28">
        <f t="shared" si="10"/>
        <v>0</v>
      </c>
      <c r="DX208" s="5"/>
    </row>
    <row r="209" spans="1:128" s="33" customFormat="1" x14ac:dyDescent="0.25">
      <c r="A209" s="47" t="s">
        <v>500</v>
      </c>
      <c r="B209" s="60">
        <f t="shared" si="9"/>
        <v>0</v>
      </c>
      <c r="C209" s="52">
        <v>1</v>
      </c>
      <c r="D209" s="55">
        <v>44781</v>
      </c>
      <c r="E209" s="62">
        <v>42.13</v>
      </c>
      <c r="F209" s="62">
        <f t="shared" si="8"/>
        <v>0</v>
      </c>
      <c r="G209" s="60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1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28">
        <f t="shared" si="10"/>
        <v>0</v>
      </c>
      <c r="DX209" s="5"/>
    </row>
    <row r="210" spans="1:128" s="33" customFormat="1" x14ac:dyDescent="0.25">
      <c r="A210" s="23" t="s">
        <v>28</v>
      </c>
      <c r="B210" s="60">
        <f t="shared" si="9"/>
        <v>0</v>
      </c>
      <c r="C210" s="52">
        <v>0.9</v>
      </c>
      <c r="D210" s="55">
        <v>44844</v>
      </c>
      <c r="E210" s="62">
        <v>75.510000000000005</v>
      </c>
      <c r="F210" s="62">
        <f t="shared" si="8"/>
        <v>0</v>
      </c>
      <c r="G210" s="60">
        <v>0.9</v>
      </c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>
        <v>0.9</v>
      </c>
      <c r="S210" s="35"/>
      <c r="T210" s="35"/>
      <c r="U210" s="1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28">
        <f t="shared" si="10"/>
        <v>0</v>
      </c>
      <c r="DX210" s="5"/>
    </row>
    <row r="211" spans="1:128" s="33" customFormat="1" x14ac:dyDescent="0.25">
      <c r="A211" s="47" t="s">
        <v>149</v>
      </c>
      <c r="B211" s="60">
        <f t="shared" si="9"/>
        <v>0</v>
      </c>
      <c r="C211" s="52">
        <v>0.9</v>
      </c>
      <c r="D211" s="55">
        <v>44851</v>
      </c>
      <c r="E211" s="62">
        <v>69.16</v>
      </c>
      <c r="F211" s="62">
        <f t="shared" si="8"/>
        <v>0</v>
      </c>
      <c r="G211" s="60">
        <v>2.7</v>
      </c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>
        <v>2.7</v>
      </c>
      <c r="S211" s="35"/>
      <c r="T211" s="35"/>
      <c r="U211" s="1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28">
        <f t="shared" si="10"/>
        <v>0</v>
      </c>
      <c r="DX211" s="5"/>
    </row>
    <row r="212" spans="1:128" s="33" customFormat="1" x14ac:dyDescent="0.25">
      <c r="A212" s="39" t="s">
        <v>177</v>
      </c>
      <c r="B212" s="60">
        <f t="shared" si="9"/>
        <v>0</v>
      </c>
      <c r="C212" s="52">
        <v>0.9</v>
      </c>
      <c r="D212" s="54">
        <v>44669</v>
      </c>
      <c r="E212" s="62">
        <v>124.29</v>
      </c>
      <c r="F212" s="62">
        <f t="shared" si="8"/>
        <v>0</v>
      </c>
      <c r="G212" s="60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1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28">
        <f t="shared" si="10"/>
        <v>0</v>
      </c>
      <c r="DX212" s="5"/>
    </row>
    <row r="213" spans="1:128" s="33" customFormat="1" x14ac:dyDescent="0.25">
      <c r="A213" s="39" t="s">
        <v>322</v>
      </c>
      <c r="B213" s="60">
        <f t="shared" si="9"/>
        <v>0</v>
      </c>
      <c r="C213" s="52">
        <v>1.1000000000000001</v>
      </c>
      <c r="D213" s="54">
        <v>44732</v>
      </c>
      <c r="E213" s="62">
        <v>53.42</v>
      </c>
      <c r="F213" s="62">
        <f t="shared" si="8"/>
        <v>0</v>
      </c>
      <c r="G213" s="60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1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28">
        <f t="shared" si="10"/>
        <v>0</v>
      </c>
      <c r="DX213" s="5"/>
    </row>
    <row r="214" spans="1:128" s="33" customFormat="1" x14ac:dyDescent="0.25">
      <c r="A214" s="39" t="s">
        <v>351</v>
      </c>
      <c r="B214" s="60">
        <f t="shared" si="9"/>
        <v>0</v>
      </c>
      <c r="C214" s="52">
        <v>10</v>
      </c>
      <c r="D214" s="54">
        <v>44844</v>
      </c>
      <c r="E214" s="62">
        <v>34.32</v>
      </c>
      <c r="F214" s="62">
        <f t="shared" si="8"/>
        <v>0</v>
      </c>
      <c r="G214" s="60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1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28">
        <f t="shared" si="10"/>
        <v>0</v>
      </c>
      <c r="DX214" s="5"/>
    </row>
    <row r="215" spans="1:128" s="33" customFormat="1" x14ac:dyDescent="0.25">
      <c r="A215" s="39" t="s">
        <v>263</v>
      </c>
      <c r="B215" s="60">
        <f t="shared" si="9"/>
        <v>0</v>
      </c>
      <c r="C215" s="52">
        <v>10</v>
      </c>
      <c r="D215" s="54">
        <v>44732</v>
      </c>
      <c r="E215" s="62">
        <v>33.85</v>
      </c>
      <c r="F215" s="62">
        <f t="shared" si="8"/>
        <v>0</v>
      </c>
      <c r="G215" s="60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1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28">
        <f t="shared" si="10"/>
        <v>0</v>
      </c>
      <c r="DX215" s="5"/>
    </row>
    <row r="216" spans="1:128" s="33" customFormat="1" x14ac:dyDescent="0.25">
      <c r="A216" s="39" t="s">
        <v>461</v>
      </c>
      <c r="B216" s="60">
        <f t="shared" si="9"/>
        <v>0</v>
      </c>
      <c r="C216" s="52">
        <v>1</v>
      </c>
      <c r="D216" s="54">
        <v>44970</v>
      </c>
      <c r="E216" s="62">
        <v>41.88</v>
      </c>
      <c r="F216" s="62">
        <f t="shared" si="8"/>
        <v>0</v>
      </c>
      <c r="G216" s="60"/>
      <c r="H216" s="35"/>
      <c r="I216" s="35"/>
      <c r="J216" s="35"/>
      <c r="K216" s="35"/>
      <c r="L216" s="35">
        <v>6</v>
      </c>
      <c r="M216" s="35"/>
      <c r="N216" s="35"/>
      <c r="O216" s="35"/>
      <c r="P216" s="35"/>
      <c r="Q216" s="35"/>
      <c r="R216" s="35"/>
      <c r="S216" s="35"/>
      <c r="T216" s="35"/>
      <c r="U216" s="1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>
        <v>6</v>
      </c>
      <c r="DR216" s="35"/>
      <c r="DS216" s="35"/>
      <c r="DT216" s="35"/>
      <c r="DU216" s="35"/>
      <c r="DV216" s="35"/>
      <c r="DW216" s="28">
        <f t="shared" si="10"/>
        <v>0</v>
      </c>
      <c r="DX216" s="5"/>
    </row>
    <row r="217" spans="1:128" s="33" customFormat="1" x14ac:dyDescent="0.25">
      <c r="A217" s="39" t="s">
        <v>17</v>
      </c>
      <c r="B217" s="60">
        <f t="shared" si="9"/>
        <v>0</v>
      </c>
      <c r="C217" s="52">
        <v>10</v>
      </c>
      <c r="D217" s="55">
        <v>44824</v>
      </c>
      <c r="E217" s="62">
        <v>36.700000000000003</v>
      </c>
      <c r="F217" s="62">
        <f t="shared" si="8"/>
        <v>0</v>
      </c>
      <c r="G217" s="60">
        <v>70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1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>
        <v>10</v>
      </c>
      <c r="AK217" s="35">
        <v>60</v>
      </c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28">
        <f t="shared" si="10"/>
        <v>0</v>
      </c>
      <c r="DX217" s="5"/>
    </row>
    <row r="218" spans="1:128" s="33" customFormat="1" x14ac:dyDescent="0.25">
      <c r="A218" s="39" t="s">
        <v>17</v>
      </c>
      <c r="B218" s="60">
        <f t="shared" si="9"/>
        <v>70</v>
      </c>
      <c r="C218" s="52">
        <v>10</v>
      </c>
      <c r="D218" s="55">
        <v>44879</v>
      </c>
      <c r="E218" s="62">
        <v>35.46</v>
      </c>
      <c r="F218" s="62">
        <f t="shared" si="8"/>
        <v>2482.2000000000003</v>
      </c>
      <c r="G218" s="60">
        <v>80</v>
      </c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1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>
        <v>10</v>
      </c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>
        <v>70</v>
      </c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28">
        <f t="shared" si="10"/>
        <v>0</v>
      </c>
      <c r="DX218" s="5"/>
    </row>
    <row r="219" spans="1:128" s="33" customFormat="1" x14ac:dyDescent="0.25">
      <c r="A219" s="39" t="s">
        <v>17</v>
      </c>
      <c r="B219" s="60">
        <f t="shared" si="9"/>
        <v>8</v>
      </c>
      <c r="C219" s="52">
        <v>1</v>
      </c>
      <c r="D219" s="55">
        <v>44970</v>
      </c>
      <c r="E219" s="62">
        <v>35.6</v>
      </c>
      <c r="F219" s="62">
        <f t="shared" si="8"/>
        <v>284.8</v>
      </c>
      <c r="G219" s="60">
        <v>3</v>
      </c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1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>
        <v>3</v>
      </c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>
        <v>8</v>
      </c>
      <c r="DR219" s="35"/>
      <c r="DS219" s="35"/>
      <c r="DT219" s="35"/>
      <c r="DU219" s="35"/>
      <c r="DV219" s="35"/>
      <c r="DW219" s="28">
        <f t="shared" si="10"/>
        <v>8</v>
      </c>
      <c r="DX219" s="5"/>
    </row>
    <row r="220" spans="1:128" s="33" customFormat="1" x14ac:dyDescent="0.25">
      <c r="A220" s="39" t="s">
        <v>17</v>
      </c>
      <c r="B220" s="60">
        <f t="shared" si="9"/>
        <v>100</v>
      </c>
      <c r="C220" s="52">
        <v>10</v>
      </c>
      <c r="D220" s="55">
        <v>44924</v>
      </c>
      <c r="E220" s="62">
        <v>33.619999999999997</v>
      </c>
      <c r="F220" s="62">
        <f t="shared" si="8"/>
        <v>3361.9999999999995</v>
      </c>
      <c r="G220" s="60">
        <v>100</v>
      </c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1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>
        <v>100</v>
      </c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28">
        <f t="shared" si="10"/>
        <v>0</v>
      </c>
      <c r="DX220" s="5"/>
    </row>
    <row r="221" spans="1:128" s="33" customFormat="1" x14ac:dyDescent="0.25">
      <c r="A221" s="39" t="s">
        <v>107</v>
      </c>
      <c r="B221" s="60">
        <f t="shared" si="9"/>
        <v>0</v>
      </c>
      <c r="C221" s="52">
        <v>10</v>
      </c>
      <c r="D221" s="54">
        <v>44879</v>
      </c>
      <c r="E221" s="62">
        <v>37.75</v>
      </c>
      <c r="F221" s="62">
        <f t="shared" ref="F221:F289" si="11">E221*B221</f>
        <v>0</v>
      </c>
      <c r="G221" s="60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1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28">
        <f t="shared" si="10"/>
        <v>0</v>
      </c>
      <c r="DX221" s="5"/>
    </row>
    <row r="222" spans="1:128" s="33" customFormat="1" x14ac:dyDescent="0.25">
      <c r="A222" s="39" t="s">
        <v>471</v>
      </c>
      <c r="B222" s="60">
        <f t="shared" si="9"/>
        <v>0</v>
      </c>
      <c r="C222" s="52">
        <v>10</v>
      </c>
      <c r="D222" s="54">
        <v>44697</v>
      </c>
      <c r="E222" s="62">
        <v>66.2</v>
      </c>
      <c r="F222" s="62">
        <f t="shared" si="11"/>
        <v>0</v>
      </c>
      <c r="G222" s="60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1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28">
        <f t="shared" si="10"/>
        <v>0</v>
      </c>
      <c r="DX222" s="5"/>
    </row>
    <row r="223" spans="1:128" s="33" customFormat="1" x14ac:dyDescent="0.25">
      <c r="A223" s="39" t="s">
        <v>104</v>
      </c>
      <c r="B223" s="60">
        <f t="shared" si="9"/>
        <v>0</v>
      </c>
      <c r="C223" s="52">
        <v>1</v>
      </c>
      <c r="D223" s="54">
        <v>44879</v>
      </c>
      <c r="E223" s="62">
        <v>35.46</v>
      </c>
      <c r="F223" s="62">
        <f t="shared" si="11"/>
        <v>0</v>
      </c>
      <c r="G223" s="60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1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28">
        <f t="shared" si="10"/>
        <v>0</v>
      </c>
      <c r="DX223" s="5"/>
    </row>
    <row r="224" spans="1:128" s="33" customFormat="1" x14ac:dyDescent="0.25">
      <c r="A224" s="39" t="s">
        <v>85</v>
      </c>
      <c r="B224" s="60">
        <f t="shared" si="9"/>
        <v>0</v>
      </c>
      <c r="C224" s="52">
        <v>1</v>
      </c>
      <c r="D224" s="54">
        <v>44970</v>
      </c>
      <c r="E224" s="62">
        <v>48.16</v>
      </c>
      <c r="F224" s="62">
        <f t="shared" si="11"/>
        <v>0</v>
      </c>
      <c r="G224" s="60"/>
      <c r="H224" s="35"/>
      <c r="I224" s="35"/>
      <c r="J224" s="35"/>
      <c r="K224" s="35"/>
      <c r="L224" s="35">
        <v>3</v>
      </c>
      <c r="M224" s="35"/>
      <c r="N224" s="35"/>
      <c r="O224" s="35"/>
      <c r="P224" s="35"/>
      <c r="Q224" s="35"/>
      <c r="R224" s="35"/>
      <c r="S224" s="35"/>
      <c r="T224" s="35"/>
      <c r="U224" s="15"/>
      <c r="V224" s="35"/>
      <c r="W224" s="35"/>
      <c r="X224" s="35">
        <v>2</v>
      </c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>
        <v>2</v>
      </c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>
        <v>3</v>
      </c>
      <c r="DR224" s="35"/>
      <c r="DS224" s="35"/>
      <c r="DT224" s="35"/>
      <c r="DU224" s="35"/>
      <c r="DV224" s="35"/>
      <c r="DW224" s="28">
        <f t="shared" si="10"/>
        <v>0</v>
      </c>
      <c r="DX224" s="5"/>
    </row>
    <row r="225" spans="1:128" s="33" customFormat="1" x14ac:dyDescent="0.25">
      <c r="A225" s="39" t="s">
        <v>116</v>
      </c>
      <c r="B225" s="60">
        <f t="shared" si="9"/>
        <v>20</v>
      </c>
      <c r="C225" s="52">
        <v>10</v>
      </c>
      <c r="D225" s="54">
        <v>44956</v>
      </c>
      <c r="E225" s="62">
        <v>33.619999999999997</v>
      </c>
      <c r="F225" s="62">
        <f t="shared" si="11"/>
        <v>672.4</v>
      </c>
      <c r="G225" s="60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1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>
        <v>20</v>
      </c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>
        <v>20</v>
      </c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28">
        <f t="shared" si="10"/>
        <v>0</v>
      </c>
      <c r="DX225" s="5"/>
    </row>
    <row r="226" spans="1:128" s="33" customFormat="1" x14ac:dyDescent="0.25">
      <c r="A226" s="39" t="s">
        <v>404</v>
      </c>
      <c r="B226" s="60">
        <f t="shared" si="9"/>
        <v>0</v>
      </c>
      <c r="C226" s="52">
        <v>1.1000000000000001</v>
      </c>
      <c r="D226" s="54">
        <v>44781</v>
      </c>
      <c r="E226" s="62">
        <v>35.119999999999997</v>
      </c>
      <c r="F226" s="62">
        <f t="shared" si="11"/>
        <v>0</v>
      </c>
      <c r="G226" s="60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1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28">
        <f t="shared" si="10"/>
        <v>0</v>
      </c>
      <c r="DX226" s="5"/>
    </row>
    <row r="227" spans="1:128" s="33" customFormat="1" x14ac:dyDescent="0.25">
      <c r="A227" s="39" t="s">
        <v>294</v>
      </c>
      <c r="B227" s="60">
        <f t="shared" si="9"/>
        <v>0</v>
      </c>
      <c r="C227" s="52">
        <v>8</v>
      </c>
      <c r="D227" s="54">
        <v>44816</v>
      </c>
      <c r="E227" s="62">
        <v>25.42</v>
      </c>
      <c r="F227" s="62">
        <f t="shared" si="11"/>
        <v>0</v>
      </c>
      <c r="G227" s="60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1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28">
        <f t="shared" si="10"/>
        <v>0</v>
      </c>
      <c r="DX227" s="5"/>
    </row>
    <row r="228" spans="1:128" s="33" customFormat="1" x14ac:dyDescent="0.25">
      <c r="A228" s="39" t="s">
        <v>166</v>
      </c>
      <c r="B228" s="60">
        <f t="shared" si="9"/>
        <v>70</v>
      </c>
      <c r="C228" s="52">
        <v>10</v>
      </c>
      <c r="D228" s="55">
        <v>44949</v>
      </c>
      <c r="E228" s="62">
        <v>35.869999999999997</v>
      </c>
      <c r="F228" s="62">
        <f t="shared" si="11"/>
        <v>2510.8999999999996</v>
      </c>
      <c r="G228" s="60">
        <v>10</v>
      </c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1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>
        <v>70</v>
      </c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>
        <v>60</v>
      </c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28">
        <f t="shared" si="10"/>
        <v>0</v>
      </c>
      <c r="DX228" s="5"/>
    </row>
    <row r="229" spans="1:128" s="33" customFormat="1" x14ac:dyDescent="0.25">
      <c r="A229" s="39" t="s">
        <v>166</v>
      </c>
      <c r="B229" s="60">
        <f t="shared" si="9"/>
        <v>10</v>
      </c>
      <c r="C229" s="52">
        <v>10</v>
      </c>
      <c r="D229" s="55">
        <v>44865</v>
      </c>
      <c r="E229" s="62">
        <v>37.659999999999997</v>
      </c>
      <c r="F229" s="62">
        <f t="shared" si="11"/>
        <v>376.59999999999997</v>
      </c>
      <c r="G229" s="60">
        <v>10</v>
      </c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1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>
        <v>10</v>
      </c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28">
        <f t="shared" si="10"/>
        <v>0</v>
      </c>
      <c r="DX229" s="5"/>
    </row>
    <row r="230" spans="1:128" s="33" customFormat="1" x14ac:dyDescent="0.25">
      <c r="A230" s="39" t="s">
        <v>225</v>
      </c>
      <c r="B230" s="60">
        <f t="shared" si="9"/>
        <v>16</v>
      </c>
      <c r="C230" s="52">
        <v>8</v>
      </c>
      <c r="D230" s="55">
        <v>44865</v>
      </c>
      <c r="E230" s="62">
        <v>37.659999999999997</v>
      </c>
      <c r="F230" s="62">
        <f t="shared" si="11"/>
        <v>602.55999999999995</v>
      </c>
      <c r="G230" s="60">
        <v>16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1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>
        <v>16</v>
      </c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28">
        <f t="shared" si="10"/>
        <v>0</v>
      </c>
      <c r="DX230" s="5"/>
    </row>
    <row r="231" spans="1:128" s="33" customFormat="1" x14ac:dyDescent="0.25">
      <c r="A231" s="39" t="s">
        <v>108</v>
      </c>
      <c r="B231" s="60">
        <f t="shared" si="9"/>
        <v>0</v>
      </c>
      <c r="C231" s="52">
        <v>10</v>
      </c>
      <c r="D231" s="55">
        <v>44970</v>
      </c>
      <c r="E231" s="62">
        <v>24.9</v>
      </c>
      <c r="F231" s="62">
        <f t="shared" si="11"/>
        <v>0</v>
      </c>
      <c r="G231" s="60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1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>
        <v>50</v>
      </c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>
        <v>50</v>
      </c>
      <c r="DR231" s="35"/>
      <c r="DS231" s="35"/>
      <c r="DT231" s="35"/>
      <c r="DU231" s="35"/>
      <c r="DV231" s="35"/>
      <c r="DW231" s="28">
        <f t="shared" si="10"/>
        <v>0</v>
      </c>
      <c r="DX231" s="5"/>
    </row>
    <row r="232" spans="1:128" s="33" customFormat="1" x14ac:dyDescent="0.25">
      <c r="A232" s="39" t="s">
        <v>224</v>
      </c>
      <c r="B232" s="60">
        <f t="shared" si="9"/>
        <v>0</v>
      </c>
      <c r="C232" s="52">
        <v>0.9</v>
      </c>
      <c r="D232" s="55">
        <v>44672</v>
      </c>
      <c r="E232" s="62">
        <v>34.06</v>
      </c>
      <c r="F232" s="62">
        <f t="shared" si="11"/>
        <v>0</v>
      </c>
      <c r="G232" s="60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1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28">
        <f t="shared" si="10"/>
        <v>0</v>
      </c>
      <c r="DX232" s="5"/>
    </row>
    <row r="233" spans="1:128" s="33" customFormat="1" x14ac:dyDescent="0.25">
      <c r="A233" s="39" t="s">
        <v>2</v>
      </c>
      <c r="B233" s="60">
        <f t="shared" si="9"/>
        <v>36</v>
      </c>
      <c r="C233" s="52">
        <v>9</v>
      </c>
      <c r="D233" s="55">
        <v>44970</v>
      </c>
      <c r="E233" s="62">
        <v>24.9</v>
      </c>
      <c r="F233" s="62">
        <f t="shared" si="11"/>
        <v>896.4</v>
      </c>
      <c r="G233" s="60">
        <v>9</v>
      </c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15"/>
      <c r="V233" s="35"/>
      <c r="W233" s="35"/>
      <c r="X233" s="35">
        <v>0.9</v>
      </c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>
        <v>9</v>
      </c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>
        <v>0.9</v>
      </c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>
        <v>36</v>
      </c>
      <c r="DR233" s="35"/>
      <c r="DS233" s="35"/>
      <c r="DT233" s="35"/>
      <c r="DU233" s="35"/>
      <c r="DV233" s="35"/>
      <c r="DW233" s="28">
        <f t="shared" si="10"/>
        <v>36</v>
      </c>
      <c r="DX233" s="5"/>
    </row>
    <row r="234" spans="1:128" s="33" customFormat="1" x14ac:dyDescent="0.25">
      <c r="A234" s="39" t="s">
        <v>2</v>
      </c>
      <c r="B234" s="60">
        <f t="shared" si="9"/>
        <v>9</v>
      </c>
      <c r="C234" s="52">
        <v>9</v>
      </c>
      <c r="D234" s="55">
        <v>44970</v>
      </c>
      <c r="E234" s="62">
        <v>27.24</v>
      </c>
      <c r="F234" s="62">
        <f t="shared" si="11"/>
        <v>245.16</v>
      </c>
      <c r="G234" s="60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1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>
        <v>9</v>
      </c>
      <c r="DR234" s="35"/>
      <c r="DS234" s="35"/>
      <c r="DT234" s="35"/>
      <c r="DU234" s="35"/>
      <c r="DV234" s="35"/>
      <c r="DW234" s="28">
        <f t="shared" si="10"/>
        <v>9</v>
      </c>
      <c r="DX234" s="5"/>
    </row>
    <row r="235" spans="1:128" s="33" customFormat="1" x14ac:dyDescent="0.25">
      <c r="A235" s="39" t="s">
        <v>185</v>
      </c>
      <c r="B235" s="60">
        <f t="shared" si="9"/>
        <v>10</v>
      </c>
      <c r="C235" s="52">
        <v>10</v>
      </c>
      <c r="D235" s="55">
        <v>44865</v>
      </c>
      <c r="E235" s="62">
        <v>33.21</v>
      </c>
      <c r="F235" s="62">
        <f t="shared" si="11"/>
        <v>332.1</v>
      </c>
      <c r="G235" s="60">
        <v>30</v>
      </c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1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>
        <v>20</v>
      </c>
      <c r="BW235" s="35">
        <v>10</v>
      </c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28">
        <f t="shared" si="10"/>
        <v>0</v>
      </c>
      <c r="DX235" s="5"/>
    </row>
    <row r="236" spans="1:128" s="33" customFormat="1" x14ac:dyDescent="0.25">
      <c r="A236" s="39" t="s">
        <v>42</v>
      </c>
      <c r="B236" s="60">
        <f t="shared" si="9"/>
        <v>11</v>
      </c>
      <c r="C236" s="52">
        <v>11</v>
      </c>
      <c r="D236" s="54">
        <v>44858</v>
      </c>
      <c r="E236" s="62">
        <v>46.96</v>
      </c>
      <c r="F236" s="62">
        <f t="shared" si="11"/>
        <v>516.56000000000006</v>
      </c>
      <c r="G236" s="60">
        <v>11</v>
      </c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1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>
        <v>11</v>
      </c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28">
        <f t="shared" si="10"/>
        <v>0</v>
      </c>
      <c r="DX236" s="5"/>
    </row>
    <row r="237" spans="1:128" s="33" customFormat="1" x14ac:dyDescent="0.25">
      <c r="A237" s="39" t="s">
        <v>49</v>
      </c>
      <c r="B237" s="60">
        <f t="shared" si="9"/>
        <v>99</v>
      </c>
      <c r="C237" s="52">
        <v>11</v>
      </c>
      <c r="D237" s="54">
        <v>44970</v>
      </c>
      <c r="E237" s="62">
        <v>27.24</v>
      </c>
      <c r="F237" s="62">
        <f t="shared" si="11"/>
        <v>2696.7599999999998</v>
      </c>
      <c r="G237" s="60">
        <v>33</v>
      </c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1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>
        <v>11</v>
      </c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>
        <v>11</v>
      </c>
      <c r="DE237" s="35"/>
      <c r="DF237" s="35"/>
      <c r="DG237" s="35"/>
      <c r="DH237" s="35"/>
      <c r="DI237" s="35">
        <v>11</v>
      </c>
      <c r="DJ237" s="35"/>
      <c r="DK237" s="35"/>
      <c r="DL237" s="35"/>
      <c r="DM237" s="35"/>
      <c r="DN237" s="35"/>
      <c r="DO237" s="35"/>
      <c r="DP237" s="35"/>
      <c r="DQ237" s="35">
        <v>110</v>
      </c>
      <c r="DR237" s="35">
        <v>11</v>
      </c>
      <c r="DS237" s="35"/>
      <c r="DT237" s="35"/>
      <c r="DU237" s="35"/>
      <c r="DV237" s="35"/>
      <c r="DW237" s="28">
        <f t="shared" si="10"/>
        <v>99</v>
      </c>
      <c r="DX237" s="5"/>
    </row>
    <row r="238" spans="1:128" s="33" customFormat="1" x14ac:dyDescent="0.25">
      <c r="A238" s="39" t="s">
        <v>119</v>
      </c>
      <c r="B238" s="60">
        <f t="shared" si="9"/>
        <v>0</v>
      </c>
      <c r="C238" s="52">
        <v>10</v>
      </c>
      <c r="D238" s="54">
        <v>44914</v>
      </c>
      <c r="E238" s="62">
        <v>28.35</v>
      </c>
      <c r="F238" s="62">
        <f t="shared" si="11"/>
        <v>0</v>
      </c>
      <c r="G238" s="60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1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28">
        <f t="shared" si="10"/>
        <v>0</v>
      </c>
      <c r="DX238" s="5"/>
    </row>
    <row r="239" spans="1:128" s="33" customFormat="1" x14ac:dyDescent="0.25">
      <c r="A239" s="39" t="s">
        <v>453</v>
      </c>
      <c r="B239" s="60">
        <f t="shared" si="9"/>
        <v>0</v>
      </c>
      <c r="C239" s="52">
        <v>1.1000000000000001</v>
      </c>
      <c r="D239" s="54">
        <v>44669</v>
      </c>
      <c r="E239" s="62">
        <v>81.010000000000005</v>
      </c>
      <c r="F239" s="62">
        <f t="shared" si="11"/>
        <v>0</v>
      </c>
      <c r="G239" s="60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1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28">
        <f t="shared" si="10"/>
        <v>0</v>
      </c>
      <c r="DX239" s="5"/>
    </row>
    <row r="240" spans="1:128" s="33" customFormat="1" x14ac:dyDescent="0.25">
      <c r="A240" s="39" t="s">
        <v>242</v>
      </c>
      <c r="B240" s="60">
        <f t="shared" si="9"/>
        <v>0</v>
      </c>
      <c r="C240" s="52">
        <v>11</v>
      </c>
      <c r="D240" s="54">
        <v>44585</v>
      </c>
      <c r="E240" s="62">
        <v>18.2</v>
      </c>
      <c r="F240" s="62">
        <f t="shared" si="11"/>
        <v>0</v>
      </c>
      <c r="G240" s="60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1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28">
        <f t="shared" si="10"/>
        <v>0</v>
      </c>
      <c r="DX240" s="5"/>
    </row>
    <row r="241" spans="1:128" s="33" customFormat="1" x14ac:dyDescent="0.25">
      <c r="A241" s="39" t="s">
        <v>272</v>
      </c>
      <c r="B241" s="60">
        <f t="shared" si="9"/>
        <v>80</v>
      </c>
      <c r="C241" s="52">
        <v>10</v>
      </c>
      <c r="D241" s="55" t="s">
        <v>573</v>
      </c>
      <c r="E241" s="62">
        <v>54.59</v>
      </c>
      <c r="F241" s="62">
        <f t="shared" si="11"/>
        <v>4367.2000000000007</v>
      </c>
      <c r="G241" s="60">
        <v>30</v>
      </c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1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>
        <v>30</v>
      </c>
      <c r="BS241" s="35">
        <v>30</v>
      </c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>
        <v>30</v>
      </c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>
        <v>50</v>
      </c>
      <c r="DR241" s="35"/>
      <c r="DS241" s="35"/>
      <c r="DT241" s="35"/>
      <c r="DU241" s="35"/>
      <c r="DV241" s="35"/>
      <c r="DW241" s="28">
        <f t="shared" si="10"/>
        <v>50</v>
      </c>
      <c r="DX241" s="5"/>
    </row>
    <row r="242" spans="1:128" s="33" customFormat="1" x14ac:dyDescent="0.25">
      <c r="A242" s="39" t="s">
        <v>272</v>
      </c>
      <c r="B242" s="60">
        <f t="shared" si="9"/>
        <v>20</v>
      </c>
      <c r="C242" s="52">
        <v>11</v>
      </c>
      <c r="D242" s="55">
        <v>44949</v>
      </c>
      <c r="E242" s="62">
        <v>54.86</v>
      </c>
      <c r="F242" s="62">
        <f t="shared" si="11"/>
        <v>1097.2</v>
      </c>
      <c r="G242" s="60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1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>
        <v>50</v>
      </c>
      <c r="BS242" s="35">
        <v>20</v>
      </c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>
        <v>70</v>
      </c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28">
        <f t="shared" si="10"/>
        <v>0</v>
      </c>
      <c r="DX242" s="5"/>
    </row>
    <row r="243" spans="1:128" s="33" customFormat="1" x14ac:dyDescent="0.25">
      <c r="A243" s="39" t="s">
        <v>298</v>
      </c>
      <c r="B243" s="60">
        <f t="shared" si="9"/>
        <v>0</v>
      </c>
      <c r="C243" s="52">
        <v>30</v>
      </c>
      <c r="D243" s="55">
        <v>44956</v>
      </c>
      <c r="E243" s="62">
        <v>35.869999999999997</v>
      </c>
      <c r="F243" s="62">
        <f t="shared" si="11"/>
        <v>0</v>
      </c>
      <c r="G243" s="60">
        <v>45</v>
      </c>
      <c r="H243" s="35"/>
      <c r="I243" s="35"/>
      <c r="J243" s="35"/>
      <c r="K243" s="35"/>
      <c r="L243" s="35"/>
      <c r="M243" s="35"/>
      <c r="N243" s="35"/>
      <c r="O243" s="35">
        <v>45</v>
      </c>
      <c r="P243" s="35"/>
      <c r="Q243" s="35">
        <v>50</v>
      </c>
      <c r="R243" s="35"/>
      <c r="S243" s="35"/>
      <c r="T243" s="35"/>
      <c r="U243" s="1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>
        <v>30</v>
      </c>
      <c r="CT243" s="35"/>
      <c r="CU243" s="35"/>
      <c r="CV243" s="35"/>
      <c r="CW243" s="35"/>
      <c r="CX243" s="35"/>
      <c r="CY243" s="35"/>
      <c r="CZ243" s="35"/>
      <c r="DA243" s="35"/>
      <c r="DB243" s="35">
        <v>20</v>
      </c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28">
        <f t="shared" si="10"/>
        <v>0</v>
      </c>
      <c r="DX243" s="5"/>
    </row>
    <row r="244" spans="1:128" s="33" customFormat="1" x14ac:dyDescent="0.25">
      <c r="A244" s="39" t="s">
        <v>81</v>
      </c>
      <c r="B244" s="60">
        <f t="shared" si="9"/>
        <v>1</v>
      </c>
      <c r="C244" s="52">
        <v>1</v>
      </c>
      <c r="D244" s="55">
        <v>44914</v>
      </c>
      <c r="E244" s="62">
        <v>41.41</v>
      </c>
      <c r="F244" s="62">
        <f t="shared" si="11"/>
        <v>41.41</v>
      </c>
      <c r="G244" s="60">
        <v>1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1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>
        <v>1</v>
      </c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28">
        <f t="shared" si="10"/>
        <v>0</v>
      </c>
      <c r="DX244" s="5"/>
    </row>
    <row r="245" spans="1:128" s="33" customFormat="1" x14ac:dyDescent="0.25">
      <c r="A245" s="39" t="s">
        <v>133</v>
      </c>
      <c r="B245" s="60">
        <f t="shared" si="9"/>
        <v>0</v>
      </c>
      <c r="C245" s="52">
        <v>1.1000000000000001</v>
      </c>
      <c r="D245" s="54">
        <v>44795</v>
      </c>
      <c r="E245" s="62">
        <v>32.1</v>
      </c>
      <c r="F245" s="62">
        <f t="shared" si="11"/>
        <v>0</v>
      </c>
      <c r="G245" s="60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1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28">
        <f t="shared" si="10"/>
        <v>0</v>
      </c>
      <c r="DX245" s="5"/>
    </row>
    <row r="246" spans="1:128" s="33" customFormat="1" x14ac:dyDescent="0.25">
      <c r="A246" s="39" t="s">
        <v>202</v>
      </c>
      <c r="B246" s="60">
        <f t="shared" si="9"/>
        <v>10</v>
      </c>
      <c r="C246" s="52">
        <v>10</v>
      </c>
      <c r="D246" s="55">
        <v>43318</v>
      </c>
      <c r="E246" s="62">
        <v>17.920000000000002</v>
      </c>
      <c r="F246" s="62">
        <f t="shared" si="11"/>
        <v>179.20000000000002</v>
      </c>
      <c r="G246" s="60">
        <v>10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1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>
        <v>10</v>
      </c>
      <c r="DW246" s="28">
        <f t="shared" si="10"/>
        <v>0</v>
      </c>
      <c r="DX246" s="5"/>
    </row>
    <row r="247" spans="1:128" s="33" customFormat="1" x14ac:dyDescent="0.25">
      <c r="A247" s="39" t="s">
        <v>213</v>
      </c>
      <c r="B247" s="60">
        <f t="shared" si="9"/>
        <v>20</v>
      </c>
      <c r="C247" s="52">
        <v>10</v>
      </c>
      <c r="D247" s="55">
        <v>44832</v>
      </c>
      <c r="E247" s="62">
        <v>47.26</v>
      </c>
      <c r="F247" s="62">
        <f t="shared" si="11"/>
        <v>945.19999999999993</v>
      </c>
      <c r="G247" s="60">
        <v>20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>
        <v>20</v>
      </c>
      <c r="U247" s="1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28">
        <f t="shared" si="10"/>
        <v>0</v>
      </c>
      <c r="DX247" s="5"/>
    </row>
    <row r="248" spans="1:128" s="33" customFormat="1" x14ac:dyDescent="0.25">
      <c r="A248" s="39" t="s">
        <v>338</v>
      </c>
      <c r="B248" s="60">
        <f t="shared" si="9"/>
        <v>0</v>
      </c>
      <c r="C248" s="52">
        <v>1</v>
      </c>
      <c r="D248" s="55">
        <v>44809</v>
      </c>
      <c r="E248" s="62">
        <v>49.77</v>
      </c>
      <c r="F248" s="62">
        <f t="shared" si="11"/>
        <v>0</v>
      </c>
      <c r="G248" s="60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1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28">
        <f t="shared" si="10"/>
        <v>0</v>
      </c>
      <c r="DX248" s="5"/>
    </row>
    <row r="249" spans="1:128" s="33" customFormat="1" ht="13.95" customHeight="1" x14ac:dyDescent="0.25">
      <c r="A249" s="39" t="s">
        <v>154</v>
      </c>
      <c r="B249" s="60">
        <f t="shared" si="9"/>
        <v>0</v>
      </c>
      <c r="C249" s="52">
        <v>1</v>
      </c>
      <c r="D249" s="54">
        <v>44949</v>
      </c>
      <c r="E249" s="62">
        <v>44.34</v>
      </c>
      <c r="F249" s="62">
        <f t="shared" si="11"/>
        <v>0</v>
      </c>
      <c r="G249" s="60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1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>
        <v>1</v>
      </c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>
        <v>1</v>
      </c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28">
        <f t="shared" si="10"/>
        <v>0</v>
      </c>
      <c r="DX249" s="5"/>
    </row>
    <row r="250" spans="1:128" s="33" customFormat="1" x14ac:dyDescent="0.25">
      <c r="A250" s="39" t="s">
        <v>415</v>
      </c>
      <c r="B250" s="60">
        <f t="shared" si="9"/>
        <v>0</v>
      </c>
      <c r="C250" s="52">
        <v>10</v>
      </c>
      <c r="D250" s="54">
        <v>44897</v>
      </c>
      <c r="E250" s="62">
        <v>61.46</v>
      </c>
      <c r="F250" s="62">
        <f t="shared" si="11"/>
        <v>0</v>
      </c>
      <c r="G250" s="60">
        <v>10</v>
      </c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1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>
        <v>10</v>
      </c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28">
        <f t="shared" si="10"/>
        <v>0</v>
      </c>
      <c r="DX250" s="5"/>
    </row>
    <row r="251" spans="1:128" s="33" customFormat="1" x14ac:dyDescent="0.25">
      <c r="A251" s="39" t="s">
        <v>415</v>
      </c>
      <c r="B251" s="60">
        <f t="shared" si="9"/>
        <v>20</v>
      </c>
      <c r="C251" s="52">
        <v>10</v>
      </c>
      <c r="D251" s="54">
        <v>44914</v>
      </c>
      <c r="E251" s="62">
        <v>61.01</v>
      </c>
      <c r="F251" s="62">
        <f t="shared" si="11"/>
        <v>1220.2</v>
      </c>
      <c r="G251" s="60">
        <v>20</v>
      </c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1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>
        <v>20</v>
      </c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28">
        <f t="shared" si="10"/>
        <v>0</v>
      </c>
      <c r="DX251" s="5"/>
    </row>
    <row r="252" spans="1:128" s="33" customFormat="1" x14ac:dyDescent="0.25">
      <c r="A252" s="39" t="s">
        <v>167</v>
      </c>
      <c r="B252" s="60">
        <f t="shared" si="9"/>
        <v>0</v>
      </c>
      <c r="C252" s="52">
        <v>10</v>
      </c>
      <c r="D252" s="54">
        <v>44844</v>
      </c>
      <c r="E252" s="62">
        <v>36.61</v>
      </c>
      <c r="F252" s="62">
        <f t="shared" si="11"/>
        <v>0</v>
      </c>
      <c r="G252" s="60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1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28">
        <f t="shared" si="10"/>
        <v>0</v>
      </c>
      <c r="DX252" s="5"/>
    </row>
    <row r="253" spans="1:128" s="33" customFormat="1" x14ac:dyDescent="0.25">
      <c r="A253" s="39" t="s">
        <v>125</v>
      </c>
      <c r="B253" s="60">
        <f t="shared" si="9"/>
        <v>7.9999999999999991</v>
      </c>
      <c r="C253" s="52">
        <v>8</v>
      </c>
      <c r="D253" s="55" t="s">
        <v>576</v>
      </c>
      <c r="E253" s="62">
        <v>46.12</v>
      </c>
      <c r="F253" s="62">
        <f t="shared" si="11"/>
        <v>368.95999999999992</v>
      </c>
      <c r="G253" s="60">
        <v>8</v>
      </c>
      <c r="H253" s="35"/>
      <c r="I253" s="35"/>
      <c r="J253" s="35"/>
      <c r="K253" s="35"/>
      <c r="L253" s="35">
        <v>3.2</v>
      </c>
      <c r="M253" s="35"/>
      <c r="N253" s="35"/>
      <c r="O253" s="35"/>
      <c r="P253" s="35"/>
      <c r="Q253" s="35"/>
      <c r="R253" s="35"/>
      <c r="S253" s="35"/>
      <c r="T253" s="35"/>
      <c r="U253" s="1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>
        <v>3.2</v>
      </c>
      <c r="DR253" s="35"/>
      <c r="DS253" s="35"/>
      <c r="DT253" s="35"/>
      <c r="DU253" s="35"/>
      <c r="DV253" s="35"/>
      <c r="DW253" s="28">
        <f t="shared" si="10"/>
        <v>7.9999999999999991</v>
      </c>
      <c r="DX253" s="5"/>
    </row>
    <row r="254" spans="1:128" s="33" customFormat="1" x14ac:dyDescent="0.25">
      <c r="A254" s="47" t="s">
        <v>475</v>
      </c>
      <c r="B254" s="60">
        <f t="shared" si="9"/>
        <v>8</v>
      </c>
      <c r="C254" s="52">
        <v>8</v>
      </c>
      <c r="D254" s="55">
        <v>44832</v>
      </c>
      <c r="E254" s="62">
        <v>45.01</v>
      </c>
      <c r="F254" s="62">
        <f t="shared" si="11"/>
        <v>360.08</v>
      </c>
      <c r="G254" s="60">
        <v>8</v>
      </c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1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>
        <v>8</v>
      </c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 t="s">
        <v>33</v>
      </c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28">
        <f t="shared" si="10"/>
        <v>0</v>
      </c>
      <c r="DX254" s="5"/>
    </row>
    <row r="255" spans="1:128" s="33" customFormat="1" x14ac:dyDescent="0.25">
      <c r="A255" s="47" t="s">
        <v>289</v>
      </c>
      <c r="B255" s="60">
        <f t="shared" si="9"/>
        <v>0</v>
      </c>
      <c r="C255" s="52">
        <v>10</v>
      </c>
      <c r="D255" s="54">
        <v>44788</v>
      </c>
      <c r="E255" s="62">
        <v>39.799999999999997</v>
      </c>
      <c r="F255" s="62">
        <f t="shared" si="11"/>
        <v>0</v>
      </c>
      <c r="G255" s="60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1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28">
        <f t="shared" si="10"/>
        <v>0</v>
      </c>
      <c r="DX255" s="5"/>
    </row>
    <row r="256" spans="1:128" s="33" customFormat="1" x14ac:dyDescent="0.25">
      <c r="A256" s="47" t="s">
        <v>472</v>
      </c>
      <c r="B256" s="60">
        <f t="shared" si="9"/>
        <v>0</v>
      </c>
      <c r="C256" s="52">
        <v>1</v>
      </c>
      <c r="D256" s="54">
        <v>44824</v>
      </c>
      <c r="E256" s="62">
        <v>52.76</v>
      </c>
      <c r="F256" s="62">
        <f t="shared" si="11"/>
        <v>0</v>
      </c>
      <c r="G256" s="60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1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28">
        <f t="shared" si="10"/>
        <v>0</v>
      </c>
      <c r="DX256" s="5"/>
    </row>
    <row r="257" spans="1:128" s="33" customFormat="1" ht="12" customHeight="1" x14ac:dyDescent="0.25">
      <c r="A257" s="23" t="s">
        <v>24</v>
      </c>
      <c r="B257" s="60">
        <f t="shared" si="9"/>
        <v>0</v>
      </c>
      <c r="C257" s="52">
        <v>10</v>
      </c>
      <c r="D257" s="54">
        <v>44970</v>
      </c>
      <c r="E257" s="88">
        <v>29.32</v>
      </c>
      <c r="F257" s="62">
        <f t="shared" si="11"/>
        <v>0</v>
      </c>
      <c r="G257" s="60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1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>
        <v>10</v>
      </c>
      <c r="DR257" s="35"/>
      <c r="DS257" s="35"/>
      <c r="DT257" s="35">
        <v>10</v>
      </c>
      <c r="DU257" s="35"/>
      <c r="DV257" s="35"/>
      <c r="DW257" s="28">
        <f t="shared" si="10"/>
        <v>0</v>
      </c>
      <c r="DX257" s="5"/>
    </row>
    <row r="258" spans="1:128" s="33" customFormat="1" x14ac:dyDescent="0.25">
      <c r="A258" s="47" t="s">
        <v>18</v>
      </c>
      <c r="B258" s="60">
        <f t="shared" si="9"/>
        <v>40</v>
      </c>
      <c r="C258" s="52">
        <v>10</v>
      </c>
      <c r="D258" s="55" t="s">
        <v>553</v>
      </c>
      <c r="E258" s="62">
        <v>48.53</v>
      </c>
      <c r="F258" s="62">
        <f t="shared" si="11"/>
        <v>1941.2</v>
      </c>
      <c r="G258" s="60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15"/>
      <c r="V258" s="35"/>
      <c r="W258" s="35"/>
      <c r="X258" s="35"/>
      <c r="Y258" s="35"/>
      <c r="Z258" s="35">
        <v>40</v>
      </c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>
        <v>10</v>
      </c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>
        <v>40</v>
      </c>
      <c r="CT258" s="35"/>
      <c r="CU258" s="35"/>
      <c r="CV258" s="35"/>
      <c r="CW258" s="35"/>
      <c r="CX258" s="35"/>
      <c r="CY258" s="35"/>
      <c r="CZ258" s="35"/>
      <c r="DA258" s="35"/>
      <c r="DB258" s="35">
        <v>10</v>
      </c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28">
        <f t="shared" si="10"/>
        <v>0</v>
      </c>
      <c r="DX258" s="5"/>
    </row>
    <row r="259" spans="1:128" s="33" customFormat="1" x14ac:dyDescent="0.25">
      <c r="A259" s="47" t="s">
        <v>58</v>
      </c>
      <c r="B259" s="60">
        <f t="shared" si="9"/>
        <v>0</v>
      </c>
      <c r="C259" s="52">
        <v>1</v>
      </c>
      <c r="D259" s="55">
        <v>44956</v>
      </c>
      <c r="E259" s="62">
        <v>44.13</v>
      </c>
      <c r="F259" s="62">
        <f t="shared" si="11"/>
        <v>0</v>
      </c>
      <c r="G259" s="60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15"/>
      <c r="V259" s="35"/>
      <c r="W259" s="35"/>
      <c r="X259" s="35">
        <v>2</v>
      </c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>
        <v>2</v>
      </c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28">
        <f t="shared" si="10"/>
        <v>0</v>
      </c>
      <c r="DX259" s="5"/>
    </row>
    <row r="260" spans="1:128" s="33" customFormat="1" x14ac:dyDescent="0.25">
      <c r="A260" s="47" t="s">
        <v>188</v>
      </c>
      <c r="B260" s="60">
        <f t="shared" ref="B260:B304" si="12">SUMIF(G$3:DV$3,"прих",G260:DV260)-SUMIF(G$3:DV$3,"отгр",G260:DV260)</f>
        <v>10</v>
      </c>
      <c r="C260" s="52">
        <v>10</v>
      </c>
      <c r="D260" s="55">
        <v>44893</v>
      </c>
      <c r="E260" s="62">
        <v>37.4</v>
      </c>
      <c r="F260" s="62">
        <f t="shared" si="11"/>
        <v>374</v>
      </c>
      <c r="G260" s="60">
        <v>20</v>
      </c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1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>
        <v>10</v>
      </c>
      <c r="CG260" s="35"/>
      <c r="CH260" s="35">
        <v>10</v>
      </c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28">
        <f t="shared" ref="DW260:DW323" si="13">$B260-SUMIF($G$3:$IK$3,"",$G260:$IK260)</f>
        <v>0</v>
      </c>
      <c r="DX260" s="5"/>
    </row>
    <row r="261" spans="1:128" s="33" customFormat="1" x14ac:dyDescent="0.25">
      <c r="A261" s="47" t="s">
        <v>340</v>
      </c>
      <c r="B261" s="60">
        <f t="shared" si="12"/>
        <v>0</v>
      </c>
      <c r="C261" s="52">
        <v>1</v>
      </c>
      <c r="D261" s="55">
        <v>44672</v>
      </c>
      <c r="E261" s="62">
        <v>34.06</v>
      </c>
      <c r="F261" s="62">
        <f t="shared" si="11"/>
        <v>0</v>
      </c>
      <c r="G261" s="60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1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28">
        <f t="shared" si="13"/>
        <v>0</v>
      </c>
      <c r="DX261" s="5"/>
    </row>
    <row r="262" spans="1:128" s="33" customFormat="1" x14ac:dyDescent="0.25">
      <c r="A262" s="47" t="s">
        <v>191</v>
      </c>
      <c r="B262" s="60">
        <f t="shared" si="12"/>
        <v>0</v>
      </c>
      <c r="C262" s="52">
        <v>11</v>
      </c>
      <c r="D262" s="55">
        <v>44865</v>
      </c>
      <c r="E262" s="62">
        <v>28.81</v>
      </c>
      <c r="F262" s="62">
        <f t="shared" si="11"/>
        <v>0</v>
      </c>
      <c r="G262" s="60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1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28">
        <f t="shared" si="13"/>
        <v>0</v>
      </c>
      <c r="DX262" s="5"/>
    </row>
    <row r="263" spans="1:128" s="33" customFormat="1" x14ac:dyDescent="0.25">
      <c r="A263" s="39" t="s">
        <v>101</v>
      </c>
      <c r="B263" s="60">
        <f t="shared" si="12"/>
        <v>10</v>
      </c>
      <c r="C263" s="52">
        <v>10</v>
      </c>
      <c r="D263" s="54">
        <v>44970</v>
      </c>
      <c r="E263" s="62">
        <v>35.6</v>
      </c>
      <c r="F263" s="62">
        <f t="shared" si="11"/>
        <v>356</v>
      </c>
      <c r="G263" s="60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15"/>
      <c r="V263" s="35"/>
      <c r="W263" s="35"/>
      <c r="X263" s="35"/>
      <c r="Y263" s="35">
        <v>5</v>
      </c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>
        <v>5</v>
      </c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>
        <v>10</v>
      </c>
      <c r="DR263" s="35"/>
      <c r="DS263" s="35"/>
      <c r="DT263" s="35"/>
      <c r="DU263" s="35"/>
      <c r="DV263" s="35"/>
      <c r="DW263" s="28">
        <f t="shared" si="13"/>
        <v>10</v>
      </c>
      <c r="DX263" s="5"/>
    </row>
    <row r="264" spans="1:128" s="33" customFormat="1" x14ac:dyDescent="0.25">
      <c r="A264" s="39" t="s">
        <v>195</v>
      </c>
      <c r="B264" s="60">
        <f t="shared" si="12"/>
        <v>0</v>
      </c>
      <c r="C264" s="52">
        <v>1</v>
      </c>
      <c r="D264" s="54">
        <v>44970</v>
      </c>
      <c r="E264" s="62">
        <v>75.400000000000006</v>
      </c>
      <c r="F264" s="62">
        <f t="shared" si="11"/>
        <v>0</v>
      </c>
      <c r="G264" s="60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1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>
        <v>1</v>
      </c>
      <c r="DR264" s="35"/>
      <c r="DS264" s="35"/>
      <c r="DT264" s="35">
        <v>1</v>
      </c>
      <c r="DU264" s="35"/>
      <c r="DV264" s="35"/>
      <c r="DW264" s="28">
        <f t="shared" si="13"/>
        <v>0</v>
      </c>
      <c r="DX264" s="5"/>
    </row>
    <row r="265" spans="1:128" s="33" customFormat="1" x14ac:dyDescent="0.25">
      <c r="A265" s="39" t="s">
        <v>460</v>
      </c>
      <c r="B265" s="60">
        <f t="shared" si="12"/>
        <v>0</v>
      </c>
      <c r="C265" s="52">
        <v>9</v>
      </c>
      <c r="D265" s="55">
        <v>44672</v>
      </c>
      <c r="E265" s="62">
        <v>47.21</v>
      </c>
      <c r="F265" s="62">
        <f t="shared" si="11"/>
        <v>0</v>
      </c>
      <c r="G265" s="60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1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28">
        <f t="shared" si="13"/>
        <v>0</v>
      </c>
      <c r="DX265" s="5"/>
    </row>
    <row r="266" spans="1:128" s="33" customFormat="1" x14ac:dyDescent="0.25">
      <c r="A266" s="39" t="s">
        <v>109</v>
      </c>
      <c r="B266" s="60">
        <f t="shared" si="12"/>
        <v>10</v>
      </c>
      <c r="C266" s="52">
        <v>10</v>
      </c>
      <c r="D266" s="55">
        <v>44816</v>
      </c>
      <c r="E266" s="62">
        <v>36.979999999999997</v>
      </c>
      <c r="F266" s="62">
        <f t="shared" si="11"/>
        <v>369.79999999999995</v>
      </c>
      <c r="G266" s="60">
        <v>10</v>
      </c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1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>
        <v>10</v>
      </c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28">
        <f t="shared" si="13"/>
        <v>0</v>
      </c>
      <c r="DX266" s="5"/>
    </row>
    <row r="267" spans="1:128" s="33" customFormat="1" x14ac:dyDescent="0.25">
      <c r="A267" s="39" t="s">
        <v>222</v>
      </c>
      <c r="B267" s="60">
        <f t="shared" si="12"/>
        <v>130</v>
      </c>
      <c r="C267" s="52">
        <v>10</v>
      </c>
      <c r="D267" s="55">
        <v>44879</v>
      </c>
      <c r="E267" s="62">
        <v>28.81</v>
      </c>
      <c r="F267" s="62">
        <f t="shared" si="11"/>
        <v>3745.2999999999997</v>
      </c>
      <c r="G267" s="60">
        <v>130</v>
      </c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1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>
        <v>130</v>
      </c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28">
        <f t="shared" si="13"/>
        <v>0</v>
      </c>
      <c r="DX267" s="5"/>
    </row>
    <row r="268" spans="1:128" s="33" customFormat="1" x14ac:dyDescent="0.25">
      <c r="A268" s="39" t="s">
        <v>443</v>
      </c>
      <c r="B268" s="60">
        <f t="shared" si="12"/>
        <v>0</v>
      </c>
      <c r="C268" s="52">
        <v>9</v>
      </c>
      <c r="D268" s="55">
        <v>44739</v>
      </c>
      <c r="E268" s="62">
        <v>38.630000000000003</v>
      </c>
      <c r="F268" s="62">
        <f t="shared" si="11"/>
        <v>0</v>
      </c>
      <c r="G268" s="60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1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28">
        <f t="shared" si="13"/>
        <v>0</v>
      </c>
      <c r="DX268" s="5"/>
    </row>
    <row r="269" spans="1:128" s="33" customFormat="1" x14ac:dyDescent="0.25">
      <c r="A269" s="39" t="s">
        <v>501</v>
      </c>
      <c r="B269" s="60">
        <f t="shared" si="12"/>
        <v>0</v>
      </c>
      <c r="C269" s="52">
        <v>1</v>
      </c>
      <c r="D269" s="54">
        <v>44781</v>
      </c>
      <c r="E269" s="62">
        <v>93.64</v>
      </c>
      <c r="F269" s="62">
        <f t="shared" si="11"/>
        <v>0</v>
      </c>
      <c r="G269" s="60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1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28">
        <f t="shared" si="13"/>
        <v>0</v>
      </c>
      <c r="DX269" s="5"/>
    </row>
    <row r="270" spans="1:128" s="33" customFormat="1" x14ac:dyDescent="0.25">
      <c r="A270" s="47" t="s">
        <v>484</v>
      </c>
      <c r="B270" s="60">
        <f t="shared" si="12"/>
        <v>0</v>
      </c>
      <c r="C270" s="52">
        <v>1</v>
      </c>
      <c r="D270" s="54">
        <v>44781</v>
      </c>
      <c r="E270" s="62">
        <v>49.15</v>
      </c>
      <c r="F270" s="62">
        <f t="shared" si="11"/>
        <v>0</v>
      </c>
      <c r="G270" s="60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1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28">
        <f t="shared" si="13"/>
        <v>0</v>
      </c>
      <c r="DX270" s="5"/>
    </row>
    <row r="271" spans="1:128" s="33" customFormat="1" x14ac:dyDescent="0.25">
      <c r="A271" s="47" t="s">
        <v>20</v>
      </c>
      <c r="B271" s="60">
        <f t="shared" si="12"/>
        <v>4</v>
      </c>
      <c r="C271" s="52">
        <v>1</v>
      </c>
      <c r="D271" s="54">
        <v>44970</v>
      </c>
      <c r="E271" s="62">
        <v>41.88</v>
      </c>
      <c r="F271" s="62">
        <f t="shared" si="11"/>
        <v>167.52</v>
      </c>
      <c r="G271" s="60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1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>
        <v>10</v>
      </c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>
        <v>10</v>
      </c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>
        <v>4</v>
      </c>
      <c r="DR271" s="35"/>
      <c r="DS271" s="35"/>
      <c r="DT271" s="35"/>
      <c r="DU271" s="35"/>
      <c r="DV271" s="35"/>
      <c r="DW271" s="28">
        <f t="shared" si="13"/>
        <v>4</v>
      </c>
      <c r="DX271" s="5"/>
    </row>
    <row r="272" spans="1:128" s="33" customFormat="1" x14ac:dyDescent="0.25">
      <c r="A272" s="47" t="s">
        <v>513</v>
      </c>
      <c r="B272" s="60">
        <f t="shared" si="12"/>
        <v>0</v>
      </c>
      <c r="C272" s="52">
        <v>10</v>
      </c>
      <c r="D272" s="54">
        <v>44865</v>
      </c>
      <c r="E272" s="62">
        <v>42.1</v>
      </c>
      <c r="F272" s="62">
        <f t="shared" si="11"/>
        <v>0</v>
      </c>
      <c r="G272" s="60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1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28">
        <f t="shared" si="13"/>
        <v>0</v>
      </c>
      <c r="DX272" s="5"/>
    </row>
    <row r="273" spans="1:151" s="33" customFormat="1" x14ac:dyDescent="0.25">
      <c r="A273" s="47" t="s">
        <v>507</v>
      </c>
      <c r="B273" s="60">
        <f t="shared" si="12"/>
        <v>4</v>
      </c>
      <c r="C273" s="52">
        <v>1</v>
      </c>
      <c r="D273" s="54">
        <v>44970</v>
      </c>
      <c r="E273" s="62">
        <v>54.44</v>
      </c>
      <c r="F273" s="62">
        <f t="shared" si="11"/>
        <v>217.76</v>
      </c>
      <c r="G273" s="60">
        <v>2</v>
      </c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1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>
        <v>2</v>
      </c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>
        <v>4</v>
      </c>
      <c r="DR273" s="35"/>
      <c r="DS273" s="35"/>
      <c r="DT273" s="35"/>
      <c r="DU273" s="35"/>
      <c r="DV273" s="35"/>
      <c r="DW273" s="28">
        <f t="shared" si="13"/>
        <v>4</v>
      </c>
      <c r="DX273" s="5"/>
    </row>
    <row r="274" spans="1:151" s="33" customFormat="1" x14ac:dyDescent="0.25">
      <c r="A274" s="47" t="s">
        <v>170</v>
      </c>
      <c r="B274" s="60">
        <f t="shared" si="12"/>
        <v>0</v>
      </c>
      <c r="C274" s="52">
        <v>10</v>
      </c>
      <c r="D274" s="54">
        <v>44879</v>
      </c>
      <c r="E274" s="62">
        <v>39.9</v>
      </c>
      <c r="F274" s="62">
        <f t="shared" si="11"/>
        <v>0</v>
      </c>
      <c r="G274" s="60">
        <v>30</v>
      </c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1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>
        <v>10</v>
      </c>
      <c r="CG274" s="35">
        <v>10</v>
      </c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>
        <v>10</v>
      </c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28">
        <f t="shared" si="13"/>
        <v>0</v>
      </c>
      <c r="DX274" s="5"/>
    </row>
    <row r="275" spans="1:151" s="33" customFormat="1" x14ac:dyDescent="0.25">
      <c r="A275" s="47" t="s">
        <v>170</v>
      </c>
      <c r="B275" s="60">
        <f t="shared" si="12"/>
        <v>0</v>
      </c>
      <c r="C275" s="52">
        <v>10</v>
      </c>
      <c r="D275" s="54">
        <v>44949</v>
      </c>
      <c r="E275" s="62">
        <v>38.01</v>
      </c>
      <c r="F275" s="62">
        <f t="shared" si="11"/>
        <v>0</v>
      </c>
      <c r="G275" s="60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1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>
        <v>10</v>
      </c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>
        <v>10</v>
      </c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28">
        <f t="shared" si="13"/>
        <v>0</v>
      </c>
      <c r="DX275" s="5"/>
    </row>
    <row r="276" spans="1:151" s="33" customFormat="1" x14ac:dyDescent="0.25">
      <c r="A276" s="47" t="s">
        <v>126</v>
      </c>
      <c r="B276" s="60">
        <f t="shared" si="12"/>
        <v>0</v>
      </c>
      <c r="C276" s="52">
        <v>10</v>
      </c>
      <c r="D276" s="54">
        <v>44914</v>
      </c>
      <c r="E276" s="62">
        <v>50.11</v>
      </c>
      <c r="F276" s="62">
        <f t="shared" si="11"/>
        <v>0</v>
      </c>
      <c r="G276" s="60">
        <v>50</v>
      </c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1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>
        <v>50</v>
      </c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28">
        <f t="shared" si="13"/>
        <v>0</v>
      </c>
      <c r="DX276" s="5"/>
    </row>
    <row r="277" spans="1:151" s="33" customFormat="1" x14ac:dyDescent="0.25">
      <c r="A277" s="47" t="s">
        <v>126</v>
      </c>
      <c r="B277" s="60">
        <f t="shared" si="12"/>
        <v>20</v>
      </c>
      <c r="C277" s="52">
        <v>10</v>
      </c>
      <c r="D277" s="54">
        <v>44924</v>
      </c>
      <c r="E277" s="62">
        <v>48.3</v>
      </c>
      <c r="F277" s="62">
        <f t="shared" si="11"/>
        <v>966</v>
      </c>
      <c r="G277" s="60">
        <v>90</v>
      </c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1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>
        <v>70</v>
      </c>
      <c r="AS277" s="35"/>
      <c r="AT277" s="35"/>
      <c r="AU277" s="35"/>
      <c r="AV277" s="35">
        <v>20</v>
      </c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28">
        <f t="shared" si="13"/>
        <v>0</v>
      </c>
      <c r="DX277" s="5"/>
    </row>
    <row r="278" spans="1:151" s="33" customFormat="1" x14ac:dyDescent="0.25">
      <c r="A278" s="47" t="s">
        <v>234</v>
      </c>
      <c r="B278" s="60">
        <f t="shared" si="12"/>
        <v>0</v>
      </c>
      <c r="C278" s="52">
        <v>10</v>
      </c>
      <c r="D278" s="54">
        <v>44704</v>
      </c>
      <c r="E278" s="62">
        <v>40.130000000000003</v>
      </c>
      <c r="F278" s="62">
        <f t="shared" si="11"/>
        <v>0</v>
      </c>
      <c r="G278" s="60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1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28">
        <f t="shared" si="13"/>
        <v>0</v>
      </c>
      <c r="DX278" s="5"/>
    </row>
    <row r="279" spans="1:151" s="33" customFormat="1" x14ac:dyDescent="0.25">
      <c r="A279" s="47" t="s">
        <v>129</v>
      </c>
      <c r="B279" s="60">
        <f t="shared" si="12"/>
        <v>5</v>
      </c>
      <c r="C279" s="52">
        <v>10</v>
      </c>
      <c r="D279" s="54">
        <v>44543</v>
      </c>
      <c r="E279" s="62">
        <v>24.84</v>
      </c>
      <c r="F279" s="62">
        <f t="shared" si="11"/>
        <v>124.2</v>
      </c>
      <c r="G279" s="60">
        <v>5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111">
        <v>5</v>
      </c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28">
        <f t="shared" si="13"/>
        <v>0</v>
      </c>
      <c r="DX279" s="5"/>
    </row>
    <row r="280" spans="1:151" s="33" customFormat="1" x14ac:dyDescent="0.25">
      <c r="A280" s="47" t="s">
        <v>68</v>
      </c>
      <c r="B280" s="60">
        <f t="shared" si="12"/>
        <v>0</v>
      </c>
      <c r="C280" s="52">
        <v>10</v>
      </c>
      <c r="D280" s="54">
        <v>44851</v>
      </c>
      <c r="E280" s="62">
        <v>36.89</v>
      </c>
      <c r="F280" s="62">
        <f t="shared" si="11"/>
        <v>0</v>
      </c>
      <c r="G280" s="60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1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28">
        <f t="shared" si="13"/>
        <v>0</v>
      </c>
      <c r="DX280" s="5"/>
    </row>
    <row r="281" spans="1:151" x14ac:dyDescent="0.25">
      <c r="A281" s="47" t="s">
        <v>139</v>
      </c>
      <c r="B281" s="60">
        <f t="shared" si="12"/>
        <v>1.8</v>
      </c>
      <c r="C281" s="52">
        <v>0.9</v>
      </c>
      <c r="D281" s="55">
        <v>44914</v>
      </c>
      <c r="E281" s="62">
        <v>50.11</v>
      </c>
      <c r="F281" s="62">
        <f t="shared" si="11"/>
        <v>90.198000000000008</v>
      </c>
      <c r="G281" s="60">
        <v>1.8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1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>
        <v>1.8</v>
      </c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28">
        <f t="shared" si="13"/>
        <v>0</v>
      </c>
      <c r="DX281" s="5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</row>
    <row r="282" spans="1:151" x14ac:dyDescent="0.25">
      <c r="A282" s="39" t="s">
        <v>62</v>
      </c>
      <c r="B282" s="60">
        <f t="shared" si="12"/>
        <v>40</v>
      </c>
      <c r="C282" s="52">
        <v>10</v>
      </c>
      <c r="D282" s="55">
        <v>44897</v>
      </c>
      <c r="E282" s="62">
        <v>35.130000000000003</v>
      </c>
      <c r="F282" s="62">
        <f t="shared" si="11"/>
        <v>1405.2</v>
      </c>
      <c r="G282" s="60">
        <v>40</v>
      </c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1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>
        <v>40</v>
      </c>
      <c r="DW282" s="28">
        <f t="shared" si="13"/>
        <v>0</v>
      </c>
      <c r="DX282" s="5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</row>
    <row r="283" spans="1:151" x14ac:dyDescent="0.25">
      <c r="A283" s="39" t="s">
        <v>62</v>
      </c>
      <c r="B283" s="60">
        <f t="shared" si="12"/>
        <v>0</v>
      </c>
      <c r="C283" s="52">
        <v>1</v>
      </c>
      <c r="D283" s="55">
        <v>44956</v>
      </c>
      <c r="E283" s="62">
        <v>37.83</v>
      </c>
      <c r="F283" s="62">
        <f t="shared" si="11"/>
        <v>0</v>
      </c>
      <c r="G283" s="60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15"/>
      <c r="V283" s="35"/>
      <c r="W283" s="35"/>
      <c r="X283" s="35">
        <v>1</v>
      </c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>
        <v>3</v>
      </c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>
        <v>4</v>
      </c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28">
        <f t="shared" si="13"/>
        <v>0</v>
      </c>
      <c r="DX283" s="5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</row>
    <row r="284" spans="1:151" x14ac:dyDescent="0.25">
      <c r="A284" s="39" t="s">
        <v>93</v>
      </c>
      <c r="B284" s="60">
        <f t="shared" si="12"/>
        <v>0</v>
      </c>
      <c r="C284" s="52">
        <v>10</v>
      </c>
      <c r="D284" s="55">
        <v>44879</v>
      </c>
      <c r="E284" s="62">
        <v>44.3</v>
      </c>
      <c r="F284" s="62">
        <f t="shared" si="11"/>
        <v>0</v>
      </c>
      <c r="G284" s="60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1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28">
        <f t="shared" si="13"/>
        <v>0</v>
      </c>
      <c r="DX284" s="5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</row>
    <row r="285" spans="1:151" x14ac:dyDescent="0.25">
      <c r="A285" s="39" t="s">
        <v>454</v>
      </c>
      <c r="B285" s="60">
        <f t="shared" si="12"/>
        <v>0</v>
      </c>
      <c r="C285" s="52">
        <v>1</v>
      </c>
      <c r="D285" s="55">
        <v>44949</v>
      </c>
      <c r="E285" s="62">
        <v>18.989999999999998</v>
      </c>
      <c r="F285" s="62">
        <f t="shared" si="11"/>
        <v>0</v>
      </c>
      <c r="G285" s="60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1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>
        <v>5</v>
      </c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>
        <v>5</v>
      </c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28">
        <f t="shared" si="13"/>
        <v>0</v>
      </c>
      <c r="DX285" s="5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</row>
    <row r="286" spans="1:151" x14ac:dyDescent="0.25">
      <c r="A286" s="39" t="s">
        <v>502</v>
      </c>
      <c r="B286" s="60">
        <f t="shared" si="12"/>
        <v>0</v>
      </c>
      <c r="C286" s="52">
        <v>1</v>
      </c>
      <c r="D286" s="55">
        <v>44956</v>
      </c>
      <c r="E286" s="62">
        <v>37.83</v>
      </c>
      <c r="F286" s="62">
        <f t="shared" si="11"/>
        <v>0</v>
      </c>
      <c r="G286" s="60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1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>
        <v>5</v>
      </c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>
        <v>5</v>
      </c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28">
        <f t="shared" si="13"/>
        <v>0</v>
      </c>
      <c r="DX286" s="5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</row>
    <row r="287" spans="1:151" x14ac:dyDescent="0.25">
      <c r="A287" s="39" t="s">
        <v>502</v>
      </c>
      <c r="B287" s="60">
        <f t="shared" si="12"/>
        <v>0</v>
      </c>
      <c r="C287" s="52">
        <v>10</v>
      </c>
      <c r="D287" s="55">
        <v>44956</v>
      </c>
      <c r="E287" s="62">
        <v>35.700000000000003</v>
      </c>
      <c r="F287" s="62">
        <f t="shared" si="11"/>
        <v>0</v>
      </c>
      <c r="G287" s="60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1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>
        <v>20</v>
      </c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>
        <v>20</v>
      </c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28">
        <f t="shared" si="13"/>
        <v>0</v>
      </c>
      <c r="DX287" s="5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</row>
    <row r="288" spans="1:151" x14ac:dyDescent="0.25">
      <c r="A288" s="39" t="s">
        <v>228</v>
      </c>
      <c r="B288" s="60">
        <f t="shared" si="12"/>
        <v>0</v>
      </c>
      <c r="C288" s="52">
        <v>10</v>
      </c>
      <c r="D288" s="54">
        <v>44879</v>
      </c>
      <c r="E288" s="62">
        <v>46.54</v>
      </c>
      <c r="F288" s="62">
        <f t="shared" si="11"/>
        <v>0</v>
      </c>
      <c r="G288" s="60">
        <v>20</v>
      </c>
      <c r="H288" s="35"/>
      <c r="I288" s="35">
        <v>20</v>
      </c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1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28">
        <f t="shared" si="13"/>
        <v>0</v>
      </c>
      <c r="DX288" s="5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</row>
    <row r="289" spans="1:151" x14ac:dyDescent="0.25">
      <c r="A289" s="39" t="s">
        <v>503</v>
      </c>
      <c r="B289" s="60">
        <f t="shared" si="12"/>
        <v>0</v>
      </c>
      <c r="C289" s="52">
        <v>10</v>
      </c>
      <c r="D289" s="54">
        <v>44970</v>
      </c>
      <c r="E289" s="62">
        <v>41.88</v>
      </c>
      <c r="F289" s="62">
        <f t="shared" si="11"/>
        <v>0</v>
      </c>
      <c r="G289" s="60"/>
      <c r="H289" s="35"/>
      <c r="I289" s="35"/>
      <c r="J289" s="35"/>
      <c r="K289" s="35"/>
      <c r="L289" s="35">
        <v>50</v>
      </c>
      <c r="M289" s="35"/>
      <c r="N289" s="35"/>
      <c r="O289" s="35"/>
      <c r="P289" s="35"/>
      <c r="Q289" s="35"/>
      <c r="R289" s="35"/>
      <c r="S289" s="35"/>
      <c r="T289" s="35"/>
      <c r="U289" s="1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>
        <v>50</v>
      </c>
      <c r="DR289" s="35"/>
      <c r="DS289" s="35"/>
      <c r="DT289" s="35"/>
      <c r="DU289" s="35"/>
      <c r="DV289" s="35"/>
      <c r="DW289" s="28">
        <f t="shared" si="13"/>
        <v>0</v>
      </c>
      <c r="DX289" s="5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</row>
    <row r="290" spans="1:151" x14ac:dyDescent="0.25">
      <c r="A290" s="39" t="s">
        <v>112</v>
      </c>
      <c r="B290" s="60">
        <f t="shared" si="12"/>
        <v>0</v>
      </c>
      <c r="C290" s="52">
        <v>10</v>
      </c>
      <c r="D290" s="54">
        <v>44970</v>
      </c>
      <c r="E290" s="62">
        <v>29.32</v>
      </c>
      <c r="F290" s="62">
        <f t="shared" ref="F290:F350" si="14">E290*B290</f>
        <v>0</v>
      </c>
      <c r="G290" s="60">
        <v>10</v>
      </c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1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>
        <v>3</v>
      </c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>
        <v>10</v>
      </c>
      <c r="CP290" s="35"/>
      <c r="CQ290" s="35"/>
      <c r="CR290" s="35"/>
      <c r="CS290" s="35">
        <v>3</v>
      </c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>
        <v>20</v>
      </c>
      <c r="DR290" s="35"/>
      <c r="DS290" s="35">
        <v>20</v>
      </c>
      <c r="DT290" s="35"/>
      <c r="DU290" s="35"/>
      <c r="DV290" s="35"/>
      <c r="DW290" s="28">
        <f t="shared" si="13"/>
        <v>0</v>
      </c>
      <c r="DX290" s="5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</row>
    <row r="291" spans="1:151" x14ac:dyDescent="0.25">
      <c r="A291" s="39" t="s">
        <v>112</v>
      </c>
      <c r="B291" s="60">
        <f t="shared" si="12"/>
        <v>10</v>
      </c>
      <c r="C291" s="52">
        <v>10</v>
      </c>
      <c r="D291" s="54">
        <v>44949</v>
      </c>
      <c r="E291" s="62">
        <v>29.55</v>
      </c>
      <c r="F291" s="62">
        <f t="shared" si="14"/>
        <v>295.5</v>
      </c>
      <c r="G291" s="60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1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>
        <v>10</v>
      </c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>
        <v>40</v>
      </c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>
        <v>40</v>
      </c>
      <c r="CT291" s="35"/>
      <c r="CU291" s="35"/>
      <c r="CV291" s="35"/>
      <c r="CW291" s="35"/>
      <c r="CX291" s="35"/>
      <c r="CY291" s="35"/>
      <c r="CZ291" s="35"/>
      <c r="DA291" s="35"/>
      <c r="DB291" s="35">
        <v>10</v>
      </c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28">
        <f t="shared" si="13"/>
        <v>0</v>
      </c>
      <c r="DX291" s="5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</row>
    <row r="292" spans="1:151" s="33" customFormat="1" ht="12.75" customHeight="1" x14ac:dyDescent="0.25">
      <c r="A292" s="47" t="s">
        <v>19</v>
      </c>
      <c r="B292" s="60">
        <f t="shared" si="12"/>
        <v>60</v>
      </c>
      <c r="C292" s="52">
        <v>10</v>
      </c>
      <c r="D292" s="55">
        <v>44924</v>
      </c>
      <c r="E292" s="62">
        <v>39.909999999999997</v>
      </c>
      <c r="F292" s="62">
        <f t="shared" si="14"/>
        <v>2394.6</v>
      </c>
      <c r="G292" s="60">
        <v>100</v>
      </c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15"/>
      <c r="V292" s="35"/>
      <c r="W292" s="35"/>
      <c r="X292" s="35"/>
      <c r="Y292" s="35"/>
      <c r="Z292" s="35"/>
      <c r="AA292" s="35"/>
      <c r="AB292" s="35"/>
      <c r="AC292" s="35"/>
      <c r="AD292" s="35">
        <v>40</v>
      </c>
      <c r="AE292" s="35"/>
      <c r="AF292" s="35"/>
      <c r="AG292" s="35"/>
      <c r="AH292" s="35"/>
      <c r="AI292" s="35">
        <v>60</v>
      </c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28">
        <f t="shared" si="13"/>
        <v>0</v>
      </c>
      <c r="DX292" s="5"/>
    </row>
    <row r="293" spans="1:151" s="33" customFormat="1" ht="12.75" customHeight="1" x14ac:dyDescent="0.25">
      <c r="A293" s="47" t="s">
        <v>445</v>
      </c>
      <c r="B293" s="60">
        <f t="shared" si="12"/>
        <v>0</v>
      </c>
      <c r="C293" s="52">
        <v>9</v>
      </c>
      <c r="D293" s="55">
        <v>44680</v>
      </c>
      <c r="E293" s="62">
        <v>98.22</v>
      </c>
      <c r="F293" s="62">
        <f>E293*B293</f>
        <v>0</v>
      </c>
      <c r="G293" s="60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1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28">
        <f t="shared" si="13"/>
        <v>0</v>
      </c>
      <c r="DX293" s="5"/>
    </row>
    <row r="294" spans="1:151" s="33" customFormat="1" ht="12.75" customHeight="1" x14ac:dyDescent="0.25">
      <c r="A294" s="47" t="s">
        <v>245</v>
      </c>
      <c r="B294" s="60">
        <f t="shared" si="12"/>
        <v>0</v>
      </c>
      <c r="C294" s="52">
        <v>10</v>
      </c>
      <c r="D294" s="55">
        <v>44593</v>
      </c>
      <c r="E294" s="62">
        <v>30.84</v>
      </c>
      <c r="F294" s="62">
        <f t="shared" si="14"/>
        <v>0</v>
      </c>
      <c r="G294" s="60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1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28">
        <f t="shared" si="13"/>
        <v>0</v>
      </c>
      <c r="DX294" s="5"/>
    </row>
    <row r="295" spans="1:151" s="33" customFormat="1" ht="12.75" customHeight="1" x14ac:dyDescent="0.25">
      <c r="A295" s="47" t="s">
        <v>203</v>
      </c>
      <c r="B295" s="60">
        <f t="shared" si="12"/>
        <v>140</v>
      </c>
      <c r="C295" s="52">
        <v>10</v>
      </c>
      <c r="D295" s="54">
        <v>44949</v>
      </c>
      <c r="E295" s="62">
        <v>29.55</v>
      </c>
      <c r="F295" s="62">
        <f t="shared" si="14"/>
        <v>4137</v>
      </c>
      <c r="G295" s="60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1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>
        <v>160</v>
      </c>
      <c r="AL295" s="35">
        <v>140</v>
      </c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>
        <v>300</v>
      </c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28">
        <f t="shared" si="13"/>
        <v>0</v>
      </c>
      <c r="DX295" s="5"/>
    </row>
    <row r="296" spans="1:151" ht="12.75" customHeight="1" x14ac:dyDescent="0.25">
      <c r="A296" s="39" t="s">
        <v>113</v>
      </c>
      <c r="B296" s="60">
        <f t="shared" si="12"/>
        <v>0</v>
      </c>
      <c r="C296" s="52">
        <v>10</v>
      </c>
      <c r="D296" s="55">
        <v>44914</v>
      </c>
      <c r="E296" s="62">
        <v>37.04</v>
      </c>
      <c r="F296" s="62">
        <f t="shared" si="14"/>
        <v>0</v>
      </c>
      <c r="G296" s="60">
        <v>140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1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>
        <v>60</v>
      </c>
      <c r="AK296" s="35">
        <v>80</v>
      </c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28">
        <f t="shared" si="13"/>
        <v>0</v>
      </c>
      <c r="DX296" s="5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</row>
    <row r="297" spans="1:151" ht="12.75" customHeight="1" x14ac:dyDescent="0.25">
      <c r="A297" s="39" t="s">
        <v>113</v>
      </c>
      <c r="B297" s="60">
        <f t="shared" si="12"/>
        <v>90</v>
      </c>
      <c r="C297" s="52">
        <v>10</v>
      </c>
      <c r="D297" s="55">
        <v>44924</v>
      </c>
      <c r="E297" s="62">
        <v>35.700000000000003</v>
      </c>
      <c r="F297" s="62">
        <f t="shared" si="14"/>
        <v>3213.0000000000005</v>
      </c>
      <c r="G297" s="60">
        <v>170</v>
      </c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1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>
        <v>80</v>
      </c>
      <c r="AL297" s="35">
        <v>90</v>
      </c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28">
        <f t="shared" si="13"/>
        <v>0</v>
      </c>
      <c r="DX297" s="5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</row>
    <row r="298" spans="1:151" ht="12.75" customHeight="1" x14ac:dyDescent="0.25">
      <c r="A298" s="39" t="s">
        <v>229</v>
      </c>
      <c r="B298" s="60">
        <f t="shared" si="12"/>
        <v>0</v>
      </c>
      <c r="C298" s="52">
        <v>1</v>
      </c>
      <c r="D298" s="54">
        <v>44914</v>
      </c>
      <c r="E298" s="62">
        <v>45.78</v>
      </c>
      <c r="F298" s="62">
        <f t="shared" si="14"/>
        <v>0</v>
      </c>
      <c r="G298" s="60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1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28">
        <f t="shared" si="13"/>
        <v>0</v>
      </c>
      <c r="DX298" s="5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</row>
    <row r="299" spans="1:151" ht="12.75" customHeight="1" x14ac:dyDescent="0.25">
      <c r="A299" s="39" t="s">
        <v>478</v>
      </c>
      <c r="B299" s="60">
        <f t="shared" si="12"/>
        <v>0</v>
      </c>
      <c r="C299" s="52">
        <v>1</v>
      </c>
      <c r="D299" s="54">
        <v>44753</v>
      </c>
      <c r="E299" s="62">
        <v>24.05</v>
      </c>
      <c r="F299" s="62">
        <f t="shared" si="14"/>
        <v>0</v>
      </c>
      <c r="G299" s="60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1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28">
        <f t="shared" si="13"/>
        <v>0</v>
      </c>
      <c r="DX299" s="5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</row>
    <row r="300" spans="1:151" ht="12.75" customHeight="1" x14ac:dyDescent="0.25">
      <c r="A300" s="39" t="s">
        <v>151</v>
      </c>
      <c r="B300" s="60">
        <f t="shared" si="12"/>
        <v>0.6</v>
      </c>
      <c r="C300" s="52">
        <v>0.9</v>
      </c>
      <c r="D300" s="54">
        <v>44494</v>
      </c>
      <c r="E300" s="62">
        <v>39.299999999999997</v>
      </c>
      <c r="F300" s="62">
        <f t="shared" si="14"/>
        <v>23.58</v>
      </c>
      <c r="G300" s="60">
        <v>0.6</v>
      </c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1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>
        <v>0.6</v>
      </c>
      <c r="DW300" s="28">
        <f t="shared" si="13"/>
        <v>0</v>
      </c>
      <c r="DX300" s="5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</row>
    <row r="301" spans="1:151" ht="12.75" customHeight="1" x14ac:dyDescent="0.25">
      <c r="A301" s="39" t="s">
        <v>538</v>
      </c>
      <c r="B301" s="60">
        <f t="shared" si="12"/>
        <v>0</v>
      </c>
      <c r="C301" s="52">
        <v>1</v>
      </c>
      <c r="D301" s="54">
        <v>44949</v>
      </c>
      <c r="E301" s="62">
        <v>54.86</v>
      </c>
      <c r="F301" s="62">
        <f t="shared" si="14"/>
        <v>0</v>
      </c>
      <c r="G301" s="60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1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>
        <v>2</v>
      </c>
      <c r="CT301" s="35"/>
      <c r="CU301" s="35"/>
      <c r="CV301" s="35"/>
      <c r="CW301" s="35"/>
      <c r="CX301" s="35">
        <v>2</v>
      </c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28">
        <f t="shared" si="13"/>
        <v>0</v>
      </c>
      <c r="DX301" s="5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</row>
    <row r="302" spans="1:151" ht="12.75" customHeight="1" x14ac:dyDescent="0.25">
      <c r="A302" s="39" t="s">
        <v>110</v>
      </c>
      <c r="B302" s="60">
        <f t="shared" si="12"/>
        <v>0</v>
      </c>
      <c r="C302" s="52">
        <v>1</v>
      </c>
      <c r="D302" s="54">
        <v>44851</v>
      </c>
      <c r="E302" s="62">
        <v>71.48</v>
      </c>
      <c r="F302" s="62">
        <f t="shared" si="14"/>
        <v>0</v>
      </c>
      <c r="G302" s="60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1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28">
        <f t="shared" si="13"/>
        <v>0</v>
      </c>
      <c r="DX302" s="5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</row>
    <row r="303" spans="1:151" ht="12.75" customHeight="1" x14ac:dyDescent="0.25">
      <c r="A303" s="39" t="s">
        <v>138</v>
      </c>
      <c r="B303" s="60">
        <f t="shared" si="12"/>
        <v>10</v>
      </c>
      <c r="C303" s="52">
        <v>10</v>
      </c>
      <c r="D303" s="54">
        <v>44865</v>
      </c>
      <c r="E303" s="62">
        <v>77.55</v>
      </c>
      <c r="F303" s="62">
        <f t="shared" si="14"/>
        <v>775.5</v>
      </c>
      <c r="G303" s="60">
        <v>20</v>
      </c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1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>
        <v>10</v>
      </c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>
        <v>10</v>
      </c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28">
        <f t="shared" si="13"/>
        <v>0</v>
      </c>
      <c r="DX303" s="5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</row>
    <row r="304" spans="1:151" ht="12.75" customHeight="1" x14ac:dyDescent="0.25">
      <c r="A304" s="39" t="s">
        <v>136</v>
      </c>
      <c r="B304" s="60">
        <f t="shared" si="12"/>
        <v>10</v>
      </c>
      <c r="C304" s="52">
        <v>10</v>
      </c>
      <c r="D304" s="54">
        <v>44858</v>
      </c>
      <c r="E304" s="62">
        <v>80.459999999999994</v>
      </c>
      <c r="F304" s="62">
        <f t="shared" si="14"/>
        <v>804.59999999999991</v>
      </c>
      <c r="G304" s="60">
        <v>10</v>
      </c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1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>
        <v>10</v>
      </c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28">
        <f t="shared" si="13"/>
        <v>0</v>
      </c>
      <c r="DX304" s="5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</row>
    <row r="305" spans="1:151" ht="15.6" x14ac:dyDescent="0.3">
      <c r="A305" s="18" t="s">
        <v>21</v>
      </c>
      <c r="B305" s="80">
        <f>SUM(B4:B304)</f>
        <v>5350.3</v>
      </c>
      <c r="C305" s="51"/>
      <c r="D305" s="56"/>
      <c r="E305" s="57"/>
      <c r="F305" s="62">
        <f t="shared" si="14"/>
        <v>0</v>
      </c>
      <c r="G305" s="19">
        <f>SUM(G4:G304)</f>
        <v>6159.9000000000005</v>
      </c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109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19">
        <f t="shared" si="13"/>
        <v>5350.3</v>
      </c>
      <c r="DX305" s="5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</row>
    <row r="306" spans="1:151" s="5" customFormat="1" ht="12" customHeight="1" x14ac:dyDescent="0.25">
      <c r="A306" s="39" t="s">
        <v>429</v>
      </c>
      <c r="B306" s="60">
        <f t="shared" ref="B306:B337" si="15">SUMIF(G$3:DV$3,"прих",G306:DV306)-SUMIF(G$3:DV$3,"отгр",G306:DV306)</f>
        <v>0</v>
      </c>
      <c r="C306" s="52">
        <v>1</v>
      </c>
      <c r="D306" s="54">
        <v>44665</v>
      </c>
      <c r="E306" s="62">
        <v>42.08</v>
      </c>
      <c r="F306" s="62">
        <f t="shared" ref="F306:F313" si="16">E306*B306</f>
        <v>0</v>
      </c>
      <c r="G306" s="60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1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61">
        <f t="shared" si="13"/>
        <v>0</v>
      </c>
    </row>
    <row r="307" spans="1:151" s="5" customFormat="1" ht="12" customHeight="1" x14ac:dyDescent="0.25">
      <c r="A307" s="39" t="s">
        <v>433</v>
      </c>
      <c r="B307" s="60">
        <f t="shared" si="15"/>
        <v>0</v>
      </c>
      <c r="C307" s="52">
        <v>1</v>
      </c>
      <c r="D307" s="54">
        <v>44585</v>
      </c>
      <c r="E307" s="62">
        <v>63.39</v>
      </c>
      <c r="F307" s="62">
        <f t="shared" si="16"/>
        <v>0</v>
      </c>
      <c r="G307" s="60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1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61">
        <f t="shared" si="13"/>
        <v>0</v>
      </c>
    </row>
    <row r="308" spans="1:151" s="5" customFormat="1" ht="12" customHeight="1" x14ac:dyDescent="0.25">
      <c r="A308" s="39" t="s">
        <v>479</v>
      </c>
      <c r="B308" s="60">
        <f t="shared" si="15"/>
        <v>5</v>
      </c>
      <c r="C308" s="52">
        <v>5</v>
      </c>
      <c r="D308" s="54">
        <v>44718</v>
      </c>
      <c r="E308" s="62">
        <v>46.56</v>
      </c>
      <c r="F308" s="62">
        <f t="shared" si="16"/>
        <v>232.8</v>
      </c>
      <c r="G308" s="60">
        <v>5</v>
      </c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1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>
        <v>5</v>
      </c>
      <c r="DW308" s="61">
        <f t="shared" si="13"/>
        <v>0</v>
      </c>
    </row>
    <row r="309" spans="1:151" s="5" customFormat="1" ht="12" customHeight="1" x14ac:dyDescent="0.25">
      <c r="A309" s="39" t="s">
        <v>517</v>
      </c>
      <c r="B309" s="60">
        <f t="shared" si="15"/>
        <v>0</v>
      </c>
      <c r="C309" s="52">
        <v>25</v>
      </c>
      <c r="D309" s="54">
        <v>44914</v>
      </c>
      <c r="E309" s="62">
        <v>40.049999999999997</v>
      </c>
      <c r="F309" s="62">
        <f t="shared" si="16"/>
        <v>0</v>
      </c>
      <c r="G309" s="60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1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61">
        <f t="shared" si="13"/>
        <v>0</v>
      </c>
    </row>
    <row r="310" spans="1:151" s="5" customFormat="1" ht="12" customHeight="1" x14ac:dyDescent="0.25">
      <c r="A310" s="39" t="s">
        <v>480</v>
      </c>
      <c r="B310" s="60">
        <f t="shared" si="15"/>
        <v>0</v>
      </c>
      <c r="C310" s="52">
        <v>10</v>
      </c>
      <c r="D310" s="54">
        <v>44739</v>
      </c>
      <c r="E310" s="62">
        <v>38.869999999999997</v>
      </c>
      <c r="F310" s="62">
        <f t="shared" si="16"/>
        <v>0</v>
      </c>
      <c r="G310" s="60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1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61">
        <f t="shared" si="13"/>
        <v>0</v>
      </c>
    </row>
    <row r="311" spans="1:151" s="5" customFormat="1" ht="12" customHeight="1" x14ac:dyDescent="0.25">
      <c r="A311" s="39" t="s">
        <v>480</v>
      </c>
      <c r="B311" s="60">
        <f t="shared" si="15"/>
        <v>240</v>
      </c>
      <c r="C311" s="52">
        <v>10</v>
      </c>
      <c r="D311" s="54">
        <v>44753</v>
      </c>
      <c r="E311" s="62">
        <v>49.75</v>
      </c>
      <c r="F311" s="62">
        <f t="shared" si="16"/>
        <v>11940</v>
      </c>
      <c r="G311" s="60">
        <v>270</v>
      </c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1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>
        <v>30</v>
      </c>
      <c r="AZ311" s="35"/>
      <c r="BA311" s="35"/>
      <c r="BB311" s="35">
        <v>240</v>
      </c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61">
        <f t="shared" si="13"/>
        <v>0</v>
      </c>
    </row>
    <row r="312" spans="1:151" s="5" customFormat="1" ht="12" customHeight="1" x14ac:dyDescent="0.25">
      <c r="A312" s="39" t="s">
        <v>516</v>
      </c>
      <c r="B312" s="60">
        <f t="shared" si="15"/>
        <v>0</v>
      </c>
      <c r="C312" s="52">
        <v>5</v>
      </c>
      <c r="D312" s="54">
        <v>44893</v>
      </c>
      <c r="E312" s="62">
        <v>11.21</v>
      </c>
      <c r="F312" s="62">
        <f t="shared" si="16"/>
        <v>0</v>
      </c>
      <c r="G312" s="60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1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61">
        <f t="shared" si="13"/>
        <v>0</v>
      </c>
    </row>
    <row r="313" spans="1:151" s="5" customFormat="1" ht="12" customHeight="1" x14ac:dyDescent="0.25">
      <c r="A313" s="39" t="s">
        <v>519</v>
      </c>
      <c r="B313" s="60">
        <f t="shared" si="15"/>
        <v>0</v>
      </c>
      <c r="C313" s="52">
        <v>1</v>
      </c>
      <c r="D313" s="54">
        <v>44914</v>
      </c>
      <c r="E313" s="62">
        <v>61.62</v>
      </c>
      <c r="F313" s="62">
        <f t="shared" si="16"/>
        <v>0</v>
      </c>
      <c r="G313" s="60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1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61">
        <f t="shared" si="13"/>
        <v>0</v>
      </c>
    </row>
    <row r="314" spans="1:151" s="5" customFormat="1" ht="12" customHeight="1" x14ac:dyDescent="0.25">
      <c r="A314" s="39" t="s">
        <v>377</v>
      </c>
      <c r="B314" s="60">
        <f t="shared" si="15"/>
        <v>0</v>
      </c>
      <c r="C314" s="52">
        <v>1</v>
      </c>
      <c r="D314" s="54">
        <v>44914</v>
      </c>
      <c r="E314" s="62">
        <v>141.41</v>
      </c>
      <c r="F314" s="62">
        <f t="shared" si="14"/>
        <v>0</v>
      </c>
      <c r="G314" s="60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1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61">
        <f t="shared" si="13"/>
        <v>0</v>
      </c>
    </row>
    <row r="315" spans="1:151" s="5" customFormat="1" ht="12" customHeight="1" x14ac:dyDescent="0.25">
      <c r="A315" s="39" t="s">
        <v>400</v>
      </c>
      <c r="B315" s="60">
        <f t="shared" si="15"/>
        <v>0</v>
      </c>
      <c r="C315" s="52">
        <v>1</v>
      </c>
      <c r="D315" s="54">
        <v>44897</v>
      </c>
      <c r="E315" s="62">
        <v>73.27</v>
      </c>
      <c r="F315" s="62">
        <f t="shared" si="14"/>
        <v>0</v>
      </c>
      <c r="G315" s="60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1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61">
        <f t="shared" si="13"/>
        <v>0</v>
      </c>
    </row>
    <row r="316" spans="1:151" s="5" customFormat="1" ht="12" customHeight="1" x14ac:dyDescent="0.25">
      <c r="A316" s="39" t="s">
        <v>378</v>
      </c>
      <c r="B316" s="60">
        <f t="shared" si="15"/>
        <v>0</v>
      </c>
      <c r="C316" s="52">
        <v>1</v>
      </c>
      <c r="D316" s="54">
        <v>44914</v>
      </c>
      <c r="E316" s="62">
        <v>61.62</v>
      </c>
      <c r="F316" s="62">
        <f t="shared" si="14"/>
        <v>0</v>
      </c>
      <c r="G316" s="60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1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61">
        <f t="shared" si="13"/>
        <v>0</v>
      </c>
    </row>
    <row r="317" spans="1:151" s="5" customFormat="1" ht="12" customHeight="1" x14ac:dyDescent="0.25">
      <c r="A317" s="39" t="s">
        <v>412</v>
      </c>
      <c r="B317" s="60">
        <f t="shared" si="15"/>
        <v>0</v>
      </c>
      <c r="C317" s="52">
        <v>1</v>
      </c>
      <c r="D317" s="54">
        <v>44914</v>
      </c>
      <c r="E317" s="62">
        <v>61.93</v>
      </c>
      <c r="F317" s="62">
        <f t="shared" si="14"/>
        <v>0</v>
      </c>
      <c r="G317" s="60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1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61">
        <f t="shared" si="13"/>
        <v>0</v>
      </c>
    </row>
    <row r="318" spans="1:151" s="5" customFormat="1" ht="12" customHeight="1" x14ac:dyDescent="0.25">
      <c r="A318" s="39" t="s">
        <v>379</v>
      </c>
      <c r="B318" s="60">
        <f t="shared" si="15"/>
        <v>0</v>
      </c>
      <c r="C318" s="52">
        <v>1</v>
      </c>
      <c r="D318" s="54">
        <v>44914</v>
      </c>
      <c r="E318" s="62">
        <v>104.44</v>
      </c>
      <c r="F318" s="62">
        <f t="shared" si="14"/>
        <v>0</v>
      </c>
      <c r="G318" s="60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1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61">
        <f t="shared" si="13"/>
        <v>0</v>
      </c>
    </row>
    <row r="319" spans="1:151" s="5" customFormat="1" ht="12" customHeight="1" x14ac:dyDescent="0.25">
      <c r="A319" s="39" t="s">
        <v>409</v>
      </c>
      <c r="B319" s="60">
        <f t="shared" si="15"/>
        <v>0</v>
      </c>
      <c r="C319" s="52">
        <v>1</v>
      </c>
      <c r="D319" s="55">
        <v>44914</v>
      </c>
      <c r="E319" s="62">
        <v>65.319999999999993</v>
      </c>
      <c r="F319" s="62">
        <f t="shared" si="14"/>
        <v>0</v>
      </c>
      <c r="G319" s="60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1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61">
        <f t="shared" si="13"/>
        <v>0</v>
      </c>
    </row>
    <row r="320" spans="1:151" s="5" customFormat="1" ht="12" customHeight="1" x14ac:dyDescent="0.25">
      <c r="A320" s="39" t="s">
        <v>382</v>
      </c>
      <c r="B320" s="60">
        <f t="shared" si="15"/>
        <v>10</v>
      </c>
      <c r="C320" s="52">
        <v>1</v>
      </c>
      <c r="D320" s="54">
        <v>44624</v>
      </c>
      <c r="E320" s="62">
        <v>68.55</v>
      </c>
      <c r="F320" s="62">
        <f t="shared" si="14"/>
        <v>685.5</v>
      </c>
      <c r="G320" s="60">
        <v>10</v>
      </c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1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>
        <v>10</v>
      </c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61">
        <f t="shared" si="13"/>
        <v>0</v>
      </c>
    </row>
    <row r="321" spans="1:127" s="5" customFormat="1" ht="12" customHeight="1" x14ac:dyDescent="0.25">
      <c r="A321" s="39" t="s">
        <v>316</v>
      </c>
      <c r="B321" s="60">
        <f t="shared" si="15"/>
        <v>0</v>
      </c>
      <c r="C321" s="52">
        <v>1</v>
      </c>
      <c r="D321" s="54">
        <v>44963</v>
      </c>
      <c r="E321" s="62">
        <v>87.15</v>
      </c>
      <c r="F321" s="62">
        <f t="shared" si="14"/>
        <v>0</v>
      </c>
      <c r="G321" s="60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1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>
        <v>5</v>
      </c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>
        <v>5</v>
      </c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61">
        <f t="shared" si="13"/>
        <v>0</v>
      </c>
    </row>
    <row r="322" spans="1:127" s="5" customFormat="1" ht="12" customHeight="1" x14ac:dyDescent="0.25">
      <c r="A322" s="39" t="s">
        <v>317</v>
      </c>
      <c r="B322" s="60">
        <f t="shared" si="15"/>
        <v>1</v>
      </c>
      <c r="C322" s="52">
        <v>1</v>
      </c>
      <c r="D322" s="54">
        <v>44963</v>
      </c>
      <c r="E322" s="88">
        <v>40.22</v>
      </c>
      <c r="F322" s="62">
        <f t="shared" si="14"/>
        <v>40.22</v>
      </c>
      <c r="G322" s="60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1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>
        <v>5</v>
      </c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>
        <v>1</v>
      </c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>
        <v>6</v>
      </c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61">
        <f t="shared" si="13"/>
        <v>0</v>
      </c>
    </row>
    <row r="323" spans="1:127" s="5" customFormat="1" ht="12" customHeight="1" x14ac:dyDescent="0.25">
      <c r="A323" s="39" t="s">
        <v>286</v>
      </c>
      <c r="B323" s="60">
        <f t="shared" si="15"/>
        <v>0</v>
      </c>
      <c r="C323" s="52">
        <v>1</v>
      </c>
      <c r="D323" s="54">
        <v>44775</v>
      </c>
      <c r="E323" s="62">
        <v>41.59</v>
      </c>
      <c r="F323" s="62">
        <f t="shared" si="14"/>
        <v>0</v>
      </c>
      <c r="G323" s="60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1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61">
        <f t="shared" si="13"/>
        <v>0</v>
      </c>
    </row>
    <row r="324" spans="1:127" s="5" customFormat="1" ht="12" customHeight="1" x14ac:dyDescent="0.25">
      <c r="A324" s="39" t="s">
        <v>304</v>
      </c>
      <c r="B324" s="60">
        <f t="shared" si="15"/>
        <v>11</v>
      </c>
      <c r="C324" s="52">
        <v>1</v>
      </c>
      <c r="D324" s="54">
        <v>44832</v>
      </c>
      <c r="E324" s="62">
        <v>35.58</v>
      </c>
      <c r="F324" s="62">
        <f t="shared" si="14"/>
        <v>391.38</v>
      </c>
      <c r="G324" s="60">
        <v>11</v>
      </c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1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>
        <v>11</v>
      </c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61">
        <f t="shared" ref="DW324:DW387" si="17">$B324-SUMIF($G$3:$IK$3,"",$G324:$IK324)</f>
        <v>0</v>
      </c>
    </row>
    <row r="325" spans="1:127" s="5" customFormat="1" ht="12" customHeight="1" x14ac:dyDescent="0.25">
      <c r="A325" s="39" t="s">
        <v>488</v>
      </c>
      <c r="B325" s="60">
        <f t="shared" si="15"/>
        <v>12</v>
      </c>
      <c r="C325" s="52">
        <v>1</v>
      </c>
      <c r="D325" s="55">
        <v>44865</v>
      </c>
      <c r="E325" s="62">
        <v>88.97</v>
      </c>
      <c r="F325" s="62">
        <f t="shared" si="14"/>
        <v>1067.6399999999999</v>
      </c>
      <c r="G325" s="60">
        <v>12</v>
      </c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1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>
        <v>12</v>
      </c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61">
        <f t="shared" si="17"/>
        <v>0</v>
      </c>
    </row>
    <row r="326" spans="1:127" s="5" customFormat="1" x14ac:dyDescent="0.25">
      <c r="A326" s="39" t="s">
        <v>259</v>
      </c>
      <c r="B326" s="60">
        <f t="shared" si="15"/>
        <v>0</v>
      </c>
      <c r="C326" s="52">
        <v>1</v>
      </c>
      <c r="D326" s="55">
        <v>44897</v>
      </c>
      <c r="E326" s="62">
        <v>96.72</v>
      </c>
      <c r="F326" s="62">
        <f t="shared" si="14"/>
        <v>0</v>
      </c>
      <c r="G326" s="60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1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61">
        <f t="shared" si="17"/>
        <v>0</v>
      </c>
    </row>
    <row r="327" spans="1:127" s="5" customFormat="1" x14ac:dyDescent="0.25">
      <c r="A327" s="39" t="s">
        <v>487</v>
      </c>
      <c r="B327" s="60">
        <f t="shared" si="15"/>
        <v>0</v>
      </c>
      <c r="C327" s="52">
        <v>1</v>
      </c>
      <c r="D327" s="55">
        <v>44963</v>
      </c>
      <c r="E327" s="62">
        <v>75.42</v>
      </c>
      <c r="F327" s="62">
        <f t="shared" si="14"/>
        <v>0</v>
      </c>
      <c r="G327" s="60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1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>
        <v>1</v>
      </c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>
        <v>1</v>
      </c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61">
        <f t="shared" si="17"/>
        <v>0</v>
      </c>
    </row>
    <row r="328" spans="1:127" s="5" customFormat="1" ht="12" customHeight="1" x14ac:dyDescent="0.25">
      <c r="A328" s="39" t="s">
        <v>518</v>
      </c>
      <c r="B328" s="60">
        <f t="shared" si="15"/>
        <v>0</v>
      </c>
      <c r="C328" s="52">
        <v>1</v>
      </c>
      <c r="D328" s="54">
        <v>44914</v>
      </c>
      <c r="E328" s="62">
        <v>73.94</v>
      </c>
      <c r="F328" s="62">
        <f t="shared" si="14"/>
        <v>0</v>
      </c>
      <c r="G328" s="60">
        <v>1</v>
      </c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15"/>
      <c r="V328" s="35"/>
      <c r="W328" s="35"/>
      <c r="X328" s="35"/>
      <c r="Y328" s="35"/>
      <c r="Z328" s="35"/>
      <c r="AA328" s="35"/>
      <c r="AB328" s="35"/>
      <c r="AC328" s="35">
        <v>1</v>
      </c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61">
        <f t="shared" si="17"/>
        <v>0</v>
      </c>
    </row>
    <row r="329" spans="1:127" s="5" customFormat="1" ht="12" customHeight="1" x14ac:dyDescent="0.25">
      <c r="A329" s="39" t="s">
        <v>354</v>
      </c>
      <c r="B329" s="60">
        <f t="shared" si="15"/>
        <v>0</v>
      </c>
      <c r="C329" s="52">
        <v>10</v>
      </c>
      <c r="D329" s="54">
        <v>44914</v>
      </c>
      <c r="E329" s="62">
        <v>20.83</v>
      </c>
      <c r="F329" s="62">
        <f t="shared" si="14"/>
        <v>0</v>
      </c>
      <c r="G329" s="60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1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61">
        <f t="shared" si="17"/>
        <v>0</v>
      </c>
    </row>
    <row r="330" spans="1:127" s="5" customFormat="1" ht="12" customHeight="1" x14ac:dyDescent="0.25">
      <c r="A330" s="39" t="s">
        <v>310</v>
      </c>
      <c r="B330" s="60">
        <f t="shared" si="15"/>
        <v>2</v>
      </c>
      <c r="C330" s="52">
        <v>1</v>
      </c>
      <c r="D330" s="54">
        <v>44739</v>
      </c>
      <c r="E330" s="62">
        <v>59.59</v>
      </c>
      <c r="F330" s="62">
        <f t="shared" si="14"/>
        <v>119.18</v>
      </c>
      <c r="G330" s="60">
        <v>4</v>
      </c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1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>
        <v>1</v>
      </c>
      <c r="AZ330" s="35"/>
      <c r="BA330" s="35"/>
      <c r="BB330" s="35">
        <v>2</v>
      </c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>
        <v>1</v>
      </c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61">
        <f t="shared" si="17"/>
        <v>0</v>
      </c>
    </row>
    <row r="331" spans="1:127" s="5" customFormat="1" x14ac:dyDescent="0.25">
      <c r="A331" s="39" t="s">
        <v>310</v>
      </c>
      <c r="B331" s="60">
        <f t="shared" si="15"/>
        <v>3</v>
      </c>
      <c r="C331" s="52">
        <v>1</v>
      </c>
      <c r="D331" s="55">
        <v>44963</v>
      </c>
      <c r="E331" s="62">
        <v>90.5</v>
      </c>
      <c r="F331" s="62">
        <f t="shared" si="14"/>
        <v>271.5</v>
      </c>
      <c r="G331" s="60">
        <v>2</v>
      </c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1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>
        <v>3</v>
      </c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>
        <v>2</v>
      </c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>
        <v>3</v>
      </c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61">
        <f t="shared" si="17"/>
        <v>0</v>
      </c>
    </row>
    <row r="332" spans="1:127" s="5" customFormat="1" x14ac:dyDescent="0.25">
      <c r="A332" s="39" t="s">
        <v>310</v>
      </c>
      <c r="B332" s="60">
        <f t="shared" si="15"/>
        <v>6</v>
      </c>
      <c r="C332" s="52">
        <v>1</v>
      </c>
      <c r="D332" s="55">
        <v>44775</v>
      </c>
      <c r="E332" s="62">
        <v>64.31</v>
      </c>
      <c r="F332" s="62">
        <f t="shared" si="14"/>
        <v>385.86</v>
      </c>
      <c r="G332" s="60">
        <v>6</v>
      </c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1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>
        <v>6</v>
      </c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61">
        <f t="shared" si="17"/>
        <v>0</v>
      </c>
    </row>
    <row r="333" spans="1:127" s="5" customFormat="1" x14ac:dyDescent="0.25">
      <c r="A333" s="39" t="s">
        <v>440</v>
      </c>
      <c r="B333" s="60">
        <f t="shared" si="15"/>
        <v>0</v>
      </c>
      <c r="C333" s="52">
        <v>1</v>
      </c>
      <c r="D333" s="55">
        <v>44606</v>
      </c>
      <c r="E333" s="62">
        <v>33.79</v>
      </c>
      <c r="F333" s="62">
        <f t="shared" si="14"/>
        <v>0</v>
      </c>
      <c r="G333" s="60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1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61">
        <f t="shared" si="17"/>
        <v>0</v>
      </c>
    </row>
    <row r="334" spans="1:127" s="5" customFormat="1" x14ac:dyDescent="0.25">
      <c r="A334" s="39" t="s">
        <v>292</v>
      </c>
      <c r="B334" s="60">
        <f t="shared" si="15"/>
        <v>0</v>
      </c>
      <c r="C334" s="52">
        <v>1</v>
      </c>
      <c r="D334" s="54">
        <v>44886</v>
      </c>
      <c r="E334" s="62">
        <v>58.33</v>
      </c>
      <c r="F334" s="62">
        <f t="shared" si="14"/>
        <v>0</v>
      </c>
      <c r="G334" s="60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1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61">
        <f t="shared" si="17"/>
        <v>0</v>
      </c>
    </row>
    <row r="335" spans="1:127" s="5" customFormat="1" x14ac:dyDescent="0.25">
      <c r="A335" s="39" t="s">
        <v>470</v>
      </c>
      <c r="B335" s="60">
        <f t="shared" si="15"/>
        <v>0</v>
      </c>
      <c r="C335" s="52">
        <v>5</v>
      </c>
      <c r="D335" s="54">
        <v>44851</v>
      </c>
      <c r="E335" s="62">
        <v>167.08</v>
      </c>
      <c r="F335" s="62">
        <f t="shared" si="14"/>
        <v>0</v>
      </c>
      <c r="G335" s="60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1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61">
        <f t="shared" si="17"/>
        <v>0</v>
      </c>
    </row>
    <row r="336" spans="1:127" s="5" customFormat="1" ht="12" customHeight="1" x14ac:dyDescent="0.25">
      <c r="A336" s="39" t="s">
        <v>457</v>
      </c>
      <c r="B336" s="60">
        <f t="shared" si="15"/>
        <v>0</v>
      </c>
      <c r="C336" s="52">
        <v>1</v>
      </c>
      <c r="D336" s="54">
        <v>44914</v>
      </c>
      <c r="E336" s="62">
        <v>39.68</v>
      </c>
      <c r="F336" s="62">
        <f t="shared" ref="F336:F342" si="18">E336*B336</f>
        <v>0</v>
      </c>
      <c r="G336" s="60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1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61">
        <f t="shared" si="17"/>
        <v>0</v>
      </c>
    </row>
    <row r="337" spans="1:127" s="5" customFormat="1" ht="12" customHeight="1" x14ac:dyDescent="0.25">
      <c r="A337" s="39" t="s">
        <v>467</v>
      </c>
      <c r="B337" s="60">
        <f t="shared" si="15"/>
        <v>0</v>
      </c>
      <c r="C337" s="52">
        <v>1</v>
      </c>
      <c r="D337" s="54">
        <v>44886</v>
      </c>
      <c r="E337" s="62">
        <v>33.22</v>
      </c>
      <c r="F337" s="62">
        <f t="shared" si="18"/>
        <v>0</v>
      </c>
      <c r="G337" s="60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1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61">
        <f t="shared" si="17"/>
        <v>0</v>
      </c>
    </row>
    <row r="338" spans="1:127" s="5" customFormat="1" ht="12" customHeight="1" x14ac:dyDescent="0.25">
      <c r="A338" s="39" t="s">
        <v>180</v>
      </c>
      <c r="B338" s="60">
        <f t="shared" ref="B338:B369" si="19">SUMIF(G$3:DV$3,"прих",G338:DV338)-SUMIF(G$3:DV$3,"отгр",G338:DV338)</f>
        <v>0</v>
      </c>
      <c r="C338" s="52">
        <v>1</v>
      </c>
      <c r="D338" s="54">
        <v>44809</v>
      </c>
      <c r="E338" s="62">
        <v>53.51</v>
      </c>
      <c r="F338" s="62">
        <f t="shared" si="18"/>
        <v>0</v>
      </c>
      <c r="G338" s="60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1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61">
        <f t="shared" si="17"/>
        <v>0</v>
      </c>
    </row>
    <row r="339" spans="1:127" s="5" customFormat="1" ht="12" customHeight="1" x14ac:dyDescent="0.25">
      <c r="A339" s="39" t="s">
        <v>506</v>
      </c>
      <c r="B339" s="60">
        <f t="shared" si="19"/>
        <v>0</v>
      </c>
      <c r="C339" s="52">
        <v>1</v>
      </c>
      <c r="D339" s="54">
        <v>44832</v>
      </c>
      <c r="E339" s="62">
        <v>38.44</v>
      </c>
      <c r="F339" s="62">
        <f>E339*B339</f>
        <v>0</v>
      </c>
      <c r="G339" s="60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1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61">
        <f t="shared" si="17"/>
        <v>0</v>
      </c>
    </row>
    <row r="340" spans="1:127" s="5" customFormat="1" ht="12" customHeight="1" x14ac:dyDescent="0.25">
      <c r="A340" s="39" t="s">
        <v>458</v>
      </c>
      <c r="B340" s="60">
        <f t="shared" si="19"/>
        <v>0</v>
      </c>
      <c r="C340" s="52">
        <v>1</v>
      </c>
      <c r="D340" s="54">
        <v>44897</v>
      </c>
      <c r="E340" s="62">
        <v>33.39</v>
      </c>
      <c r="F340" s="62">
        <f t="shared" si="18"/>
        <v>0</v>
      </c>
      <c r="G340" s="60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1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61">
        <f t="shared" si="17"/>
        <v>0</v>
      </c>
    </row>
    <row r="341" spans="1:127" s="5" customFormat="1" ht="12" customHeight="1" x14ac:dyDescent="0.25">
      <c r="A341" s="39" t="s">
        <v>468</v>
      </c>
      <c r="B341" s="60">
        <f t="shared" si="19"/>
        <v>0</v>
      </c>
      <c r="C341" s="52">
        <v>1</v>
      </c>
      <c r="D341" s="54">
        <v>44897</v>
      </c>
      <c r="E341" s="62">
        <v>33.39</v>
      </c>
      <c r="F341" s="62">
        <f t="shared" si="18"/>
        <v>0</v>
      </c>
      <c r="G341" s="60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1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61">
        <f t="shared" si="17"/>
        <v>0</v>
      </c>
    </row>
    <row r="342" spans="1:127" s="5" customFormat="1" ht="12" customHeight="1" x14ac:dyDescent="0.25">
      <c r="A342" s="39" t="s">
        <v>441</v>
      </c>
      <c r="B342" s="60">
        <f t="shared" si="19"/>
        <v>0</v>
      </c>
      <c r="C342" s="52">
        <v>1</v>
      </c>
      <c r="D342" s="54">
        <v>44665</v>
      </c>
      <c r="E342" s="62">
        <v>43.36</v>
      </c>
      <c r="F342" s="62">
        <f t="shared" si="18"/>
        <v>0</v>
      </c>
      <c r="G342" s="60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1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61">
        <f t="shared" si="17"/>
        <v>0</v>
      </c>
    </row>
    <row r="343" spans="1:127" s="5" customFormat="1" ht="12" customHeight="1" x14ac:dyDescent="0.25">
      <c r="A343" s="39" t="s">
        <v>308</v>
      </c>
      <c r="B343" s="60">
        <f t="shared" si="19"/>
        <v>1</v>
      </c>
      <c r="C343" s="52">
        <v>1</v>
      </c>
      <c r="D343" s="54">
        <v>44897</v>
      </c>
      <c r="E343" s="62">
        <v>42.79</v>
      </c>
      <c r="F343" s="62">
        <f t="shared" si="14"/>
        <v>42.79</v>
      </c>
      <c r="G343" s="60">
        <v>2</v>
      </c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1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>
        <v>1</v>
      </c>
      <c r="BC343" s="35"/>
      <c r="BD343" s="35"/>
      <c r="BE343" s="35"/>
      <c r="BF343" s="35">
        <v>1</v>
      </c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61">
        <f t="shared" si="17"/>
        <v>0</v>
      </c>
    </row>
    <row r="344" spans="1:127" s="5" customFormat="1" ht="12" customHeight="1" x14ac:dyDescent="0.25">
      <c r="A344" s="39" t="s">
        <v>431</v>
      </c>
      <c r="B344" s="60">
        <f t="shared" si="19"/>
        <v>0</v>
      </c>
      <c r="C344" s="52">
        <v>1</v>
      </c>
      <c r="D344" s="54">
        <v>44624</v>
      </c>
      <c r="E344" s="62">
        <v>402.2</v>
      </c>
      <c r="F344" s="62">
        <f t="shared" si="14"/>
        <v>0</v>
      </c>
      <c r="G344" s="60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1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61">
        <f t="shared" si="17"/>
        <v>0</v>
      </c>
    </row>
    <row r="345" spans="1:127" s="5" customFormat="1" ht="12" customHeight="1" x14ac:dyDescent="0.25">
      <c r="A345" s="39" t="s">
        <v>284</v>
      </c>
      <c r="B345" s="60">
        <f t="shared" si="19"/>
        <v>0</v>
      </c>
      <c r="C345" s="52">
        <v>1</v>
      </c>
      <c r="D345" s="54">
        <v>44753</v>
      </c>
      <c r="E345" s="62">
        <v>60.41</v>
      </c>
      <c r="F345" s="62">
        <f t="shared" si="14"/>
        <v>0</v>
      </c>
      <c r="G345" s="60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1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61">
        <f t="shared" si="17"/>
        <v>0</v>
      </c>
    </row>
    <row r="346" spans="1:127" s="5" customFormat="1" ht="12" customHeight="1" x14ac:dyDescent="0.25">
      <c r="A346" s="39" t="s">
        <v>258</v>
      </c>
      <c r="B346" s="60">
        <f t="shared" si="19"/>
        <v>0</v>
      </c>
      <c r="C346" s="52">
        <v>1</v>
      </c>
      <c r="D346" s="54">
        <v>44739</v>
      </c>
      <c r="E346" s="62">
        <v>26.94</v>
      </c>
      <c r="F346" s="62">
        <f t="shared" si="14"/>
        <v>0</v>
      </c>
      <c r="G346" s="60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1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61">
        <f t="shared" si="17"/>
        <v>0</v>
      </c>
    </row>
    <row r="347" spans="1:127" s="5" customFormat="1" ht="12" customHeight="1" x14ac:dyDescent="0.25">
      <c r="A347" s="39" t="s">
        <v>198</v>
      </c>
      <c r="B347" s="60">
        <f t="shared" si="19"/>
        <v>69</v>
      </c>
      <c r="C347" s="52">
        <v>1</v>
      </c>
      <c r="D347" s="54">
        <v>44844</v>
      </c>
      <c r="E347" s="62">
        <v>30.67</v>
      </c>
      <c r="F347" s="62">
        <f t="shared" si="14"/>
        <v>2116.23</v>
      </c>
      <c r="G347" s="60">
        <v>81</v>
      </c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1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>
        <v>2</v>
      </c>
      <c r="BC347" s="35"/>
      <c r="BD347" s="35"/>
      <c r="BE347" s="35"/>
      <c r="BF347" s="35">
        <v>5</v>
      </c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>
        <v>5</v>
      </c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>
        <v>2</v>
      </c>
      <c r="DP347" s="35"/>
      <c r="DQ347" s="35"/>
      <c r="DR347" s="35"/>
      <c r="DS347" s="35"/>
      <c r="DT347" s="35"/>
      <c r="DU347" s="35"/>
      <c r="DV347" s="35">
        <v>67</v>
      </c>
      <c r="DW347" s="61">
        <f t="shared" si="17"/>
        <v>0</v>
      </c>
    </row>
    <row r="348" spans="1:127" s="5" customFormat="1" ht="12" customHeight="1" x14ac:dyDescent="0.25">
      <c r="A348" s="39" t="s">
        <v>563</v>
      </c>
      <c r="B348" s="60">
        <f t="shared" si="19"/>
        <v>0</v>
      </c>
      <c r="C348" s="52">
        <v>1</v>
      </c>
      <c r="D348" s="54">
        <v>44963</v>
      </c>
      <c r="E348" s="62">
        <v>67.040000000000006</v>
      </c>
      <c r="F348" s="62">
        <f t="shared" si="14"/>
        <v>0</v>
      </c>
      <c r="G348" s="60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>
        <v>4</v>
      </c>
      <c r="T348" s="35"/>
      <c r="U348" s="1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>
        <v>4</v>
      </c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61">
        <f t="shared" si="17"/>
        <v>0</v>
      </c>
    </row>
    <row r="349" spans="1:127" s="5" customFormat="1" x14ac:dyDescent="0.25">
      <c r="A349" s="42" t="s">
        <v>124</v>
      </c>
      <c r="B349" s="60">
        <f t="shared" si="19"/>
        <v>20</v>
      </c>
      <c r="C349" s="52">
        <v>5</v>
      </c>
      <c r="D349" s="54">
        <v>44963</v>
      </c>
      <c r="E349" s="62">
        <v>74.739999999999995</v>
      </c>
      <c r="F349" s="62">
        <f t="shared" si="14"/>
        <v>1494.8</v>
      </c>
      <c r="G349" s="60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1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>
        <v>10</v>
      </c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>
        <v>5</v>
      </c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>
        <v>30</v>
      </c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>
        <v>15</v>
      </c>
      <c r="DW349" s="61">
        <f t="shared" si="17"/>
        <v>0</v>
      </c>
    </row>
    <row r="350" spans="1:127" s="5" customFormat="1" x14ac:dyDescent="0.25">
      <c r="A350" s="42" t="s">
        <v>323</v>
      </c>
      <c r="B350" s="60">
        <f t="shared" si="19"/>
        <v>0</v>
      </c>
      <c r="C350" s="52">
        <v>1</v>
      </c>
      <c r="D350" s="54">
        <v>44665</v>
      </c>
      <c r="E350" s="62">
        <v>84.88</v>
      </c>
      <c r="F350" s="62">
        <f t="shared" si="14"/>
        <v>0</v>
      </c>
      <c r="G350" s="60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1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61">
        <f t="shared" si="17"/>
        <v>0</v>
      </c>
    </row>
    <row r="351" spans="1:127" s="5" customFormat="1" x14ac:dyDescent="0.25">
      <c r="A351" s="42" t="s">
        <v>428</v>
      </c>
      <c r="B351" s="60">
        <f t="shared" si="19"/>
        <v>10</v>
      </c>
      <c r="C351" s="52">
        <v>5</v>
      </c>
      <c r="D351" s="54">
        <v>44914</v>
      </c>
      <c r="E351" s="62">
        <v>63.16</v>
      </c>
      <c r="F351" s="62">
        <f t="shared" ref="F351:F392" si="20">E351*B351</f>
        <v>631.59999999999991</v>
      </c>
      <c r="G351" s="60">
        <v>10</v>
      </c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1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>
        <v>10</v>
      </c>
      <c r="CI351" s="35"/>
      <c r="CJ351" s="35"/>
      <c r="CK351" s="35"/>
      <c r="CL351" s="35"/>
      <c r="CM351" s="35"/>
      <c r="CN351" s="35"/>
      <c r="CO351" s="35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61">
        <f t="shared" si="17"/>
        <v>0</v>
      </c>
    </row>
    <row r="352" spans="1:127" s="5" customFormat="1" x14ac:dyDescent="0.25">
      <c r="A352" s="42" t="s">
        <v>466</v>
      </c>
      <c r="B352" s="60">
        <f t="shared" si="19"/>
        <v>0</v>
      </c>
      <c r="C352" s="52">
        <v>5</v>
      </c>
      <c r="D352" s="54">
        <v>44809</v>
      </c>
      <c r="E352" s="62">
        <v>57.01</v>
      </c>
      <c r="F352" s="62">
        <f t="shared" si="20"/>
        <v>0</v>
      </c>
      <c r="G352" s="60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1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61">
        <f t="shared" si="17"/>
        <v>0</v>
      </c>
    </row>
    <row r="353" spans="1:127" s="5" customFormat="1" x14ac:dyDescent="0.25">
      <c r="A353" s="42" t="s">
        <v>121</v>
      </c>
      <c r="B353" s="60">
        <f t="shared" si="19"/>
        <v>0</v>
      </c>
      <c r="C353" s="52">
        <v>5</v>
      </c>
      <c r="D353" s="55">
        <v>44725</v>
      </c>
      <c r="E353" s="62">
        <v>219.35</v>
      </c>
      <c r="F353" s="62">
        <f t="shared" si="20"/>
        <v>0</v>
      </c>
      <c r="G353" s="60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1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61">
        <f t="shared" si="17"/>
        <v>0</v>
      </c>
    </row>
    <row r="354" spans="1:127" s="5" customFormat="1" ht="12" customHeight="1" x14ac:dyDescent="0.25">
      <c r="A354" s="39" t="s">
        <v>199</v>
      </c>
      <c r="B354" s="60">
        <f t="shared" si="19"/>
        <v>10</v>
      </c>
      <c r="C354" s="52">
        <v>5</v>
      </c>
      <c r="D354" s="55">
        <v>44914</v>
      </c>
      <c r="E354" s="62">
        <v>56.66</v>
      </c>
      <c r="F354" s="62">
        <f t="shared" si="20"/>
        <v>566.59999999999991</v>
      </c>
      <c r="G354" s="60">
        <v>10</v>
      </c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1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>
        <v>10</v>
      </c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61">
        <f t="shared" si="17"/>
        <v>0</v>
      </c>
    </row>
    <row r="355" spans="1:127" s="5" customFormat="1" ht="12" customHeight="1" x14ac:dyDescent="0.25">
      <c r="A355" s="39" t="s">
        <v>199</v>
      </c>
      <c r="B355" s="60">
        <f t="shared" si="19"/>
        <v>0</v>
      </c>
      <c r="C355" s="52">
        <v>5</v>
      </c>
      <c r="D355" s="55">
        <v>44897</v>
      </c>
      <c r="E355" s="62">
        <v>53.9</v>
      </c>
      <c r="F355" s="62">
        <f t="shared" si="20"/>
        <v>0</v>
      </c>
      <c r="G355" s="60">
        <v>10</v>
      </c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1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>
        <v>10</v>
      </c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61">
        <f t="shared" si="17"/>
        <v>0</v>
      </c>
    </row>
    <row r="356" spans="1:127" s="5" customFormat="1" ht="12" customHeight="1" x14ac:dyDescent="0.25">
      <c r="A356" s="39" t="s">
        <v>435</v>
      </c>
      <c r="B356" s="60">
        <f t="shared" si="19"/>
        <v>0</v>
      </c>
      <c r="C356" s="52">
        <v>5</v>
      </c>
      <c r="D356" s="55">
        <v>44963</v>
      </c>
      <c r="E356" s="62">
        <v>71.02</v>
      </c>
      <c r="F356" s="62">
        <f t="shared" si="20"/>
        <v>0</v>
      </c>
      <c r="G356" s="60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1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>
        <v>10</v>
      </c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>
        <v>10</v>
      </c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61">
        <f t="shared" si="17"/>
        <v>0</v>
      </c>
    </row>
    <row r="357" spans="1:127" s="5" customFormat="1" x14ac:dyDescent="0.25">
      <c r="A357" s="42" t="s">
        <v>100</v>
      </c>
      <c r="B357" s="60">
        <f t="shared" si="19"/>
        <v>0</v>
      </c>
      <c r="C357" s="52">
        <v>1</v>
      </c>
      <c r="D357" s="54">
        <v>44718</v>
      </c>
      <c r="E357" s="88">
        <v>43.8</v>
      </c>
      <c r="F357" s="62">
        <f t="shared" si="20"/>
        <v>0</v>
      </c>
      <c r="G357" s="60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1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61">
        <f t="shared" si="17"/>
        <v>0</v>
      </c>
    </row>
    <row r="358" spans="1:127" s="5" customFormat="1" x14ac:dyDescent="0.25">
      <c r="A358" s="42" t="s">
        <v>469</v>
      </c>
      <c r="B358" s="60">
        <f t="shared" si="19"/>
        <v>0</v>
      </c>
      <c r="C358" s="52">
        <v>1</v>
      </c>
      <c r="D358" s="54">
        <v>44697</v>
      </c>
      <c r="E358" s="88">
        <v>72.989999999999995</v>
      </c>
      <c r="F358" s="62">
        <f t="shared" si="20"/>
        <v>0</v>
      </c>
      <c r="G358" s="60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1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61">
        <f t="shared" si="17"/>
        <v>0</v>
      </c>
    </row>
    <row r="359" spans="1:127" s="5" customFormat="1" x14ac:dyDescent="0.25">
      <c r="A359" s="42" t="s">
        <v>481</v>
      </c>
      <c r="B359" s="60">
        <f t="shared" si="19"/>
        <v>0</v>
      </c>
      <c r="C359" s="52">
        <v>5</v>
      </c>
      <c r="D359" s="54">
        <v>44725</v>
      </c>
      <c r="E359" s="88">
        <v>40.94</v>
      </c>
      <c r="F359" s="62">
        <f t="shared" si="20"/>
        <v>0</v>
      </c>
      <c r="G359" s="60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1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61">
        <f t="shared" si="17"/>
        <v>0</v>
      </c>
    </row>
    <row r="360" spans="1:127" s="5" customFormat="1" x14ac:dyDescent="0.25">
      <c r="A360" s="39" t="s">
        <v>178</v>
      </c>
      <c r="B360" s="60">
        <f t="shared" si="19"/>
        <v>0</v>
      </c>
      <c r="C360" s="52">
        <v>1</v>
      </c>
      <c r="D360" s="54">
        <v>44963</v>
      </c>
      <c r="E360" s="62">
        <v>147.81</v>
      </c>
      <c r="F360" s="62">
        <f t="shared" si="20"/>
        <v>0</v>
      </c>
      <c r="G360" s="60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1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>
        <v>1</v>
      </c>
      <c r="DK360" s="35"/>
      <c r="DL360" s="35"/>
      <c r="DM360" s="35"/>
      <c r="DN360" s="35"/>
      <c r="DO360" s="35"/>
      <c r="DP360" s="35">
        <v>1</v>
      </c>
      <c r="DQ360" s="35"/>
      <c r="DR360" s="35"/>
      <c r="DS360" s="35"/>
      <c r="DT360" s="35"/>
      <c r="DU360" s="35"/>
      <c r="DV360" s="35"/>
      <c r="DW360" s="61">
        <f t="shared" si="17"/>
        <v>0</v>
      </c>
    </row>
    <row r="361" spans="1:127" s="5" customFormat="1" x14ac:dyDescent="0.25">
      <c r="A361" s="42" t="s">
        <v>99</v>
      </c>
      <c r="B361" s="60">
        <f t="shared" si="19"/>
        <v>0</v>
      </c>
      <c r="C361" s="52">
        <v>1</v>
      </c>
      <c r="D361" s="54">
        <v>44809</v>
      </c>
      <c r="E361" s="62">
        <v>25.74</v>
      </c>
      <c r="F361" s="62">
        <f t="shared" si="20"/>
        <v>0</v>
      </c>
      <c r="G361" s="60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1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61">
        <f t="shared" si="17"/>
        <v>0</v>
      </c>
    </row>
    <row r="362" spans="1:127" s="5" customFormat="1" x14ac:dyDescent="0.25">
      <c r="A362" s="42" t="s">
        <v>98</v>
      </c>
      <c r="B362" s="60">
        <f t="shared" si="19"/>
        <v>0</v>
      </c>
      <c r="C362" s="52">
        <v>1</v>
      </c>
      <c r="D362" s="53">
        <v>44914</v>
      </c>
      <c r="E362" s="62">
        <v>67.78</v>
      </c>
      <c r="F362" s="62">
        <f t="shared" si="20"/>
        <v>0</v>
      </c>
      <c r="G362" s="60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1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61">
        <f t="shared" si="17"/>
        <v>0</v>
      </c>
    </row>
    <row r="363" spans="1:127" s="5" customFormat="1" x14ac:dyDescent="0.25">
      <c r="A363" s="42" t="s">
        <v>97</v>
      </c>
      <c r="B363" s="60">
        <f t="shared" si="19"/>
        <v>0</v>
      </c>
      <c r="C363" s="52">
        <v>1</v>
      </c>
      <c r="D363" s="53">
        <v>44795</v>
      </c>
      <c r="E363" s="62">
        <v>61.81</v>
      </c>
      <c r="F363" s="62">
        <f t="shared" si="20"/>
        <v>0</v>
      </c>
      <c r="G363" s="60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1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61">
        <f t="shared" si="17"/>
        <v>0</v>
      </c>
    </row>
    <row r="364" spans="1:127" s="5" customFormat="1" x14ac:dyDescent="0.25">
      <c r="A364" s="42" t="s">
        <v>442</v>
      </c>
      <c r="B364" s="60">
        <f t="shared" si="19"/>
        <v>10</v>
      </c>
      <c r="C364" s="52">
        <v>10</v>
      </c>
      <c r="D364" s="53">
        <v>44914</v>
      </c>
      <c r="E364" s="62">
        <v>49.91</v>
      </c>
      <c r="F364" s="62">
        <f t="shared" si="20"/>
        <v>499.09999999999997</v>
      </c>
      <c r="G364" s="60">
        <v>10</v>
      </c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1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>
        <v>10</v>
      </c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61">
        <f t="shared" si="17"/>
        <v>0</v>
      </c>
    </row>
    <row r="365" spans="1:127" s="5" customFormat="1" x14ac:dyDescent="0.25">
      <c r="A365" s="42" t="s">
        <v>281</v>
      </c>
      <c r="B365" s="60">
        <f t="shared" si="19"/>
        <v>0</v>
      </c>
      <c r="C365" s="52">
        <v>5</v>
      </c>
      <c r="D365" s="53">
        <v>44865</v>
      </c>
      <c r="E365" s="62">
        <v>117.43</v>
      </c>
      <c r="F365" s="62">
        <f t="shared" si="20"/>
        <v>0</v>
      </c>
      <c r="G365" s="60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1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61">
        <f t="shared" si="17"/>
        <v>0</v>
      </c>
    </row>
    <row r="366" spans="1:127" s="5" customFormat="1" x14ac:dyDescent="0.25">
      <c r="A366" s="42" t="s">
        <v>114</v>
      </c>
      <c r="B366" s="60">
        <f t="shared" si="19"/>
        <v>0</v>
      </c>
      <c r="C366" s="52">
        <v>1</v>
      </c>
      <c r="D366" s="53">
        <v>44914</v>
      </c>
      <c r="E366" s="62">
        <v>51.45</v>
      </c>
      <c r="F366" s="62">
        <f t="shared" si="20"/>
        <v>0</v>
      </c>
      <c r="G366" s="60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1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61">
        <f t="shared" si="17"/>
        <v>0</v>
      </c>
    </row>
    <row r="367" spans="1:127" s="5" customFormat="1" x14ac:dyDescent="0.25">
      <c r="A367" s="42" t="s">
        <v>96</v>
      </c>
      <c r="B367" s="60">
        <f t="shared" si="19"/>
        <v>0</v>
      </c>
      <c r="C367" s="52">
        <v>1</v>
      </c>
      <c r="D367" s="53">
        <v>44963</v>
      </c>
      <c r="E367" s="62">
        <v>67.37</v>
      </c>
      <c r="F367" s="62">
        <f t="shared" si="20"/>
        <v>0</v>
      </c>
      <c r="G367" s="60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1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>
        <v>1</v>
      </c>
      <c r="DK367" s="35"/>
      <c r="DL367" s="35"/>
      <c r="DM367" s="35"/>
      <c r="DN367" s="35"/>
      <c r="DO367" s="35"/>
      <c r="DP367" s="35">
        <v>1</v>
      </c>
      <c r="DQ367" s="35"/>
      <c r="DR367" s="35"/>
      <c r="DS367" s="35"/>
      <c r="DT367" s="35"/>
      <c r="DU367" s="35"/>
      <c r="DV367" s="35"/>
      <c r="DW367" s="61">
        <f t="shared" si="17"/>
        <v>0</v>
      </c>
    </row>
    <row r="368" spans="1:127" s="5" customFormat="1" ht="12" customHeight="1" x14ac:dyDescent="0.25">
      <c r="A368" s="39" t="s">
        <v>369</v>
      </c>
      <c r="B368" s="60">
        <f t="shared" si="19"/>
        <v>0</v>
      </c>
      <c r="C368" s="52">
        <v>1</v>
      </c>
      <c r="D368" s="54">
        <v>44809</v>
      </c>
      <c r="E368" s="62">
        <v>480.51</v>
      </c>
      <c r="F368" s="62">
        <f t="shared" si="20"/>
        <v>0</v>
      </c>
      <c r="G368" s="60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1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61">
        <f t="shared" si="17"/>
        <v>0</v>
      </c>
    </row>
    <row r="369" spans="1:127" s="5" customFormat="1" x14ac:dyDescent="0.25">
      <c r="A369" s="42" t="s">
        <v>361</v>
      </c>
      <c r="B369" s="60">
        <f t="shared" si="19"/>
        <v>0</v>
      </c>
      <c r="C369" s="52">
        <v>25</v>
      </c>
      <c r="D369" s="53">
        <v>44963</v>
      </c>
      <c r="E369" s="62">
        <v>20.45</v>
      </c>
      <c r="F369" s="62">
        <f t="shared" si="20"/>
        <v>0</v>
      </c>
      <c r="G369" s="60"/>
      <c r="H369" s="35"/>
      <c r="I369" s="35"/>
      <c r="J369" s="35"/>
      <c r="K369" s="35"/>
      <c r="L369" s="35"/>
      <c r="M369" s="35"/>
      <c r="N369" s="35"/>
      <c r="O369" s="35"/>
      <c r="P369" s="35">
        <v>50</v>
      </c>
      <c r="Q369" s="35"/>
      <c r="R369" s="35"/>
      <c r="S369" s="35"/>
      <c r="T369" s="35"/>
      <c r="U369" s="1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>
        <v>50</v>
      </c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61">
        <f t="shared" si="17"/>
        <v>0</v>
      </c>
    </row>
    <row r="370" spans="1:127" s="5" customFormat="1" ht="12" customHeight="1" x14ac:dyDescent="0.25">
      <c r="A370" s="95" t="s">
        <v>44</v>
      </c>
      <c r="B370" s="60">
        <f t="shared" ref="B370:B383" si="21">SUMIF(G$3:DV$3,"прих",G370:DV370)-SUMIF(G$3:DV$3,"отгр",G370:DV370)</f>
        <v>48</v>
      </c>
      <c r="C370" s="52">
        <v>12</v>
      </c>
      <c r="D370" s="55" t="s">
        <v>571</v>
      </c>
      <c r="E370" s="62">
        <v>8.39</v>
      </c>
      <c r="F370" s="62">
        <f t="shared" si="20"/>
        <v>402.72</v>
      </c>
      <c r="G370" s="60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1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>
        <v>24</v>
      </c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>
        <v>24</v>
      </c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>
        <v>24</v>
      </c>
      <c r="DR370" s="35"/>
      <c r="DS370" s="35"/>
      <c r="DT370" s="35"/>
      <c r="DU370" s="35"/>
      <c r="DV370" s="35"/>
      <c r="DW370" s="61">
        <f t="shared" si="17"/>
        <v>24</v>
      </c>
    </row>
    <row r="371" spans="1:127" s="5" customFormat="1" ht="12" customHeight="1" x14ac:dyDescent="0.25">
      <c r="A371" s="95" t="s">
        <v>327</v>
      </c>
      <c r="B371" s="60">
        <f t="shared" si="21"/>
        <v>0</v>
      </c>
      <c r="C371" s="52">
        <v>25</v>
      </c>
      <c r="D371" s="54">
        <v>44809</v>
      </c>
      <c r="E371" s="62">
        <v>9.18</v>
      </c>
      <c r="F371" s="62">
        <f t="shared" si="20"/>
        <v>0</v>
      </c>
      <c r="G371" s="60">
        <v>25</v>
      </c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1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>
        <v>25</v>
      </c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61">
        <f t="shared" si="17"/>
        <v>0</v>
      </c>
    </row>
    <row r="372" spans="1:127" s="5" customFormat="1" ht="12" customHeight="1" x14ac:dyDescent="0.25">
      <c r="A372" s="95" t="s">
        <v>393</v>
      </c>
      <c r="B372" s="60">
        <f t="shared" si="21"/>
        <v>0</v>
      </c>
      <c r="C372" s="52">
        <v>1</v>
      </c>
      <c r="D372" s="54">
        <v>44606</v>
      </c>
      <c r="E372" s="62">
        <v>15.26</v>
      </c>
      <c r="F372" s="62">
        <f t="shared" si="20"/>
        <v>0</v>
      </c>
      <c r="G372" s="60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1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61">
        <f t="shared" si="17"/>
        <v>0</v>
      </c>
    </row>
    <row r="373" spans="1:127" s="5" customFormat="1" ht="12" customHeight="1" x14ac:dyDescent="0.25">
      <c r="A373" s="95" t="s">
        <v>439</v>
      </c>
      <c r="B373" s="60">
        <f t="shared" si="21"/>
        <v>0</v>
      </c>
      <c r="C373" s="52">
        <v>1</v>
      </c>
      <c r="D373" s="54">
        <v>44718</v>
      </c>
      <c r="E373" s="62">
        <v>17.36</v>
      </c>
      <c r="F373" s="62">
        <f t="shared" si="20"/>
        <v>0</v>
      </c>
      <c r="G373" s="60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1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61">
        <f t="shared" si="17"/>
        <v>0</v>
      </c>
    </row>
    <row r="374" spans="1:127" s="5" customFormat="1" ht="12" customHeight="1" x14ac:dyDescent="0.25">
      <c r="A374" s="95" t="s">
        <v>509</v>
      </c>
      <c r="B374" s="60">
        <f t="shared" si="21"/>
        <v>0</v>
      </c>
      <c r="C374" s="52">
        <v>30</v>
      </c>
      <c r="D374" s="54">
        <v>44963</v>
      </c>
      <c r="E374" s="62">
        <v>7.04</v>
      </c>
      <c r="F374" s="62">
        <f t="shared" si="20"/>
        <v>0</v>
      </c>
      <c r="G374" s="60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1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>
        <v>30</v>
      </c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>
        <v>30</v>
      </c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61">
        <f t="shared" si="17"/>
        <v>0</v>
      </c>
    </row>
    <row r="375" spans="1:127" s="5" customFormat="1" ht="12" customHeight="1" x14ac:dyDescent="0.25">
      <c r="A375" s="39" t="s">
        <v>219</v>
      </c>
      <c r="B375" s="60">
        <f t="shared" si="21"/>
        <v>0</v>
      </c>
      <c r="C375" s="52">
        <v>1</v>
      </c>
      <c r="D375" s="54">
        <v>44886</v>
      </c>
      <c r="E375" s="62">
        <v>68.540000000000006</v>
      </c>
      <c r="F375" s="62">
        <f t="shared" si="20"/>
        <v>0</v>
      </c>
      <c r="G375" s="60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1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61">
        <f t="shared" si="17"/>
        <v>0</v>
      </c>
    </row>
    <row r="376" spans="1:127" s="5" customFormat="1" ht="12" customHeight="1" x14ac:dyDescent="0.25">
      <c r="A376" s="39" t="s">
        <v>386</v>
      </c>
      <c r="B376" s="60">
        <f t="shared" si="21"/>
        <v>0</v>
      </c>
      <c r="C376" s="52">
        <v>1</v>
      </c>
      <c r="D376" s="54">
        <v>44795</v>
      </c>
      <c r="E376" s="62">
        <v>80.16</v>
      </c>
      <c r="F376" s="62">
        <f t="shared" si="20"/>
        <v>0</v>
      </c>
      <c r="G376" s="60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1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61">
        <f t="shared" si="17"/>
        <v>0</v>
      </c>
    </row>
    <row r="377" spans="1:127" s="5" customFormat="1" ht="12" customHeight="1" x14ac:dyDescent="0.25">
      <c r="A377" s="39" t="s">
        <v>226</v>
      </c>
      <c r="B377" s="60">
        <f t="shared" si="21"/>
        <v>0</v>
      </c>
      <c r="C377" s="52">
        <v>10</v>
      </c>
      <c r="D377" s="54">
        <v>44739</v>
      </c>
      <c r="E377" s="62">
        <v>46.83</v>
      </c>
      <c r="F377" s="62">
        <f t="shared" si="20"/>
        <v>0</v>
      </c>
      <c r="G377" s="60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1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61">
        <f t="shared" si="17"/>
        <v>0</v>
      </c>
    </row>
    <row r="378" spans="1:127" s="5" customFormat="1" ht="12" customHeight="1" x14ac:dyDescent="0.25">
      <c r="A378" s="39" t="s">
        <v>205</v>
      </c>
      <c r="B378" s="60">
        <f t="shared" si="21"/>
        <v>0</v>
      </c>
      <c r="C378" s="52">
        <v>4.5</v>
      </c>
      <c r="D378" s="54">
        <v>44897</v>
      </c>
      <c r="E378" s="62">
        <v>143.9</v>
      </c>
      <c r="F378" s="62">
        <f t="shared" si="20"/>
        <v>0</v>
      </c>
      <c r="G378" s="60">
        <v>157.5</v>
      </c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1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>
        <v>108</v>
      </c>
      <c r="BI378" s="35">
        <v>49.5</v>
      </c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61">
        <f t="shared" si="17"/>
        <v>0</v>
      </c>
    </row>
    <row r="379" spans="1:127" s="5" customFormat="1" ht="12" customHeight="1" x14ac:dyDescent="0.25">
      <c r="A379" s="39" t="s">
        <v>205</v>
      </c>
      <c r="B379" s="60">
        <f t="shared" si="21"/>
        <v>175.5</v>
      </c>
      <c r="C379" s="52">
        <v>4.5</v>
      </c>
      <c r="D379" s="54">
        <v>44914</v>
      </c>
      <c r="E379" s="62">
        <v>151.27000000000001</v>
      </c>
      <c r="F379" s="62">
        <f t="shared" si="20"/>
        <v>26547.885000000002</v>
      </c>
      <c r="G379" s="60">
        <v>198</v>
      </c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1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>
        <v>22.5</v>
      </c>
      <c r="BJ379" s="35">
        <v>175.5</v>
      </c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61">
        <f t="shared" si="17"/>
        <v>0</v>
      </c>
    </row>
    <row r="380" spans="1:127" s="5" customFormat="1" ht="12" customHeight="1" x14ac:dyDescent="0.25">
      <c r="A380" s="39" t="s">
        <v>515</v>
      </c>
      <c r="B380" s="60">
        <f t="shared" si="21"/>
        <v>0</v>
      </c>
      <c r="C380" s="52">
        <v>0.8</v>
      </c>
      <c r="D380" s="54">
        <v>44893</v>
      </c>
      <c r="E380" s="62">
        <v>72.290000000000006</v>
      </c>
      <c r="F380" s="62">
        <f t="shared" si="20"/>
        <v>0</v>
      </c>
      <c r="G380" s="60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1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61">
        <f t="shared" si="17"/>
        <v>0</v>
      </c>
    </row>
    <row r="381" spans="1:127" s="5" customFormat="1" ht="12" customHeight="1" x14ac:dyDescent="0.25">
      <c r="A381" s="39" t="s">
        <v>485</v>
      </c>
      <c r="B381" s="60">
        <f t="shared" si="21"/>
        <v>5</v>
      </c>
      <c r="C381" s="52">
        <v>5</v>
      </c>
      <c r="D381" s="54">
        <v>44897</v>
      </c>
      <c r="E381" s="62">
        <v>102.58</v>
      </c>
      <c r="F381" s="62">
        <f t="shared" si="20"/>
        <v>512.9</v>
      </c>
      <c r="G381" s="60">
        <v>10</v>
      </c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1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>
        <v>5</v>
      </c>
      <c r="CH381" s="35">
        <v>5</v>
      </c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61">
        <f t="shared" si="17"/>
        <v>0</v>
      </c>
    </row>
    <row r="382" spans="1:127" s="5" customFormat="1" ht="12" customHeight="1" x14ac:dyDescent="0.25">
      <c r="A382" s="39" t="s">
        <v>485</v>
      </c>
      <c r="B382" s="60">
        <f t="shared" si="21"/>
        <v>10</v>
      </c>
      <c r="C382" s="52">
        <v>5</v>
      </c>
      <c r="D382" s="54">
        <v>44914</v>
      </c>
      <c r="E382" s="62">
        <v>107.83</v>
      </c>
      <c r="F382" s="62">
        <f t="shared" si="20"/>
        <v>1078.3</v>
      </c>
      <c r="G382" s="60">
        <v>10</v>
      </c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1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>
        <v>10</v>
      </c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61">
        <f t="shared" si="17"/>
        <v>0</v>
      </c>
    </row>
    <row r="383" spans="1:127" s="5" customFormat="1" ht="12" customHeight="1" x14ac:dyDescent="0.25">
      <c r="A383" s="39" t="s">
        <v>197</v>
      </c>
      <c r="B383" s="60">
        <f t="shared" si="21"/>
        <v>0</v>
      </c>
      <c r="C383" s="52">
        <v>1</v>
      </c>
      <c r="D383" s="54">
        <v>44886</v>
      </c>
      <c r="E383" s="62">
        <v>40.54</v>
      </c>
      <c r="F383" s="62">
        <f t="shared" si="20"/>
        <v>0</v>
      </c>
      <c r="G383" s="60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1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61">
        <f t="shared" si="17"/>
        <v>0</v>
      </c>
    </row>
    <row r="384" spans="1:127" s="5" customFormat="1" ht="15.6" x14ac:dyDescent="0.3">
      <c r="A384" s="18" t="s">
        <v>21</v>
      </c>
      <c r="B384" s="80">
        <f>SUM(B306:B383)</f>
        <v>648.5</v>
      </c>
      <c r="C384" s="51"/>
      <c r="D384" s="58"/>
      <c r="E384" s="57"/>
      <c r="F384" s="62">
        <f t="shared" si="20"/>
        <v>0</v>
      </c>
      <c r="G384" s="19">
        <f>SUM(G306:G383)</f>
        <v>844.5</v>
      </c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109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19">
        <f t="shared" si="17"/>
        <v>648.5</v>
      </c>
    </row>
    <row r="385" spans="1:151" s="5" customFormat="1" ht="14.25" customHeight="1" x14ac:dyDescent="0.3">
      <c r="A385" s="47" t="s">
        <v>365</v>
      </c>
      <c r="B385" s="61">
        <f t="shared" ref="B385:B392" si="22">SUMIF(G$3:DV$3,"прих",G385:DV385)-SUMIF(G$3:DV$3,"отгр",G385:DV385)</f>
        <v>0</v>
      </c>
      <c r="C385" s="89">
        <v>25</v>
      </c>
      <c r="D385" s="69">
        <v>44669</v>
      </c>
      <c r="E385" s="65">
        <v>100.86</v>
      </c>
      <c r="F385" s="62">
        <f t="shared" si="20"/>
        <v>0</v>
      </c>
      <c r="G385" s="19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109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61">
        <f t="shared" si="17"/>
        <v>0</v>
      </c>
    </row>
    <row r="386" spans="1:151" s="5" customFormat="1" x14ac:dyDescent="0.25">
      <c r="A386" s="47" t="s">
        <v>241</v>
      </c>
      <c r="B386" s="61">
        <f t="shared" si="22"/>
        <v>75</v>
      </c>
      <c r="C386" s="52">
        <v>25</v>
      </c>
      <c r="D386" s="59">
        <v>44879</v>
      </c>
      <c r="E386" s="65">
        <v>22.35</v>
      </c>
      <c r="F386" s="62">
        <f t="shared" si="20"/>
        <v>1676.25</v>
      </c>
      <c r="G386" s="60">
        <v>75</v>
      </c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1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>
        <v>75</v>
      </c>
      <c r="DW386" s="61">
        <f t="shared" si="17"/>
        <v>0</v>
      </c>
    </row>
    <row r="387" spans="1:151" s="5" customFormat="1" x14ac:dyDescent="0.25">
      <c r="A387" s="39" t="s">
        <v>130</v>
      </c>
      <c r="B387" s="61">
        <f t="shared" si="22"/>
        <v>60</v>
      </c>
      <c r="C387" s="52">
        <v>5</v>
      </c>
      <c r="D387" s="69">
        <v>44879</v>
      </c>
      <c r="E387" s="65">
        <v>39.78</v>
      </c>
      <c r="F387" s="62">
        <f t="shared" si="20"/>
        <v>2386.8000000000002</v>
      </c>
      <c r="G387" s="60">
        <v>60</v>
      </c>
      <c r="H387" s="35">
        <v>60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1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61">
        <f t="shared" si="17"/>
        <v>0</v>
      </c>
    </row>
    <row r="388" spans="1:151" s="5" customFormat="1" x14ac:dyDescent="0.25">
      <c r="A388" s="39" t="s">
        <v>52</v>
      </c>
      <c r="B388" s="61">
        <f t="shared" si="22"/>
        <v>25</v>
      </c>
      <c r="C388" s="52">
        <v>25</v>
      </c>
      <c r="D388" s="69">
        <v>44662</v>
      </c>
      <c r="E388" s="65">
        <v>35.29</v>
      </c>
      <c r="F388" s="62">
        <f t="shared" si="20"/>
        <v>882.25</v>
      </c>
      <c r="G388" s="60">
        <v>25</v>
      </c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1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>
        <v>25</v>
      </c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61">
        <f t="shared" ref="DW388:DW394" si="23">$B388-SUMIF($G$3:$IK$3,"",$G388:$IK388)</f>
        <v>0</v>
      </c>
    </row>
    <row r="389" spans="1:151" s="5" customFormat="1" x14ac:dyDescent="0.25">
      <c r="A389" s="47" t="s">
        <v>52</v>
      </c>
      <c r="B389" s="61">
        <f t="shared" si="22"/>
        <v>25</v>
      </c>
      <c r="C389" s="52">
        <v>25</v>
      </c>
      <c r="D389" s="69">
        <v>44879</v>
      </c>
      <c r="E389" s="65">
        <v>27.99</v>
      </c>
      <c r="F389" s="62">
        <f t="shared" si="20"/>
        <v>699.75</v>
      </c>
      <c r="G389" s="60">
        <v>25</v>
      </c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1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>
        <v>25</v>
      </c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61">
        <f t="shared" si="23"/>
        <v>0</v>
      </c>
    </row>
    <row r="390" spans="1:151" s="5" customFormat="1" x14ac:dyDescent="0.25">
      <c r="A390" s="39" t="s">
        <v>145</v>
      </c>
      <c r="B390" s="61">
        <f t="shared" si="22"/>
        <v>175</v>
      </c>
      <c r="C390" s="52">
        <v>25</v>
      </c>
      <c r="D390" s="69">
        <v>44879</v>
      </c>
      <c r="E390" s="65">
        <v>36.19</v>
      </c>
      <c r="F390" s="62">
        <f t="shared" si="20"/>
        <v>6333.25</v>
      </c>
      <c r="G390" s="60">
        <v>425</v>
      </c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15"/>
      <c r="V390" s="35"/>
      <c r="W390" s="35"/>
      <c r="X390" s="35"/>
      <c r="Y390" s="35"/>
      <c r="Z390" s="35"/>
      <c r="AA390" s="35"/>
      <c r="AB390" s="35"/>
      <c r="AC390" s="35"/>
      <c r="AD390" s="35">
        <v>75</v>
      </c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>
        <v>25</v>
      </c>
      <c r="AX390" s="35">
        <v>150</v>
      </c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>
        <v>175</v>
      </c>
      <c r="DW390" s="61">
        <f t="shared" si="23"/>
        <v>0</v>
      </c>
    </row>
    <row r="391" spans="1:151" s="5" customFormat="1" x14ac:dyDescent="0.25">
      <c r="A391" s="39" t="s">
        <v>145</v>
      </c>
      <c r="B391" s="61">
        <f t="shared" si="22"/>
        <v>700</v>
      </c>
      <c r="C391" s="52">
        <v>25</v>
      </c>
      <c r="D391" s="69">
        <v>44949</v>
      </c>
      <c r="E391" s="65">
        <v>34.6</v>
      </c>
      <c r="F391" s="62">
        <f t="shared" si="20"/>
        <v>24220</v>
      </c>
      <c r="G391" s="60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1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>
        <v>700</v>
      </c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>
        <v>700</v>
      </c>
      <c r="DW391" s="61">
        <f t="shared" si="23"/>
        <v>0</v>
      </c>
    </row>
    <row r="392" spans="1:151" s="5" customFormat="1" x14ac:dyDescent="0.25">
      <c r="A392" s="23" t="s">
        <v>64</v>
      </c>
      <c r="B392" s="61">
        <f t="shared" si="22"/>
        <v>50</v>
      </c>
      <c r="C392" s="52">
        <v>25</v>
      </c>
      <c r="D392" s="59">
        <v>44755</v>
      </c>
      <c r="E392" s="62">
        <v>47.28</v>
      </c>
      <c r="F392" s="62">
        <f t="shared" si="20"/>
        <v>2364</v>
      </c>
      <c r="G392" s="60">
        <v>50</v>
      </c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1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>
        <v>50</v>
      </c>
      <c r="DW392" s="61">
        <f t="shared" si="23"/>
        <v>0</v>
      </c>
    </row>
    <row r="393" spans="1:151" s="5" customFormat="1" ht="13.8" x14ac:dyDescent="0.25">
      <c r="A393" s="73" t="s">
        <v>21</v>
      </c>
      <c r="B393" s="74">
        <f>SUM(B385:B392)</f>
        <v>1110</v>
      </c>
      <c r="C393" s="75"/>
      <c r="D393" s="76"/>
      <c r="E393" s="77"/>
      <c r="F393" s="62">
        <f>E393*B393</f>
        <v>0</v>
      </c>
      <c r="G393" s="74">
        <f>SUM(G385:G392)</f>
        <v>660</v>
      </c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110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74">
        <f t="shared" si="23"/>
        <v>1110</v>
      </c>
    </row>
    <row r="394" spans="1:151" ht="13.8" x14ac:dyDescent="0.25">
      <c r="A394" s="73" t="s">
        <v>22</v>
      </c>
      <c r="B394" s="74">
        <f>B305+B384+B393</f>
        <v>7108.8</v>
      </c>
      <c r="C394" s="78"/>
      <c r="D394" s="78"/>
      <c r="E394" s="78"/>
      <c r="F394" s="62">
        <f>E394*B394</f>
        <v>0</v>
      </c>
      <c r="G394" s="74">
        <f>G305+G384+G393</f>
        <v>7664.4000000000005</v>
      </c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110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74">
        <f t="shared" si="23"/>
        <v>7108.8</v>
      </c>
      <c r="DX394" s="5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DW4:DW394">
    <cfRule type="cellIs" dxfId="0" priority="31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9" r:id="rId4" name="CommandButton2">
          <controlPr defaultSize="0" autoLine="0" r:id="rId5">
            <anchor moveWithCells="1">
              <from>
                <xdr:col>0</xdr:col>
                <xdr:colOff>83820</xdr:colOff>
                <xdr:row>0</xdr:row>
                <xdr:rowOff>441960</xdr:rowOff>
              </from>
              <to>
                <xdr:col>0</xdr:col>
                <xdr:colOff>1706880</xdr:colOff>
                <xdr:row>2</xdr:row>
                <xdr:rowOff>38100</xdr:rowOff>
              </to>
            </anchor>
          </controlPr>
        </control>
      </mc:Choice>
      <mc:Fallback>
        <control shapeId="285779" r:id="rId4" name="CommandButton2"/>
      </mc:Fallback>
    </mc:AlternateContent>
    <mc:AlternateContent xmlns:mc="http://schemas.openxmlformats.org/markup-compatibility/2006">
      <mc:Choice Requires="x14">
        <control shapeId="285778" r:id="rId6" name="CommandButton1">
          <controlPr defaultSize="0" autoLine="0" r:id="rId7">
            <anchor moveWithCells="1">
              <from>
                <xdr:col>0</xdr:col>
                <xdr:colOff>68580</xdr:colOff>
                <xdr:row>0</xdr:row>
                <xdr:rowOff>45720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Илья Усюкевич</cp:lastModifiedBy>
  <cp:lastPrinted>2020-01-08T08:36:04Z</cp:lastPrinted>
  <dcterms:modified xsi:type="dcterms:W3CDTF">2023-03-16T12:47:30Z</dcterms:modified>
</cp:coreProperties>
</file>